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C:\o18\src\apps\base_app\models\price\"/>
    </mc:Choice>
  </mc:AlternateContent>
  <xr:revisionPtr revIDLastSave="0" documentId="13_ncr:1_{4A348901-D975-4F18-B51E-A2EDAC5B06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ps" sheetId="3" r:id="rId1"/>
    <sheet name="Apps-from-odoo" sheetId="5" r:id="rId2"/>
    <sheet name="Pivot Analysis" sheetId="2" r:id="rId3"/>
    <sheet name="Analysis" sheetId="1" r:id="rId4"/>
    <sheet name="Cloc" sheetId="6" r:id="rId5"/>
  </sheets>
  <definedNames>
    <definedName name="_xlnm._FilterDatabase" localSheetId="0" hidden="1">Apps!$J$3:$AB$716</definedName>
    <definedName name="_xlnm._FilterDatabase" localSheetId="1" hidden="1">'Apps-from-odoo'!$A$1:$B$627</definedName>
    <definedName name="_xlnm._FilterDatabase" localSheetId="4" hidden="1">Cloc!$C$31:$I$230</definedName>
    <definedName name="_xlnm._FilterDatabase" localSheetId="2" hidden="1">'Pivot Analysis'!$A$4:$E$635</definedName>
  </definedNames>
  <calcPr calcId="191029"/>
  <pivotCaches>
    <pivotCache cacheId="2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9" i="3" l="1"/>
  <c r="L534" i="3"/>
  <c r="L451" i="3"/>
  <c r="L517" i="3"/>
  <c r="A22" i="2"/>
  <c r="A23" i="2"/>
  <c r="A24" i="2"/>
  <c r="A25" i="2"/>
  <c r="A26" i="2"/>
  <c r="A27" i="2"/>
  <c r="A28" i="2"/>
  <c r="A29" i="2"/>
  <c r="M28" i="3" s="1"/>
  <c r="O28" i="3" s="1"/>
  <c r="A30" i="2"/>
  <c r="A31" i="2"/>
  <c r="A32" i="2"/>
  <c r="A33" i="2"/>
  <c r="A34" i="2"/>
  <c r="A35" i="2"/>
  <c r="A36" i="2"/>
  <c r="A37" i="2"/>
  <c r="M37" i="3" s="1"/>
  <c r="O37" i="3" s="1"/>
  <c r="A38" i="2"/>
  <c r="A39" i="2"/>
  <c r="A40" i="2"/>
  <c r="M40" i="3" s="1"/>
  <c r="O40" i="3" s="1"/>
  <c r="A41" i="2"/>
  <c r="M41" i="3" s="1"/>
  <c r="O41" i="3" s="1"/>
  <c r="A42" i="2"/>
  <c r="A43" i="2"/>
  <c r="A44" i="2"/>
  <c r="A45" i="2"/>
  <c r="A46" i="2"/>
  <c r="A47" i="2"/>
  <c r="A48" i="2"/>
  <c r="A49" i="2"/>
  <c r="M51" i="3" s="1"/>
  <c r="O51" i="3" s="1"/>
  <c r="A50" i="2"/>
  <c r="A51" i="2"/>
  <c r="A52" i="2"/>
  <c r="M55" i="3" s="1"/>
  <c r="O55" i="3" s="1"/>
  <c r="A53" i="2"/>
  <c r="M56" i="3" s="1"/>
  <c r="O56" i="3" s="1"/>
  <c r="A54" i="2"/>
  <c r="A55" i="2"/>
  <c r="A56" i="2"/>
  <c r="A57" i="2"/>
  <c r="A58" i="2"/>
  <c r="A59" i="2"/>
  <c r="A60" i="2"/>
  <c r="A61" i="2"/>
  <c r="M68" i="3" s="1"/>
  <c r="O68" i="3" s="1"/>
  <c r="A62" i="2"/>
  <c r="A63" i="2"/>
  <c r="A64" i="2"/>
  <c r="A65" i="2"/>
  <c r="M73" i="3" s="1"/>
  <c r="O73" i="3" s="1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M92" i="3" s="1"/>
  <c r="O92" i="3" s="1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M117" i="3" s="1"/>
  <c r="O117" i="3" s="1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M131" i="3" s="1"/>
  <c r="O131" i="3" s="1"/>
  <c r="A114" i="2"/>
  <c r="A115" i="2"/>
  <c r="A116" i="2"/>
  <c r="A117" i="2"/>
  <c r="M137" i="3" s="1"/>
  <c r="O137" i="3" s="1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M178" i="3" s="1"/>
  <c r="O178" i="3" s="1"/>
  <c r="A157" i="2"/>
  <c r="A158" i="2"/>
  <c r="A159" i="2"/>
  <c r="A160" i="2"/>
  <c r="A161" i="2"/>
  <c r="M183" i="3" s="1"/>
  <c r="O183" i="3" s="1"/>
  <c r="A162" i="2"/>
  <c r="A163" i="2"/>
  <c r="A164" i="2"/>
  <c r="A165" i="2"/>
  <c r="M187" i="3" s="1"/>
  <c r="O187" i="3" s="1"/>
  <c r="A166" i="2"/>
  <c r="A167" i="2"/>
  <c r="A168" i="2"/>
  <c r="A169" i="2"/>
  <c r="A170" i="2"/>
  <c r="A171" i="2"/>
  <c r="A172" i="2"/>
  <c r="A173" i="2"/>
  <c r="M195" i="3" s="1"/>
  <c r="O195" i="3" s="1"/>
  <c r="A174" i="2"/>
  <c r="A175" i="2"/>
  <c r="A176" i="2"/>
  <c r="A177" i="2"/>
  <c r="M199" i="3" s="1"/>
  <c r="O199" i="3" s="1"/>
  <c r="A178" i="2"/>
  <c r="A179" i="2"/>
  <c r="A180" i="2"/>
  <c r="A181" i="2"/>
  <c r="M203" i="3" s="1"/>
  <c r="O203" i="3" s="1"/>
  <c r="A182" i="2"/>
  <c r="A183" i="2"/>
  <c r="A184" i="2"/>
  <c r="A185" i="2"/>
  <c r="M207" i="3" s="1"/>
  <c r="O207" i="3" s="1"/>
  <c r="A186" i="2"/>
  <c r="A187" i="2"/>
  <c r="A188" i="2"/>
  <c r="A189" i="2"/>
  <c r="M211" i="3" s="1"/>
  <c r="O211" i="3" s="1"/>
  <c r="A190" i="2"/>
  <c r="A191" i="2"/>
  <c r="A192" i="2"/>
  <c r="M214" i="3" s="1"/>
  <c r="O214" i="3" s="1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M227" i="3" s="1"/>
  <c r="O227" i="3" s="1"/>
  <c r="A206" i="2"/>
  <c r="A207" i="2"/>
  <c r="A208" i="2"/>
  <c r="A209" i="2"/>
  <c r="A210" i="2"/>
  <c r="A211" i="2"/>
  <c r="A212" i="2"/>
  <c r="A213" i="2"/>
  <c r="M235" i="3" s="1"/>
  <c r="O235" i="3" s="1"/>
  <c r="A214" i="2"/>
  <c r="A215" i="2"/>
  <c r="A216" i="2"/>
  <c r="A217" i="2"/>
  <c r="M239" i="3" s="1"/>
  <c r="O239" i="3" s="1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M263" i="3" s="1"/>
  <c r="O263" i="3" s="1"/>
  <c r="A238" i="2"/>
  <c r="A239" i="2"/>
  <c r="A240" i="2"/>
  <c r="A241" i="2"/>
  <c r="M267" i="3" s="1"/>
  <c r="O267" i="3" s="1"/>
  <c r="A242" i="2"/>
  <c r="A243" i="2"/>
  <c r="A244" i="2"/>
  <c r="A245" i="2"/>
  <c r="A246" i="2"/>
  <c r="A247" i="2"/>
  <c r="A248" i="2"/>
  <c r="A249" i="2"/>
  <c r="A250" i="2"/>
  <c r="A251" i="2"/>
  <c r="A252" i="2"/>
  <c r="M279" i="3" s="1"/>
  <c r="O279" i="3" s="1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M300" i="3" s="1"/>
  <c r="O300" i="3" s="1"/>
  <c r="A273" i="2"/>
  <c r="A274" i="2"/>
  <c r="A275" i="2"/>
  <c r="A276" i="2"/>
  <c r="A277" i="2"/>
  <c r="A278" i="2"/>
  <c r="A279" i="2"/>
  <c r="A280" i="2"/>
  <c r="A281" i="2"/>
  <c r="M309" i="3" s="1"/>
  <c r="O309" i="3" s="1"/>
  <c r="A282" i="2"/>
  <c r="A283" i="2"/>
  <c r="A284" i="2"/>
  <c r="A285" i="2"/>
  <c r="M313" i="3" s="1"/>
  <c r="O313" i="3" s="1"/>
  <c r="A286" i="2"/>
  <c r="A287" i="2"/>
  <c r="A288" i="2"/>
  <c r="A289" i="2"/>
  <c r="A290" i="2"/>
  <c r="A291" i="2"/>
  <c r="A292" i="2"/>
  <c r="M320" i="3" s="1"/>
  <c r="O320" i="3" s="1"/>
  <c r="A293" i="2"/>
  <c r="A294" i="2"/>
  <c r="A295" i="2"/>
  <c r="A296" i="2"/>
  <c r="A297" i="2"/>
  <c r="A298" i="2"/>
  <c r="A299" i="2"/>
  <c r="A300" i="2"/>
  <c r="A301" i="2"/>
  <c r="M330" i="3" s="1"/>
  <c r="O330" i="3" s="1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M359" i="3" s="1"/>
  <c r="O359" i="3" s="1"/>
  <c r="A329" i="2"/>
  <c r="A330" i="2"/>
  <c r="A331" i="2"/>
  <c r="A332" i="2"/>
  <c r="A333" i="2"/>
  <c r="A334" i="2"/>
  <c r="A335" i="2"/>
  <c r="A336" i="2"/>
  <c r="A337" i="2"/>
  <c r="M368" i="3" s="1"/>
  <c r="O368" i="3" s="1"/>
  <c r="A338" i="2"/>
  <c r="A339" i="2"/>
  <c r="A340" i="2"/>
  <c r="A341" i="2"/>
  <c r="A342" i="2"/>
  <c r="A343" i="2"/>
  <c r="A344" i="2"/>
  <c r="A345" i="2"/>
  <c r="M378" i="3" s="1"/>
  <c r="O378" i="3" s="1"/>
  <c r="A346" i="2"/>
  <c r="A347" i="2"/>
  <c r="A348" i="2"/>
  <c r="A349" i="2"/>
  <c r="M382" i="3" s="1"/>
  <c r="O382" i="3" s="1"/>
  <c r="A350" i="2"/>
  <c r="A351" i="2"/>
  <c r="A352" i="2"/>
  <c r="A353" i="2"/>
  <c r="M386" i="3" s="1"/>
  <c r="O386" i="3" s="1"/>
  <c r="A354" i="2"/>
  <c r="A355" i="2"/>
  <c r="A356" i="2"/>
  <c r="A357" i="2"/>
  <c r="M391" i="3" s="1"/>
  <c r="O391" i="3" s="1"/>
  <c r="A358" i="2"/>
  <c r="A359" i="2"/>
  <c r="A360" i="2"/>
  <c r="A361" i="2"/>
  <c r="A362" i="2"/>
  <c r="A363" i="2"/>
  <c r="A364" i="2"/>
  <c r="M398" i="3" s="1"/>
  <c r="O398" i="3" s="1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M417" i="3" s="1"/>
  <c r="O417" i="3" s="1"/>
  <c r="A382" i="2"/>
  <c r="A383" i="2"/>
  <c r="A384" i="2"/>
  <c r="A385" i="2"/>
  <c r="M421" i="3" s="1"/>
  <c r="O421" i="3" s="1"/>
  <c r="A386" i="2"/>
  <c r="A387" i="2"/>
  <c r="A388" i="2"/>
  <c r="A389" i="2"/>
  <c r="M425" i="3" s="1"/>
  <c r="O425" i="3" s="1"/>
  <c r="A390" i="2"/>
  <c r="A391" i="2"/>
  <c r="A392" i="2"/>
  <c r="A393" i="2"/>
  <c r="A394" i="2"/>
  <c r="A395" i="2"/>
  <c r="A396" i="2"/>
  <c r="M434" i="3" s="1"/>
  <c r="O434" i="3" s="1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M448" i="3" s="1"/>
  <c r="O448" i="3" s="1"/>
  <c r="A410" i="2"/>
  <c r="A411" i="2"/>
  <c r="A412" i="2"/>
  <c r="A413" i="2"/>
  <c r="A414" i="2"/>
  <c r="A415" i="2"/>
  <c r="A416" i="2"/>
  <c r="A417" i="2"/>
  <c r="A418" i="2"/>
  <c r="A419" i="2"/>
  <c r="A420" i="2"/>
  <c r="A421" i="2"/>
  <c r="M461" i="3" s="1"/>
  <c r="O461" i="3" s="1"/>
  <c r="A422" i="2"/>
  <c r="A423" i="2"/>
  <c r="A424" i="2"/>
  <c r="A425" i="2"/>
  <c r="A426" i="2"/>
  <c r="A427" i="2"/>
  <c r="A428" i="2"/>
  <c r="A429" i="2"/>
  <c r="M471" i="3" s="1"/>
  <c r="O471" i="3" s="1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M517" i="3" s="1"/>
  <c r="O517" i="3" s="1"/>
  <c r="A454" i="2"/>
  <c r="A455" i="2"/>
  <c r="A456" i="2"/>
  <c r="A457" i="2"/>
  <c r="M522" i="3" s="1"/>
  <c r="O522" i="3" s="1"/>
  <c r="A458" i="2"/>
  <c r="A459" i="2"/>
  <c r="A460" i="2"/>
  <c r="A461" i="2"/>
  <c r="M529" i="3" s="1"/>
  <c r="O529" i="3" s="1"/>
  <c r="A462" i="2"/>
  <c r="A463" i="2"/>
  <c r="A464" i="2"/>
  <c r="A465" i="2"/>
  <c r="A466" i="2"/>
  <c r="A467" i="2"/>
  <c r="A468" i="2"/>
  <c r="A469" i="2"/>
  <c r="M537" i="3" s="1"/>
  <c r="O537" i="3" s="1"/>
  <c r="A470" i="2"/>
  <c r="A471" i="2"/>
  <c r="A472" i="2"/>
  <c r="A473" i="2"/>
  <c r="A474" i="2"/>
  <c r="A475" i="2"/>
  <c r="A476" i="2"/>
  <c r="A477" i="2"/>
  <c r="A478" i="2"/>
  <c r="A479" i="2"/>
  <c r="A480" i="2"/>
  <c r="A481" i="2"/>
  <c r="M554" i="3" s="1"/>
  <c r="O554" i="3" s="1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M572" i="3" s="1"/>
  <c r="O572" i="3" s="1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M650" i="3" s="1"/>
  <c r="O650" i="3" s="1"/>
  <c r="A570" i="2"/>
  <c r="A571" i="2"/>
  <c r="A572" i="2"/>
  <c r="A573" i="2"/>
  <c r="A574" i="2"/>
  <c r="A575" i="2"/>
  <c r="A576" i="2"/>
  <c r="A577" i="2"/>
  <c r="M658" i="3" s="1"/>
  <c r="O658" i="3" s="1"/>
  <c r="A578" i="2"/>
  <c r="A579" i="2"/>
  <c r="A580" i="2"/>
  <c r="A581" i="2"/>
  <c r="M662" i="3" s="1"/>
  <c r="O662" i="3" s="1"/>
  <c r="A582" i="2"/>
  <c r="A583" i="2"/>
  <c r="A584" i="2"/>
  <c r="A585" i="2"/>
  <c r="M666" i="3" s="1"/>
  <c r="O666" i="3" s="1"/>
  <c r="A586" i="2"/>
  <c r="A587" i="2"/>
  <c r="A588" i="2"/>
  <c r="A589" i="2"/>
  <c r="M670" i="3" s="1"/>
  <c r="O670" i="3" s="1"/>
  <c r="A590" i="2"/>
  <c r="A591" i="2"/>
  <c r="A592" i="2"/>
  <c r="A593" i="2"/>
  <c r="M674" i="3" s="1"/>
  <c r="O674" i="3" s="1"/>
  <c r="A594" i="2"/>
  <c r="A595" i="2"/>
  <c r="A596" i="2"/>
  <c r="A597" i="2"/>
  <c r="M678" i="3" s="1"/>
  <c r="O678" i="3" s="1"/>
  <c r="A598" i="2"/>
  <c r="A599" i="2"/>
  <c r="A600" i="2"/>
  <c r="A601" i="2"/>
  <c r="M682" i="3" s="1"/>
  <c r="O682" i="3" s="1"/>
  <c r="A602" i="2"/>
  <c r="A603" i="2"/>
  <c r="A604" i="2"/>
  <c r="A605" i="2"/>
  <c r="A606" i="2"/>
  <c r="A607" i="2"/>
  <c r="A608" i="2"/>
  <c r="A609" i="2"/>
  <c r="M690" i="3" s="1"/>
  <c r="O690" i="3" s="1"/>
  <c r="A610" i="2"/>
  <c r="A611" i="2"/>
  <c r="A612" i="2"/>
  <c r="A613" i="2"/>
  <c r="A614" i="2"/>
  <c r="A615" i="2"/>
  <c r="A616" i="2"/>
  <c r="A617" i="2"/>
  <c r="M698" i="3" s="1"/>
  <c r="O698" i="3" s="1"/>
  <c r="A618" i="2"/>
  <c r="A619" i="2"/>
  <c r="A620" i="2"/>
  <c r="A621" i="2"/>
  <c r="A622" i="2"/>
  <c r="A623" i="2"/>
  <c r="A624" i="2"/>
  <c r="A625" i="2"/>
  <c r="A626" i="2"/>
  <c r="A627" i="2"/>
  <c r="A628" i="2"/>
  <c r="A629" i="2"/>
  <c r="M712" i="3" s="1"/>
  <c r="O712" i="3" s="1"/>
  <c r="A630" i="2"/>
  <c r="A631" i="2"/>
  <c r="A632" i="2"/>
  <c r="A633" i="2"/>
  <c r="M716" i="3" s="1"/>
  <c r="O716" i="3" s="1"/>
  <c r="A20" i="2"/>
  <c r="A21" i="2"/>
  <c r="A7" i="2"/>
  <c r="A8" i="2"/>
  <c r="A9" i="2"/>
  <c r="M7" i="3" s="1"/>
  <c r="O7" i="3" s="1"/>
  <c r="A10" i="2"/>
  <c r="A11" i="2"/>
  <c r="A12" i="2"/>
  <c r="A13" i="2"/>
  <c r="M11" i="3" s="1"/>
  <c r="O11" i="3" s="1"/>
  <c r="A14" i="2"/>
  <c r="M12" i="3" s="1"/>
  <c r="O12" i="3" s="1"/>
  <c r="A15" i="2"/>
  <c r="A16" i="2"/>
  <c r="A17" i="2"/>
  <c r="A18" i="2"/>
  <c r="A19" i="2"/>
  <c r="A6" i="2"/>
  <c r="O43" i="3"/>
  <c r="A3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5" i="3"/>
  <c r="N26" i="3"/>
  <c r="N27" i="3"/>
  <c r="N28" i="3"/>
  <c r="N29" i="3"/>
  <c r="N31" i="3"/>
  <c r="N32" i="3"/>
  <c r="N33" i="3"/>
  <c r="N34" i="3"/>
  <c r="N35" i="3"/>
  <c r="N36" i="3"/>
  <c r="N37" i="3"/>
  <c r="N38" i="3"/>
  <c r="N39" i="3"/>
  <c r="N40" i="3"/>
  <c r="N41" i="3"/>
  <c r="N42" i="3"/>
  <c r="N44" i="3"/>
  <c r="N46" i="3"/>
  <c r="N47" i="3"/>
  <c r="N48" i="3"/>
  <c r="N49" i="3"/>
  <c r="N50" i="3"/>
  <c r="N51" i="3"/>
  <c r="N52" i="3"/>
  <c r="N54" i="3"/>
  <c r="N55" i="3"/>
  <c r="N56" i="3"/>
  <c r="N57" i="3"/>
  <c r="N58" i="3"/>
  <c r="N63" i="3"/>
  <c r="N64" i="3"/>
  <c r="N65" i="3"/>
  <c r="N66" i="3"/>
  <c r="N67" i="3"/>
  <c r="N68" i="3"/>
  <c r="N69" i="3"/>
  <c r="N71" i="3"/>
  <c r="N72" i="3"/>
  <c r="N73" i="3"/>
  <c r="N74" i="3"/>
  <c r="N75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5" i="3"/>
  <c r="N97" i="3"/>
  <c r="N98" i="3"/>
  <c r="N99" i="3"/>
  <c r="N100" i="3"/>
  <c r="N101" i="3"/>
  <c r="N102" i="3"/>
  <c r="N103" i="3"/>
  <c r="N104" i="3"/>
  <c r="N105" i="3"/>
  <c r="N106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9" i="3"/>
  <c r="N150" i="3"/>
  <c r="N151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1" i="3"/>
  <c r="N242" i="3"/>
  <c r="N243" i="3"/>
  <c r="N244" i="3"/>
  <c r="N245" i="3"/>
  <c r="N246" i="3"/>
  <c r="N249" i="3"/>
  <c r="N250" i="3"/>
  <c r="N251" i="3"/>
  <c r="N252" i="3"/>
  <c r="N253" i="3"/>
  <c r="N254" i="3"/>
  <c r="N255" i="3"/>
  <c r="N256" i="3"/>
  <c r="N257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1" i="3"/>
  <c r="N392" i="3"/>
  <c r="N393" i="3"/>
  <c r="N394" i="3"/>
  <c r="N395" i="3"/>
  <c r="N396" i="3"/>
  <c r="N397" i="3"/>
  <c r="N398" i="3"/>
  <c r="N399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7" i="3"/>
  <c r="N418" i="3"/>
  <c r="N419" i="3"/>
  <c r="N420" i="3"/>
  <c r="N421" i="3"/>
  <c r="N422" i="3"/>
  <c r="N423" i="3"/>
  <c r="N424" i="3"/>
  <c r="N425" i="3"/>
  <c r="N426" i="3"/>
  <c r="N427" i="3"/>
  <c r="N429" i="3"/>
  <c r="N430" i="3"/>
  <c r="N431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7" i="3"/>
  <c r="N478" i="3"/>
  <c r="N479" i="3"/>
  <c r="N480" i="3"/>
  <c r="N481" i="3"/>
  <c r="N482" i="3"/>
  <c r="N487" i="3"/>
  <c r="N488" i="3"/>
  <c r="N490" i="3"/>
  <c r="N492" i="3"/>
  <c r="N493" i="3"/>
  <c r="N494" i="3"/>
  <c r="N500" i="3"/>
  <c r="N502" i="3"/>
  <c r="N505" i="3"/>
  <c r="N506" i="3"/>
  <c r="N507" i="3"/>
  <c r="N508" i="3"/>
  <c r="N509" i="3"/>
  <c r="N511" i="3"/>
  <c r="N512" i="3"/>
  <c r="N513" i="3"/>
  <c r="N514" i="3"/>
  <c r="N516" i="3"/>
  <c r="N517" i="3"/>
  <c r="N518" i="3"/>
  <c r="N519" i="3"/>
  <c r="N520" i="3"/>
  <c r="N521" i="3"/>
  <c r="N522" i="3"/>
  <c r="N523" i="3"/>
  <c r="N524" i="3"/>
  <c r="N525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9" i="3"/>
  <c r="N550" i="3"/>
  <c r="N551" i="3"/>
  <c r="N554" i="3"/>
  <c r="N555" i="3"/>
  <c r="N556" i="3"/>
  <c r="N558" i="3"/>
  <c r="N559" i="3"/>
  <c r="N560" i="3"/>
  <c r="N561" i="3"/>
  <c r="N562" i="3"/>
  <c r="N563" i="3"/>
  <c r="N564" i="3"/>
  <c r="N565" i="3"/>
  <c r="N566" i="3"/>
  <c r="N567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3" i="3"/>
  <c r="N604" i="3"/>
  <c r="N605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7" i="3"/>
  <c r="N628" i="3"/>
  <c r="N629" i="3"/>
  <c r="N630" i="3"/>
  <c r="N631" i="3"/>
  <c r="N632" i="3"/>
  <c r="N633" i="3"/>
  <c r="N634" i="3"/>
  <c r="N635" i="3"/>
  <c r="N636" i="3"/>
  <c r="N638" i="3"/>
  <c r="N639" i="3"/>
  <c r="N640" i="3"/>
  <c r="N641" i="3"/>
  <c r="N642" i="3"/>
  <c r="N643" i="3"/>
  <c r="N644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1" i="3"/>
  <c r="N702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370" i="3"/>
  <c r="N483" i="3"/>
  <c r="N484" i="3"/>
  <c r="N510" i="3"/>
  <c r="N568" i="3"/>
  <c r="N703" i="3"/>
  <c r="N400" i="3"/>
  <c r="N24" i="3"/>
  <c r="N135" i="3"/>
  <c r="N637" i="3"/>
  <c r="N645" i="3"/>
  <c r="N134" i="3"/>
  <c r="N553" i="3"/>
  <c r="N94" i="3"/>
  <c r="N548" i="3"/>
  <c r="N515" i="3"/>
  <c r="N428" i="3"/>
  <c r="N390" i="3"/>
  <c r="N557" i="3"/>
  <c r="N96" i="3"/>
  <c r="N369" i="3"/>
  <c r="N30" i="3"/>
  <c r="N43" i="3"/>
  <c r="N45" i="3"/>
  <c r="N53" i="3"/>
  <c r="N59" i="3"/>
  <c r="N60" i="3"/>
  <c r="N61" i="3"/>
  <c r="N62" i="3"/>
  <c r="N70" i="3"/>
  <c r="N76" i="3"/>
  <c r="N77" i="3"/>
  <c r="N78" i="3"/>
  <c r="N107" i="3"/>
  <c r="N148" i="3"/>
  <c r="N152" i="3"/>
  <c r="N240" i="3"/>
  <c r="N247" i="3"/>
  <c r="N248" i="3"/>
  <c r="N258" i="3"/>
  <c r="N276" i="3"/>
  <c r="N289" i="3"/>
  <c r="N325" i="3"/>
  <c r="N339" i="3"/>
  <c r="N352" i="3"/>
  <c r="N416" i="3"/>
  <c r="N432" i="3"/>
  <c r="N449" i="3"/>
  <c r="N462" i="3"/>
  <c r="N476" i="3"/>
  <c r="N485" i="3"/>
  <c r="N486" i="3"/>
  <c r="N489" i="3"/>
  <c r="N491" i="3"/>
  <c r="N495" i="3"/>
  <c r="N496" i="3"/>
  <c r="N497" i="3"/>
  <c r="N498" i="3"/>
  <c r="N499" i="3"/>
  <c r="N501" i="3"/>
  <c r="N503" i="3"/>
  <c r="N504" i="3"/>
  <c r="N526" i="3"/>
  <c r="N527" i="3"/>
  <c r="N552" i="3"/>
  <c r="N581" i="3"/>
  <c r="N602" i="3"/>
  <c r="N606" i="3"/>
  <c r="N626" i="3"/>
  <c r="N700" i="3"/>
  <c r="N4" i="3"/>
  <c r="D46" i="6"/>
  <c r="E46" i="6" s="1"/>
  <c r="D47" i="6"/>
  <c r="E47" i="6"/>
  <c r="D48" i="6"/>
  <c r="E48" i="6" s="1"/>
  <c r="D49" i="6"/>
  <c r="E49" i="6"/>
  <c r="D50" i="6"/>
  <c r="E50" i="6" s="1"/>
  <c r="D51" i="6"/>
  <c r="E51" i="6"/>
  <c r="D52" i="6"/>
  <c r="E52" i="6" s="1"/>
  <c r="D53" i="6"/>
  <c r="E53" i="6"/>
  <c r="D54" i="6"/>
  <c r="E54" i="6" s="1"/>
  <c r="D55" i="6"/>
  <c r="E55" i="6"/>
  <c r="D56" i="6"/>
  <c r="E56" i="6" s="1"/>
  <c r="D57" i="6"/>
  <c r="E57" i="6"/>
  <c r="D58" i="6"/>
  <c r="E58" i="6" s="1"/>
  <c r="D59" i="6"/>
  <c r="E59" i="6"/>
  <c r="D60" i="6"/>
  <c r="E60" i="6" s="1"/>
  <c r="D61" i="6"/>
  <c r="E61" i="6"/>
  <c r="D62" i="6"/>
  <c r="E62" i="6" s="1"/>
  <c r="D63" i="6"/>
  <c r="E63" i="6"/>
  <c r="D64" i="6"/>
  <c r="E64" i="6" s="1"/>
  <c r="D65" i="6"/>
  <c r="E65" i="6"/>
  <c r="D66" i="6"/>
  <c r="E66" i="6" s="1"/>
  <c r="D67" i="6"/>
  <c r="E67" i="6"/>
  <c r="D68" i="6"/>
  <c r="E68" i="6" s="1"/>
  <c r="D69" i="6"/>
  <c r="E69" i="6"/>
  <c r="D70" i="6"/>
  <c r="E70" i="6" s="1"/>
  <c r="D71" i="6"/>
  <c r="E71" i="6"/>
  <c r="D72" i="6"/>
  <c r="E72" i="6" s="1"/>
  <c r="D73" i="6"/>
  <c r="E73" i="6"/>
  <c r="D74" i="6"/>
  <c r="E74" i="6" s="1"/>
  <c r="D75" i="6"/>
  <c r="E75" i="6"/>
  <c r="D76" i="6"/>
  <c r="E76" i="6" s="1"/>
  <c r="D77" i="6"/>
  <c r="E77" i="6"/>
  <c r="D78" i="6"/>
  <c r="E78" i="6" s="1"/>
  <c r="D79" i="6"/>
  <c r="E79" i="6"/>
  <c r="D80" i="6"/>
  <c r="E80" i="6" s="1"/>
  <c r="D81" i="6"/>
  <c r="E81" i="6"/>
  <c r="D82" i="6"/>
  <c r="E82" i="6" s="1"/>
  <c r="D83" i="6"/>
  <c r="E83" i="6"/>
  <c r="D84" i="6"/>
  <c r="E84" i="6" s="1"/>
  <c r="D85" i="6"/>
  <c r="E85" i="6"/>
  <c r="D86" i="6"/>
  <c r="E86" i="6" s="1"/>
  <c r="D87" i="6"/>
  <c r="E87" i="6"/>
  <c r="D88" i="6"/>
  <c r="E88" i="6" s="1"/>
  <c r="D89" i="6"/>
  <c r="E89" i="6"/>
  <c r="D90" i="6"/>
  <c r="E90" i="6" s="1"/>
  <c r="D91" i="6"/>
  <c r="E91" i="6"/>
  <c r="D92" i="6"/>
  <c r="E92" i="6" s="1"/>
  <c r="D93" i="6"/>
  <c r="E93" i="6"/>
  <c r="D94" i="6"/>
  <c r="E94" i="6" s="1"/>
  <c r="D95" i="6"/>
  <c r="E95" i="6"/>
  <c r="D96" i="6"/>
  <c r="E96" i="6" s="1"/>
  <c r="D97" i="6"/>
  <c r="E97" i="6"/>
  <c r="D98" i="6"/>
  <c r="E98" i="6" s="1"/>
  <c r="D99" i="6"/>
  <c r="E99" i="6"/>
  <c r="D100" i="6"/>
  <c r="E100" i="6" s="1"/>
  <c r="D101" i="6"/>
  <c r="E101" i="6"/>
  <c r="D102" i="6"/>
  <c r="E102" i="6" s="1"/>
  <c r="D103" i="6"/>
  <c r="E103" i="6"/>
  <c r="D104" i="6"/>
  <c r="E104" i="6" s="1"/>
  <c r="D105" i="6"/>
  <c r="E105" i="6"/>
  <c r="D106" i="6"/>
  <c r="E106" i="6" s="1"/>
  <c r="D107" i="6"/>
  <c r="E107" i="6"/>
  <c r="D108" i="6"/>
  <c r="E108" i="6" s="1"/>
  <c r="D109" i="6"/>
  <c r="E109" i="6"/>
  <c r="D110" i="6"/>
  <c r="E110" i="6" s="1"/>
  <c r="D111" i="6"/>
  <c r="E111" i="6"/>
  <c r="D112" i="6"/>
  <c r="E112" i="6" s="1"/>
  <c r="D113" i="6"/>
  <c r="E113" i="6"/>
  <c r="D114" i="6"/>
  <c r="E114" i="6" s="1"/>
  <c r="D115" i="6"/>
  <c r="E115" i="6"/>
  <c r="D116" i="6"/>
  <c r="E116" i="6" s="1"/>
  <c r="D117" i="6"/>
  <c r="E117" i="6"/>
  <c r="D118" i="6"/>
  <c r="E118" i="6" s="1"/>
  <c r="D119" i="6"/>
  <c r="E119" i="6"/>
  <c r="D120" i="6"/>
  <c r="E120" i="6" s="1"/>
  <c r="D121" i="6"/>
  <c r="E121" i="6"/>
  <c r="D122" i="6"/>
  <c r="E122" i="6" s="1"/>
  <c r="D123" i="6"/>
  <c r="E123" i="6"/>
  <c r="D124" i="6"/>
  <c r="E124" i="6" s="1"/>
  <c r="D125" i="6"/>
  <c r="E125" i="6"/>
  <c r="D126" i="6"/>
  <c r="E126" i="6" s="1"/>
  <c r="D127" i="6"/>
  <c r="E127" i="6"/>
  <c r="D128" i="6"/>
  <c r="E128" i="6" s="1"/>
  <c r="D129" i="6"/>
  <c r="E129" i="6"/>
  <c r="D130" i="6"/>
  <c r="E130" i="6" s="1"/>
  <c r="D131" i="6"/>
  <c r="E131" i="6"/>
  <c r="D132" i="6"/>
  <c r="E132" i="6" s="1"/>
  <c r="D133" i="6"/>
  <c r="E133" i="6"/>
  <c r="D134" i="6"/>
  <c r="E134" i="6" s="1"/>
  <c r="D135" i="6"/>
  <c r="E135" i="6"/>
  <c r="D136" i="6"/>
  <c r="E136" i="6" s="1"/>
  <c r="D137" i="6"/>
  <c r="E137" i="6"/>
  <c r="D138" i="6"/>
  <c r="E138" i="6" s="1"/>
  <c r="D139" i="6"/>
  <c r="E139" i="6"/>
  <c r="D140" i="6"/>
  <c r="E140" i="6" s="1"/>
  <c r="D141" i="6"/>
  <c r="E141" i="6"/>
  <c r="D142" i="6"/>
  <c r="E142" i="6" s="1"/>
  <c r="D143" i="6"/>
  <c r="E143" i="6"/>
  <c r="D144" i="6"/>
  <c r="E144" i="6" s="1"/>
  <c r="D145" i="6"/>
  <c r="E145" i="6"/>
  <c r="D146" i="6"/>
  <c r="E146" i="6" s="1"/>
  <c r="D147" i="6"/>
  <c r="E147" i="6"/>
  <c r="D148" i="6"/>
  <c r="E148" i="6" s="1"/>
  <c r="D149" i="6"/>
  <c r="E149" i="6"/>
  <c r="D150" i="6"/>
  <c r="E150" i="6" s="1"/>
  <c r="D151" i="6"/>
  <c r="E151" i="6"/>
  <c r="D152" i="6"/>
  <c r="E152" i="6" s="1"/>
  <c r="D153" i="6"/>
  <c r="E153" i="6"/>
  <c r="D154" i="6"/>
  <c r="E154" i="6" s="1"/>
  <c r="D155" i="6"/>
  <c r="E155" i="6"/>
  <c r="D156" i="6"/>
  <c r="E156" i="6" s="1"/>
  <c r="D157" i="6"/>
  <c r="E157" i="6"/>
  <c r="D158" i="6"/>
  <c r="E158" i="6" s="1"/>
  <c r="D159" i="6"/>
  <c r="E159" i="6"/>
  <c r="D160" i="6"/>
  <c r="E160" i="6" s="1"/>
  <c r="D161" i="6"/>
  <c r="E161" i="6"/>
  <c r="D162" i="6"/>
  <c r="E162" i="6" s="1"/>
  <c r="D163" i="6"/>
  <c r="E163" i="6"/>
  <c r="D164" i="6"/>
  <c r="E164" i="6" s="1"/>
  <c r="D165" i="6"/>
  <c r="E165" i="6"/>
  <c r="D166" i="6"/>
  <c r="E166" i="6" s="1"/>
  <c r="D167" i="6"/>
  <c r="E167" i="6"/>
  <c r="D168" i="6"/>
  <c r="E168" i="6" s="1"/>
  <c r="D169" i="6"/>
  <c r="E169" i="6"/>
  <c r="D170" i="6"/>
  <c r="E170" i="6" s="1"/>
  <c r="D171" i="6"/>
  <c r="E171" i="6"/>
  <c r="D172" i="6"/>
  <c r="E172" i="6" s="1"/>
  <c r="D173" i="6"/>
  <c r="E173" i="6"/>
  <c r="D174" i="6"/>
  <c r="E174" i="6" s="1"/>
  <c r="D175" i="6"/>
  <c r="E175" i="6"/>
  <c r="D176" i="6"/>
  <c r="E176" i="6" s="1"/>
  <c r="D177" i="6"/>
  <c r="E177" i="6"/>
  <c r="D178" i="6"/>
  <c r="E178" i="6" s="1"/>
  <c r="D179" i="6"/>
  <c r="E179" i="6"/>
  <c r="D180" i="6"/>
  <c r="E180" i="6" s="1"/>
  <c r="D181" i="6"/>
  <c r="E181" i="6"/>
  <c r="D182" i="6"/>
  <c r="E182" i="6" s="1"/>
  <c r="D183" i="6"/>
  <c r="E183" i="6"/>
  <c r="D184" i="6"/>
  <c r="E184" i="6" s="1"/>
  <c r="D185" i="6"/>
  <c r="E185" i="6"/>
  <c r="D186" i="6"/>
  <c r="E186" i="6" s="1"/>
  <c r="D187" i="6"/>
  <c r="E187" i="6"/>
  <c r="D188" i="6"/>
  <c r="E188" i="6" s="1"/>
  <c r="D189" i="6"/>
  <c r="E189" i="6"/>
  <c r="D190" i="6"/>
  <c r="E190" i="6" s="1"/>
  <c r="D191" i="6"/>
  <c r="E191" i="6"/>
  <c r="D192" i="6"/>
  <c r="E192" i="6" s="1"/>
  <c r="D193" i="6"/>
  <c r="E193" i="6"/>
  <c r="D194" i="6"/>
  <c r="E194" i="6" s="1"/>
  <c r="D195" i="6"/>
  <c r="E195" i="6"/>
  <c r="D196" i="6"/>
  <c r="E196" i="6" s="1"/>
  <c r="D197" i="6"/>
  <c r="E197" i="6"/>
  <c r="D198" i="6"/>
  <c r="E198" i="6" s="1"/>
  <c r="D199" i="6"/>
  <c r="E199" i="6"/>
  <c r="D200" i="6"/>
  <c r="E200" i="6" s="1"/>
  <c r="D201" i="6"/>
  <c r="E201" i="6"/>
  <c r="D202" i="6"/>
  <c r="E202" i="6" s="1"/>
  <c r="D203" i="6"/>
  <c r="E203" i="6"/>
  <c r="D204" i="6"/>
  <c r="E204" i="6" s="1"/>
  <c r="D205" i="6"/>
  <c r="E205" i="6"/>
  <c r="D206" i="6"/>
  <c r="E206" i="6" s="1"/>
  <c r="D207" i="6"/>
  <c r="E207" i="6"/>
  <c r="D208" i="6"/>
  <c r="E208" i="6" s="1"/>
  <c r="D209" i="6"/>
  <c r="E209" i="6"/>
  <c r="D210" i="6"/>
  <c r="E210" i="6" s="1"/>
  <c r="D211" i="6"/>
  <c r="E211" i="6"/>
  <c r="D212" i="6"/>
  <c r="E212" i="6" s="1"/>
  <c r="D213" i="6"/>
  <c r="E213" i="6"/>
  <c r="D214" i="6"/>
  <c r="E214" i="6" s="1"/>
  <c r="D215" i="6"/>
  <c r="E215" i="6"/>
  <c r="D216" i="6"/>
  <c r="E216" i="6" s="1"/>
  <c r="D217" i="6"/>
  <c r="E217" i="6"/>
  <c r="D218" i="6"/>
  <c r="E218" i="6" s="1"/>
  <c r="D219" i="6"/>
  <c r="E219" i="6"/>
  <c r="D220" i="6"/>
  <c r="E220" i="6" s="1"/>
  <c r="D221" i="6"/>
  <c r="E221" i="6"/>
  <c r="D222" i="6"/>
  <c r="E222" i="6" s="1"/>
  <c r="D223" i="6"/>
  <c r="E223" i="6"/>
  <c r="D224" i="6"/>
  <c r="E224" i="6" s="1"/>
  <c r="D225" i="6"/>
  <c r="E225" i="6"/>
  <c r="D226" i="6"/>
  <c r="E226" i="6" s="1"/>
  <c r="D227" i="6"/>
  <c r="E227" i="6"/>
  <c r="D228" i="6"/>
  <c r="E228" i="6" s="1"/>
  <c r="D229" i="6"/>
  <c r="E229" i="6"/>
  <c r="D230" i="6"/>
  <c r="E230" i="6" s="1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32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M5" i="3"/>
  <c r="O5" i="3" s="1"/>
  <c r="M8" i="3"/>
  <c r="O8" i="3" s="1"/>
  <c r="M13" i="3"/>
  <c r="O13" i="3" s="1"/>
  <c r="M15" i="3"/>
  <c r="O15" i="3" s="1"/>
  <c r="M16" i="3"/>
  <c r="O16" i="3" s="1"/>
  <c r="M17" i="3"/>
  <c r="O17" i="3" s="1"/>
  <c r="M20" i="3"/>
  <c r="O20" i="3" s="1"/>
  <c r="M23" i="3"/>
  <c r="O23" i="3" s="1"/>
  <c r="M25" i="3"/>
  <c r="O25" i="3" s="1"/>
  <c r="M26" i="3"/>
  <c r="O26" i="3" s="1"/>
  <c r="M29" i="3"/>
  <c r="O29" i="3" s="1"/>
  <c r="M34" i="3"/>
  <c r="O34" i="3" s="1"/>
  <c r="M35" i="3"/>
  <c r="O35" i="3" s="1"/>
  <c r="M39" i="3"/>
  <c r="O39" i="3" s="1"/>
  <c r="M42" i="3"/>
  <c r="O42" i="3" s="1"/>
  <c r="M46" i="3"/>
  <c r="O46" i="3" s="1"/>
  <c r="M48" i="3"/>
  <c r="O48" i="3" s="1"/>
  <c r="M49" i="3"/>
  <c r="O49" i="3" s="1"/>
  <c r="M52" i="3"/>
  <c r="O52" i="3" s="1"/>
  <c r="M54" i="3"/>
  <c r="O54" i="3" s="1"/>
  <c r="M58" i="3"/>
  <c r="O58" i="3" s="1"/>
  <c r="M65" i="3"/>
  <c r="O65" i="3" s="1"/>
  <c r="M66" i="3"/>
  <c r="O66" i="3" s="1"/>
  <c r="M67" i="3"/>
  <c r="O67" i="3" s="1"/>
  <c r="M71" i="3"/>
  <c r="O71" i="3" s="1"/>
  <c r="M74" i="3"/>
  <c r="O74" i="3" s="1"/>
  <c r="M75" i="3"/>
  <c r="O75" i="3" s="1"/>
  <c r="M80" i="3"/>
  <c r="O80" i="3" s="1"/>
  <c r="M84" i="3"/>
  <c r="M86" i="3"/>
  <c r="O86" i="3" s="1"/>
  <c r="M88" i="3"/>
  <c r="O88" i="3" s="1"/>
  <c r="M90" i="3"/>
  <c r="O90" i="3" s="1"/>
  <c r="M91" i="3"/>
  <c r="O91" i="3" s="1"/>
  <c r="M98" i="3"/>
  <c r="O98" i="3" s="1"/>
  <c r="M104" i="3"/>
  <c r="O104" i="3" s="1"/>
  <c r="M105" i="3"/>
  <c r="M106" i="3"/>
  <c r="O106" i="3" s="1"/>
  <c r="M108" i="3"/>
  <c r="O108" i="3" s="1"/>
  <c r="M115" i="3"/>
  <c r="O115" i="3" s="1"/>
  <c r="M119" i="3"/>
  <c r="O119" i="3" s="1"/>
  <c r="M120" i="3"/>
  <c r="O120" i="3" s="1"/>
  <c r="M122" i="3"/>
  <c r="O122" i="3" s="1"/>
  <c r="M124" i="3"/>
  <c r="M125" i="3"/>
  <c r="O125" i="3" s="1"/>
  <c r="M130" i="3"/>
  <c r="O130" i="3" s="1"/>
  <c r="M133" i="3"/>
  <c r="O133" i="3" s="1"/>
  <c r="M138" i="3"/>
  <c r="O138" i="3" s="1"/>
  <c r="M143" i="3"/>
  <c r="O143" i="3" s="1"/>
  <c r="M145" i="3"/>
  <c r="O145" i="3" s="1"/>
  <c r="M156" i="3"/>
  <c r="O156" i="3" s="1"/>
  <c r="M157" i="3"/>
  <c r="O157" i="3" s="1"/>
  <c r="M167" i="3"/>
  <c r="O167" i="3" s="1"/>
  <c r="M169" i="3"/>
  <c r="O169" i="3" s="1"/>
  <c r="M177" i="3"/>
  <c r="O177" i="3" s="1"/>
  <c r="M179" i="3"/>
  <c r="O179" i="3" s="1"/>
  <c r="M185" i="3"/>
  <c r="O185" i="3" s="1"/>
  <c r="M186" i="3"/>
  <c r="O186" i="3" s="1"/>
  <c r="M191" i="3"/>
  <c r="O191" i="3" s="1"/>
  <c r="M194" i="3"/>
  <c r="O194" i="3" s="1"/>
  <c r="M196" i="3"/>
  <c r="O196" i="3" s="1"/>
  <c r="M197" i="3"/>
  <c r="O197" i="3" s="1"/>
  <c r="M198" i="3"/>
  <c r="O198" i="3" s="1"/>
  <c r="M200" i="3"/>
  <c r="O200" i="3" s="1"/>
  <c r="M201" i="3"/>
  <c r="O201" i="3" s="1"/>
  <c r="M202" i="3"/>
  <c r="O202" i="3" s="1"/>
  <c r="M210" i="3"/>
  <c r="O210" i="3" s="1"/>
  <c r="M212" i="3"/>
  <c r="O212" i="3" s="1"/>
  <c r="M213" i="3"/>
  <c r="O213" i="3" s="1"/>
  <c r="M215" i="3"/>
  <c r="O215" i="3" s="1"/>
  <c r="M216" i="3"/>
  <c r="O216" i="3" s="1"/>
  <c r="M218" i="3"/>
  <c r="O218" i="3" s="1"/>
  <c r="M221" i="3"/>
  <c r="O221" i="3" s="1"/>
  <c r="M224" i="3"/>
  <c r="O224" i="3" s="1"/>
  <c r="M230" i="3"/>
  <c r="O230" i="3" s="1"/>
  <c r="M233" i="3"/>
  <c r="O233" i="3" s="1"/>
  <c r="M237" i="3"/>
  <c r="O237" i="3" s="1"/>
  <c r="M238" i="3"/>
  <c r="O238" i="3" s="1"/>
  <c r="M245" i="3"/>
  <c r="O245" i="3" s="1"/>
  <c r="M246" i="3"/>
  <c r="O246" i="3" s="1"/>
  <c r="M250" i="3"/>
  <c r="O250" i="3" s="1"/>
  <c r="M252" i="3"/>
  <c r="O252" i="3" s="1"/>
  <c r="M255" i="3"/>
  <c r="O255" i="3" s="1"/>
  <c r="M256" i="3"/>
  <c r="O256" i="3" s="1"/>
  <c r="M257" i="3"/>
  <c r="O257" i="3" s="1"/>
  <c r="M264" i="3"/>
  <c r="O264" i="3" s="1"/>
  <c r="M265" i="3"/>
  <c r="O265" i="3" s="1"/>
  <c r="M268" i="3"/>
  <c r="O268" i="3" s="1"/>
  <c r="M273" i="3"/>
  <c r="O273" i="3" s="1"/>
  <c r="M280" i="3"/>
  <c r="O280" i="3" s="1"/>
  <c r="M281" i="3"/>
  <c r="O281" i="3" s="1"/>
  <c r="M285" i="3"/>
  <c r="O285" i="3" s="1"/>
  <c r="M286" i="3"/>
  <c r="O286" i="3" s="1"/>
  <c r="M288" i="3"/>
  <c r="O288" i="3" s="1"/>
  <c r="M293" i="3"/>
  <c r="O293" i="3" s="1"/>
  <c r="M295" i="3"/>
  <c r="O295" i="3" s="1"/>
  <c r="M306" i="3"/>
  <c r="O306" i="3" s="1"/>
  <c r="M310" i="3"/>
  <c r="O310" i="3" s="1"/>
  <c r="M314" i="3"/>
  <c r="O314" i="3" s="1"/>
  <c r="M315" i="3"/>
  <c r="O315" i="3" s="1"/>
  <c r="M316" i="3"/>
  <c r="O316" i="3" s="1"/>
  <c r="M317" i="3"/>
  <c r="O317" i="3" s="1"/>
  <c r="M319" i="3"/>
  <c r="O319" i="3" s="1"/>
  <c r="M322" i="3"/>
  <c r="O322" i="3" s="1"/>
  <c r="M323" i="3"/>
  <c r="O323" i="3" s="1"/>
  <c r="M324" i="3"/>
  <c r="O324" i="3" s="1"/>
  <c r="M327" i="3"/>
  <c r="O327" i="3" s="1"/>
  <c r="M328" i="3"/>
  <c r="O328" i="3" s="1"/>
  <c r="M331" i="3"/>
  <c r="O331" i="3" s="1"/>
  <c r="M332" i="3"/>
  <c r="O332" i="3" s="1"/>
  <c r="M341" i="3"/>
  <c r="O341" i="3" s="1"/>
  <c r="M351" i="3"/>
  <c r="O351" i="3" s="1"/>
  <c r="M353" i="3"/>
  <c r="O353" i="3" s="1"/>
  <c r="M355" i="3"/>
  <c r="O355" i="3" s="1"/>
  <c r="M360" i="3"/>
  <c r="O360" i="3" s="1"/>
  <c r="M361" i="3"/>
  <c r="O361" i="3" s="1"/>
  <c r="M363" i="3"/>
  <c r="O363" i="3" s="1"/>
  <c r="M366" i="3"/>
  <c r="O366" i="3" s="1"/>
  <c r="M367" i="3"/>
  <c r="O367" i="3" s="1"/>
  <c r="M372" i="3"/>
  <c r="O372" i="3" s="1"/>
  <c r="M373" i="3"/>
  <c r="O373" i="3" s="1"/>
  <c r="M379" i="3"/>
  <c r="O379" i="3" s="1"/>
  <c r="M381" i="3"/>
  <c r="O381" i="3" s="1"/>
  <c r="M384" i="3"/>
  <c r="O384" i="3" s="1"/>
  <c r="M389" i="3"/>
  <c r="O389" i="3" s="1"/>
  <c r="M395" i="3"/>
  <c r="O395" i="3" s="1"/>
  <c r="M397" i="3"/>
  <c r="O397" i="3" s="1"/>
  <c r="M399" i="3"/>
  <c r="O399" i="3" s="1"/>
  <c r="M401" i="3"/>
  <c r="O401" i="3" s="1"/>
  <c r="M402" i="3"/>
  <c r="O402" i="3" s="1"/>
  <c r="M405" i="3"/>
  <c r="O405" i="3" s="1"/>
  <c r="M407" i="3"/>
  <c r="O407" i="3" s="1"/>
  <c r="M408" i="3"/>
  <c r="O408" i="3" s="1"/>
  <c r="M409" i="3"/>
  <c r="O409" i="3" s="1"/>
  <c r="M410" i="3"/>
  <c r="O410" i="3" s="1"/>
  <c r="M413" i="3"/>
  <c r="O413" i="3" s="1"/>
  <c r="M414" i="3"/>
  <c r="O414" i="3" s="1"/>
  <c r="M415" i="3"/>
  <c r="O415" i="3" s="1"/>
  <c r="M418" i="3"/>
  <c r="O418" i="3" s="1"/>
  <c r="M422" i="3"/>
  <c r="O422" i="3" s="1"/>
  <c r="M423" i="3"/>
  <c r="O423" i="3" s="1"/>
  <c r="M427" i="3"/>
  <c r="O427" i="3" s="1"/>
  <c r="M430" i="3"/>
  <c r="O430" i="3" s="1"/>
  <c r="M431" i="3"/>
  <c r="O431" i="3" s="1"/>
  <c r="M435" i="3"/>
  <c r="O435" i="3" s="1"/>
  <c r="M437" i="3"/>
  <c r="O437" i="3" s="1"/>
  <c r="M438" i="3"/>
  <c r="O438" i="3" s="1"/>
  <c r="M439" i="3"/>
  <c r="O439" i="3" s="1"/>
  <c r="M443" i="3"/>
  <c r="O443" i="3" s="1"/>
  <c r="M446" i="3"/>
  <c r="O446" i="3" s="1"/>
  <c r="M447" i="3"/>
  <c r="O447" i="3" s="1"/>
  <c r="M450" i="3"/>
  <c r="O450" i="3" s="1"/>
  <c r="M452" i="3"/>
  <c r="O452" i="3" s="1"/>
  <c r="M458" i="3"/>
  <c r="O458" i="3" s="1"/>
  <c r="M465" i="3"/>
  <c r="O465" i="3" s="1"/>
  <c r="M466" i="3"/>
  <c r="O466" i="3" s="1"/>
  <c r="M467" i="3"/>
  <c r="O467" i="3" s="1"/>
  <c r="M468" i="3"/>
  <c r="O468" i="3" s="1"/>
  <c r="M469" i="3"/>
  <c r="O469" i="3" s="1"/>
  <c r="M473" i="3"/>
  <c r="O473" i="3" s="1"/>
  <c r="M474" i="3"/>
  <c r="O474" i="3" s="1"/>
  <c r="M480" i="3"/>
  <c r="O480" i="3" s="1"/>
  <c r="M488" i="3"/>
  <c r="O488" i="3" s="1"/>
  <c r="M492" i="3"/>
  <c r="O492" i="3" s="1"/>
  <c r="M493" i="3"/>
  <c r="O493" i="3" s="1"/>
  <c r="M494" i="3"/>
  <c r="O494" i="3" s="1"/>
  <c r="M500" i="3"/>
  <c r="O500" i="3" s="1"/>
  <c r="M506" i="3"/>
  <c r="O506" i="3" s="1"/>
  <c r="M507" i="3"/>
  <c r="O507" i="3" s="1"/>
  <c r="M508" i="3"/>
  <c r="O508" i="3" s="1"/>
  <c r="M513" i="3"/>
  <c r="O513" i="3" s="1"/>
  <c r="M518" i="3"/>
  <c r="O518" i="3" s="1"/>
  <c r="M519" i="3"/>
  <c r="O519" i="3" s="1"/>
  <c r="M521" i="3"/>
  <c r="O521" i="3" s="1"/>
  <c r="M523" i="3"/>
  <c r="O523" i="3" s="1"/>
  <c r="M524" i="3"/>
  <c r="O524" i="3" s="1"/>
  <c r="M525" i="3"/>
  <c r="O525" i="3" s="1"/>
  <c r="M531" i="3"/>
  <c r="O531" i="3" s="1"/>
  <c r="M535" i="3"/>
  <c r="O535" i="3" s="1"/>
  <c r="M536" i="3"/>
  <c r="O536" i="3" s="1"/>
  <c r="M539" i="3"/>
  <c r="O539" i="3" s="1"/>
  <c r="M541" i="3"/>
  <c r="O541" i="3" s="1"/>
  <c r="M543" i="3"/>
  <c r="O543" i="3" s="1"/>
  <c r="M544" i="3"/>
  <c r="O544" i="3" s="1"/>
  <c r="M549" i="3"/>
  <c r="O549" i="3" s="1"/>
  <c r="M558" i="3"/>
  <c r="O558" i="3" s="1"/>
  <c r="M559" i="3"/>
  <c r="O559" i="3" s="1"/>
  <c r="M583" i="3"/>
  <c r="O583" i="3" s="1"/>
  <c r="M584" i="3"/>
  <c r="O584" i="3" s="1"/>
  <c r="M585" i="3"/>
  <c r="O585" i="3" s="1"/>
  <c r="M638" i="3"/>
  <c r="O638" i="3" s="1"/>
  <c r="M639" i="3"/>
  <c r="O639" i="3" s="1"/>
  <c r="M640" i="3"/>
  <c r="O640" i="3" s="1"/>
  <c r="M641" i="3"/>
  <c r="O641" i="3" s="1"/>
  <c r="M642" i="3"/>
  <c r="O642" i="3" s="1"/>
  <c r="M644" i="3"/>
  <c r="O644" i="3" s="1"/>
  <c r="M646" i="3"/>
  <c r="O646" i="3" s="1"/>
  <c r="M651" i="3"/>
  <c r="O651" i="3" s="1"/>
  <c r="M652" i="3"/>
  <c r="O652" i="3" s="1"/>
  <c r="M653" i="3"/>
  <c r="O653" i="3" s="1"/>
  <c r="M654" i="3"/>
  <c r="O654" i="3" s="1"/>
  <c r="M656" i="3"/>
  <c r="O656" i="3" s="1"/>
  <c r="M659" i="3"/>
  <c r="O659" i="3" s="1"/>
  <c r="M661" i="3"/>
  <c r="O661" i="3" s="1"/>
  <c r="M663" i="3"/>
  <c r="O663" i="3" s="1"/>
  <c r="M668" i="3"/>
  <c r="O668" i="3" s="1"/>
  <c r="M671" i="3"/>
  <c r="O671" i="3" s="1"/>
  <c r="M673" i="3"/>
  <c r="O673" i="3" s="1"/>
  <c r="M680" i="3"/>
  <c r="O680" i="3" s="1"/>
  <c r="M686" i="3"/>
  <c r="O686" i="3" s="1"/>
  <c r="M689" i="3"/>
  <c r="O689" i="3" s="1"/>
  <c r="M693" i="3"/>
  <c r="O693" i="3" s="1"/>
  <c r="M694" i="3"/>
  <c r="O694" i="3" s="1"/>
  <c r="M697" i="3"/>
  <c r="O697" i="3" s="1"/>
  <c r="M699" i="3"/>
  <c r="O699" i="3" s="1"/>
  <c r="M701" i="3"/>
  <c r="O701" i="3" s="1"/>
  <c r="M702" i="3"/>
  <c r="O702" i="3" s="1"/>
  <c r="M705" i="3"/>
  <c r="O705" i="3" s="1"/>
  <c r="M706" i="3"/>
  <c r="O706" i="3" s="1"/>
  <c r="M708" i="3"/>
  <c r="O708" i="3" s="1"/>
  <c r="M709" i="3"/>
  <c r="O709" i="3" s="1"/>
  <c r="M710" i="3"/>
  <c r="O710" i="3" s="1"/>
  <c r="M713" i="3"/>
  <c r="O713" i="3" s="1"/>
  <c r="M370" i="3"/>
  <c r="O370" i="3" s="1"/>
  <c r="M483" i="3"/>
  <c r="O483" i="3" s="1"/>
  <c r="M484" i="3"/>
  <c r="O484" i="3" s="1"/>
  <c r="M510" i="3"/>
  <c r="O510" i="3" s="1"/>
  <c r="M568" i="3"/>
  <c r="O568" i="3" s="1"/>
  <c r="M703" i="3"/>
  <c r="O703" i="3" s="1"/>
  <c r="M400" i="3"/>
  <c r="O400" i="3" s="1"/>
  <c r="M24" i="3"/>
  <c r="O24" i="3" s="1"/>
  <c r="M135" i="3"/>
  <c r="O135" i="3" s="1"/>
  <c r="M637" i="3"/>
  <c r="O637" i="3" s="1"/>
  <c r="M645" i="3"/>
  <c r="O645" i="3" s="1"/>
  <c r="M134" i="3"/>
  <c r="O134" i="3" s="1"/>
  <c r="M553" i="3"/>
  <c r="O553" i="3" s="1"/>
  <c r="M94" i="3"/>
  <c r="O94" i="3" s="1"/>
  <c r="M548" i="3"/>
  <c r="O548" i="3" s="1"/>
  <c r="M515" i="3"/>
  <c r="O515" i="3" s="1"/>
  <c r="M428" i="3"/>
  <c r="O428" i="3" s="1"/>
  <c r="M390" i="3"/>
  <c r="O390" i="3" s="1"/>
  <c r="M557" i="3"/>
  <c r="O557" i="3" s="1"/>
  <c r="M96" i="3"/>
  <c r="O96" i="3" s="1"/>
  <c r="M369" i="3"/>
  <c r="O369" i="3" s="1"/>
  <c r="M30" i="3"/>
  <c r="O30" i="3" s="1"/>
  <c r="M43" i="3"/>
  <c r="M45" i="3"/>
  <c r="O45" i="3" s="1"/>
  <c r="M53" i="3"/>
  <c r="O53" i="3" s="1"/>
  <c r="M59" i="3"/>
  <c r="O59" i="3" s="1"/>
  <c r="M60" i="3"/>
  <c r="O60" i="3" s="1"/>
  <c r="M61" i="3"/>
  <c r="O61" i="3" s="1"/>
  <c r="M62" i="3"/>
  <c r="O62" i="3" s="1"/>
  <c r="M70" i="3"/>
  <c r="O70" i="3" s="1"/>
  <c r="M76" i="3"/>
  <c r="O76" i="3" s="1"/>
  <c r="M77" i="3"/>
  <c r="O77" i="3" s="1"/>
  <c r="M78" i="3"/>
  <c r="O78" i="3" s="1"/>
  <c r="M107" i="3"/>
  <c r="O107" i="3" s="1"/>
  <c r="M148" i="3"/>
  <c r="O148" i="3" s="1"/>
  <c r="M152" i="3"/>
  <c r="O152" i="3" s="1"/>
  <c r="M240" i="3"/>
  <c r="O240" i="3" s="1"/>
  <c r="M247" i="3"/>
  <c r="O247" i="3" s="1"/>
  <c r="M248" i="3"/>
  <c r="O248" i="3" s="1"/>
  <c r="M258" i="3"/>
  <c r="O258" i="3" s="1"/>
  <c r="M276" i="3"/>
  <c r="O276" i="3" s="1"/>
  <c r="M289" i="3"/>
  <c r="O289" i="3" s="1"/>
  <c r="M325" i="3"/>
  <c r="O325" i="3" s="1"/>
  <c r="M339" i="3"/>
  <c r="O339" i="3" s="1"/>
  <c r="M352" i="3"/>
  <c r="O352" i="3" s="1"/>
  <c r="M416" i="3"/>
  <c r="O416" i="3" s="1"/>
  <c r="M432" i="3"/>
  <c r="O432" i="3" s="1"/>
  <c r="M449" i="3"/>
  <c r="O449" i="3" s="1"/>
  <c r="M462" i="3"/>
  <c r="O462" i="3" s="1"/>
  <c r="M476" i="3"/>
  <c r="O476" i="3" s="1"/>
  <c r="M485" i="3"/>
  <c r="O485" i="3" s="1"/>
  <c r="M486" i="3"/>
  <c r="O486" i="3" s="1"/>
  <c r="M489" i="3"/>
  <c r="O489" i="3" s="1"/>
  <c r="M491" i="3"/>
  <c r="O491" i="3" s="1"/>
  <c r="M495" i="3"/>
  <c r="O495" i="3" s="1"/>
  <c r="M496" i="3"/>
  <c r="O496" i="3" s="1"/>
  <c r="M497" i="3"/>
  <c r="O497" i="3" s="1"/>
  <c r="M498" i="3"/>
  <c r="O498" i="3" s="1"/>
  <c r="M499" i="3"/>
  <c r="O499" i="3" s="1"/>
  <c r="M501" i="3"/>
  <c r="O501" i="3" s="1"/>
  <c r="M503" i="3"/>
  <c r="O503" i="3" s="1"/>
  <c r="M504" i="3"/>
  <c r="O504" i="3" s="1"/>
  <c r="M526" i="3"/>
  <c r="O526" i="3" s="1"/>
  <c r="M527" i="3"/>
  <c r="O527" i="3" s="1"/>
  <c r="M552" i="3"/>
  <c r="O552" i="3" s="1"/>
  <c r="M581" i="3"/>
  <c r="O581" i="3" s="1"/>
  <c r="M602" i="3"/>
  <c r="O602" i="3" s="1"/>
  <c r="M606" i="3"/>
  <c r="O606" i="3" s="1"/>
  <c r="M626" i="3"/>
  <c r="O626" i="3" s="1"/>
  <c r="M700" i="3"/>
  <c r="O700" i="3" s="1"/>
  <c r="M715" i="3"/>
  <c r="O715" i="3" s="1"/>
  <c r="M714" i="3"/>
  <c r="O714" i="3" s="1"/>
  <c r="M711" i="3"/>
  <c r="O711" i="3" s="1"/>
  <c r="M707" i="3"/>
  <c r="O707" i="3" s="1"/>
  <c r="M704" i="3"/>
  <c r="O704" i="3" s="1"/>
  <c r="M696" i="3"/>
  <c r="O696" i="3" s="1"/>
  <c r="M695" i="3"/>
  <c r="O695" i="3" s="1"/>
  <c r="M692" i="3"/>
  <c r="O692" i="3" s="1"/>
  <c r="M691" i="3"/>
  <c r="O691" i="3" s="1"/>
  <c r="M688" i="3"/>
  <c r="O688" i="3" s="1"/>
  <c r="M687" i="3"/>
  <c r="O687" i="3" s="1"/>
  <c r="M685" i="3"/>
  <c r="O685" i="3" s="1"/>
  <c r="M684" i="3"/>
  <c r="O684" i="3" s="1"/>
  <c r="M683" i="3"/>
  <c r="O683" i="3" s="1"/>
  <c r="M681" i="3"/>
  <c r="O681" i="3" s="1"/>
  <c r="M679" i="3"/>
  <c r="O679" i="3" s="1"/>
  <c r="M677" i="3"/>
  <c r="O677" i="3" s="1"/>
  <c r="M676" i="3"/>
  <c r="O676" i="3" s="1"/>
  <c r="M675" i="3"/>
  <c r="O675" i="3" s="1"/>
  <c r="M672" i="3"/>
  <c r="O672" i="3" s="1"/>
  <c r="M669" i="3"/>
  <c r="O669" i="3" s="1"/>
  <c r="M667" i="3"/>
  <c r="O667" i="3" s="1"/>
  <c r="M665" i="3"/>
  <c r="O665" i="3" s="1"/>
  <c r="M664" i="3"/>
  <c r="O664" i="3" s="1"/>
  <c r="M660" i="3"/>
  <c r="O660" i="3" s="1"/>
  <c r="M657" i="3"/>
  <c r="O657" i="3" s="1"/>
  <c r="M655" i="3"/>
  <c r="O655" i="3" s="1"/>
  <c r="M649" i="3"/>
  <c r="O649" i="3" s="1"/>
  <c r="M648" i="3"/>
  <c r="O648" i="3" s="1"/>
  <c r="M647" i="3"/>
  <c r="O647" i="3" s="1"/>
  <c r="M643" i="3"/>
  <c r="O643" i="3" s="1"/>
  <c r="M636" i="3"/>
  <c r="O636" i="3" s="1"/>
  <c r="M635" i="3"/>
  <c r="O635" i="3" s="1"/>
  <c r="M634" i="3"/>
  <c r="O634" i="3" s="1"/>
  <c r="M633" i="3"/>
  <c r="O633" i="3" s="1"/>
  <c r="M632" i="3"/>
  <c r="O632" i="3" s="1"/>
  <c r="M631" i="3"/>
  <c r="O631" i="3" s="1"/>
  <c r="M630" i="3"/>
  <c r="O630" i="3" s="1"/>
  <c r="M629" i="3"/>
  <c r="O629" i="3" s="1"/>
  <c r="M628" i="3"/>
  <c r="O628" i="3" s="1"/>
  <c r="M627" i="3"/>
  <c r="O627" i="3" s="1"/>
  <c r="M625" i="3"/>
  <c r="O625" i="3" s="1"/>
  <c r="M624" i="3"/>
  <c r="O624" i="3" s="1"/>
  <c r="M623" i="3"/>
  <c r="O623" i="3" s="1"/>
  <c r="M622" i="3"/>
  <c r="O622" i="3" s="1"/>
  <c r="M621" i="3"/>
  <c r="O621" i="3" s="1"/>
  <c r="M620" i="3"/>
  <c r="O620" i="3" s="1"/>
  <c r="M619" i="3"/>
  <c r="O619" i="3" s="1"/>
  <c r="M618" i="3"/>
  <c r="O618" i="3" s="1"/>
  <c r="M617" i="3"/>
  <c r="O617" i="3" s="1"/>
  <c r="M616" i="3"/>
  <c r="O616" i="3" s="1"/>
  <c r="M615" i="3"/>
  <c r="O615" i="3" s="1"/>
  <c r="M614" i="3"/>
  <c r="O614" i="3" s="1"/>
  <c r="M613" i="3"/>
  <c r="O613" i="3" s="1"/>
  <c r="M612" i="3"/>
  <c r="O612" i="3" s="1"/>
  <c r="M611" i="3"/>
  <c r="O611" i="3" s="1"/>
  <c r="M610" i="3"/>
  <c r="O610" i="3" s="1"/>
  <c r="M609" i="3"/>
  <c r="O609" i="3" s="1"/>
  <c r="M608" i="3"/>
  <c r="O608" i="3" s="1"/>
  <c r="M607" i="3"/>
  <c r="O607" i="3" s="1"/>
  <c r="M605" i="3"/>
  <c r="O605" i="3" s="1"/>
  <c r="M604" i="3"/>
  <c r="O604" i="3" s="1"/>
  <c r="M603" i="3"/>
  <c r="O603" i="3" s="1"/>
  <c r="M601" i="3"/>
  <c r="O601" i="3" s="1"/>
  <c r="M600" i="3"/>
  <c r="O600" i="3" s="1"/>
  <c r="M599" i="3"/>
  <c r="O599" i="3" s="1"/>
  <c r="M598" i="3"/>
  <c r="O598" i="3" s="1"/>
  <c r="M597" i="3"/>
  <c r="O597" i="3" s="1"/>
  <c r="M596" i="3"/>
  <c r="O596" i="3" s="1"/>
  <c r="M595" i="3"/>
  <c r="O595" i="3" s="1"/>
  <c r="M594" i="3"/>
  <c r="O594" i="3" s="1"/>
  <c r="M593" i="3"/>
  <c r="O593" i="3" s="1"/>
  <c r="M592" i="3"/>
  <c r="O592" i="3" s="1"/>
  <c r="M591" i="3"/>
  <c r="O591" i="3" s="1"/>
  <c r="M590" i="3"/>
  <c r="O590" i="3" s="1"/>
  <c r="M589" i="3"/>
  <c r="O589" i="3" s="1"/>
  <c r="M588" i="3"/>
  <c r="O588" i="3" s="1"/>
  <c r="M587" i="3"/>
  <c r="O587" i="3" s="1"/>
  <c r="M586" i="3"/>
  <c r="O586" i="3" s="1"/>
  <c r="M582" i="3"/>
  <c r="O582" i="3" s="1"/>
  <c r="M580" i="3"/>
  <c r="O580" i="3" s="1"/>
  <c r="M579" i="3"/>
  <c r="O579" i="3" s="1"/>
  <c r="M578" i="3"/>
  <c r="O578" i="3" s="1"/>
  <c r="M577" i="3"/>
  <c r="O577" i="3" s="1"/>
  <c r="M576" i="3"/>
  <c r="O576" i="3" s="1"/>
  <c r="M575" i="3"/>
  <c r="O575" i="3" s="1"/>
  <c r="M574" i="3"/>
  <c r="O574" i="3" s="1"/>
  <c r="M573" i="3"/>
  <c r="O573" i="3" s="1"/>
  <c r="M571" i="3"/>
  <c r="O571" i="3" s="1"/>
  <c r="M570" i="3"/>
  <c r="O570" i="3" s="1"/>
  <c r="M569" i="3"/>
  <c r="O569" i="3" s="1"/>
  <c r="M567" i="3"/>
  <c r="O567" i="3" s="1"/>
  <c r="M566" i="3"/>
  <c r="O566" i="3" s="1"/>
  <c r="M565" i="3"/>
  <c r="O565" i="3" s="1"/>
  <c r="M564" i="3"/>
  <c r="O564" i="3" s="1"/>
  <c r="M563" i="3"/>
  <c r="O563" i="3" s="1"/>
  <c r="M562" i="3"/>
  <c r="O562" i="3" s="1"/>
  <c r="M561" i="3"/>
  <c r="O561" i="3" s="1"/>
  <c r="M560" i="3"/>
  <c r="O560" i="3" s="1"/>
  <c r="M556" i="3"/>
  <c r="O556" i="3" s="1"/>
  <c r="M555" i="3"/>
  <c r="O555" i="3" s="1"/>
  <c r="M551" i="3"/>
  <c r="O551" i="3" s="1"/>
  <c r="M550" i="3"/>
  <c r="O550" i="3" s="1"/>
  <c r="M547" i="3"/>
  <c r="O547" i="3" s="1"/>
  <c r="M546" i="3"/>
  <c r="O546" i="3" s="1"/>
  <c r="M545" i="3"/>
  <c r="O545" i="3" s="1"/>
  <c r="M542" i="3"/>
  <c r="O542" i="3" s="1"/>
  <c r="M540" i="3"/>
  <c r="O540" i="3" s="1"/>
  <c r="M538" i="3"/>
  <c r="O538" i="3" s="1"/>
  <c r="M534" i="3"/>
  <c r="O534" i="3" s="1"/>
  <c r="M533" i="3"/>
  <c r="O533" i="3" s="1"/>
  <c r="M532" i="3"/>
  <c r="O532" i="3" s="1"/>
  <c r="M530" i="3"/>
  <c r="O530" i="3" s="1"/>
  <c r="M528" i="3"/>
  <c r="O528" i="3" s="1"/>
  <c r="M520" i="3"/>
  <c r="O520" i="3" s="1"/>
  <c r="M516" i="3"/>
  <c r="O516" i="3" s="1"/>
  <c r="M514" i="3"/>
  <c r="O514" i="3" s="1"/>
  <c r="M512" i="3"/>
  <c r="O512" i="3" s="1"/>
  <c r="M511" i="3"/>
  <c r="O511" i="3" s="1"/>
  <c r="M509" i="3"/>
  <c r="O509" i="3" s="1"/>
  <c r="M505" i="3"/>
  <c r="O505" i="3" s="1"/>
  <c r="M502" i="3"/>
  <c r="O502" i="3" s="1"/>
  <c r="M490" i="3"/>
  <c r="O490" i="3" s="1"/>
  <c r="M487" i="3"/>
  <c r="O487" i="3" s="1"/>
  <c r="M482" i="3"/>
  <c r="O482" i="3" s="1"/>
  <c r="M481" i="3"/>
  <c r="O481" i="3" s="1"/>
  <c r="M479" i="3"/>
  <c r="O479" i="3" s="1"/>
  <c r="M478" i="3"/>
  <c r="O478" i="3" s="1"/>
  <c r="M477" i="3"/>
  <c r="O477" i="3" s="1"/>
  <c r="M475" i="3"/>
  <c r="O475" i="3" s="1"/>
  <c r="M472" i="3"/>
  <c r="O472" i="3" s="1"/>
  <c r="M470" i="3"/>
  <c r="O470" i="3" s="1"/>
  <c r="M464" i="3"/>
  <c r="O464" i="3" s="1"/>
  <c r="M463" i="3"/>
  <c r="O463" i="3" s="1"/>
  <c r="M460" i="3"/>
  <c r="O460" i="3" s="1"/>
  <c r="M459" i="3"/>
  <c r="O459" i="3" s="1"/>
  <c r="M457" i="3"/>
  <c r="O457" i="3" s="1"/>
  <c r="M456" i="3"/>
  <c r="O456" i="3" s="1"/>
  <c r="M455" i="3"/>
  <c r="O455" i="3" s="1"/>
  <c r="M454" i="3"/>
  <c r="O454" i="3" s="1"/>
  <c r="M453" i="3"/>
  <c r="O453" i="3" s="1"/>
  <c r="M451" i="3"/>
  <c r="O451" i="3" s="1"/>
  <c r="M445" i="3"/>
  <c r="O445" i="3" s="1"/>
  <c r="M444" i="3"/>
  <c r="O444" i="3" s="1"/>
  <c r="M442" i="3"/>
  <c r="O442" i="3" s="1"/>
  <c r="M441" i="3"/>
  <c r="O441" i="3" s="1"/>
  <c r="M440" i="3"/>
  <c r="O440" i="3" s="1"/>
  <c r="M436" i="3"/>
  <c r="O436" i="3" s="1"/>
  <c r="M433" i="3"/>
  <c r="O433" i="3" s="1"/>
  <c r="M429" i="3"/>
  <c r="O429" i="3" s="1"/>
  <c r="M426" i="3"/>
  <c r="O426" i="3" s="1"/>
  <c r="M424" i="3"/>
  <c r="O424" i="3" s="1"/>
  <c r="M420" i="3"/>
  <c r="O420" i="3" s="1"/>
  <c r="M419" i="3"/>
  <c r="O419" i="3" s="1"/>
  <c r="M412" i="3"/>
  <c r="O412" i="3" s="1"/>
  <c r="M411" i="3"/>
  <c r="O411" i="3" s="1"/>
  <c r="M406" i="3"/>
  <c r="O406" i="3" s="1"/>
  <c r="M404" i="3"/>
  <c r="O404" i="3" s="1"/>
  <c r="M403" i="3"/>
  <c r="O403" i="3" s="1"/>
  <c r="M396" i="3"/>
  <c r="O396" i="3" s="1"/>
  <c r="M394" i="3"/>
  <c r="O394" i="3" s="1"/>
  <c r="M393" i="3"/>
  <c r="O393" i="3" s="1"/>
  <c r="M392" i="3"/>
  <c r="O392" i="3" s="1"/>
  <c r="M388" i="3"/>
  <c r="O388" i="3" s="1"/>
  <c r="M387" i="3"/>
  <c r="O387" i="3" s="1"/>
  <c r="M385" i="3"/>
  <c r="O385" i="3" s="1"/>
  <c r="M383" i="3"/>
  <c r="O383" i="3" s="1"/>
  <c r="M380" i="3"/>
  <c r="O380" i="3" s="1"/>
  <c r="M377" i="3"/>
  <c r="O377" i="3" s="1"/>
  <c r="M376" i="3"/>
  <c r="O376" i="3" s="1"/>
  <c r="M375" i="3"/>
  <c r="O375" i="3" s="1"/>
  <c r="M374" i="3"/>
  <c r="O374" i="3" s="1"/>
  <c r="M371" i="3"/>
  <c r="O371" i="3" s="1"/>
  <c r="M365" i="3"/>
  <c r="O365" i="3" s="1"/>
  <c r="M364" i="3"/>
  <c r="O364" i="3" s="1"/>
  <c r="M362" i="3"/>
  <c r="O362" i="3" s="1"/>
  <c r="M358" i="3"/>
  <c r="O358" i="3" s="1"/>
  <c r="M357" i="3"/>
  <c r="O357" i="3" s="1"/>
  <c r="M356" i="3"/>
  <c r="O356" i="3" s="1"/>
  <c r="M354" i="3"/>
  <c r="O354" i="3" s="1"/>
  <c r="M350" i="3"/>
  <c r="O350" i="3" s="1"/>
  <c r="M349" i="3"/>
  <c r="O349" i="3" s="1"/>
  <c r="M348" i="3"/>
  <c r="O348" i="3" s="1"/>
  <c r="M347" i="3"/>
  <c r="O347" i="3" s="1"/>
  <c r="M346" i="3"/>
  <c r="O346" i="3" s="1"/>
  <c r="M345" i="3"/>
  <c r="O345" i="3" s="1"/>
  <c r="M344" i="3"/>
  <c r="O344" i="3" s="1"/>
  <c r="M343" i="3"/>
  <c r="O343" i="3" s="1"/>
  <c r="M342" i="3"/>
  <c r="O342" i="3" s="1"/>
  <c r="M340" i="3"/>
  <c r="O340" i="3" s="1"/>
  <c r="M338" i="3"/>
  <c r="O338" i="3" s="1"/>
  <c r="M337" i="3"/>
  <c r="O337" i="3" s="1"/>
  <c r="M336" i="3"/>
  <c r="O336" i="3" s="1"/>
  <c r="M335" i="3"/>
  <c r="O335" i="3" s="1"/>
  <c r="M334" i="3"/>
  <c r="O334" i="3" s="1"/>
  <c r="M333" i="3"/>
  <c r="O333" i="3" s="1"/>
  <c r="M329" i="3"/>
  <c r="O329" i="3" s="1"/>
  <c r="M326" i="3"/>
  <c r="O326" i="3" s="1"/>
  <c r="M321" i="3"/>
  <c r="O321" i="3" s="1"/>
  <c r="M318" i="3"/>
  <c r="O318" i="3" s="1"/>
  <c r="M312" i="3"/>
  <c r="O312" i="3" s="1"/>
  <c r="M311" i="3"/>
  <c r="O311" i="3" s="1"/>
  <c r="M308" i="3"/>
  <c r="O308" i="3" s="1"/>
  <c r="M307" i="3"/>
  <c r="O307" i="3" s="1"/>
  <c r="M305" i="3"/>
  <c r="O305" i="3" s="1"/>
  <c r="M304" i="3"/>
  <c r="O304" i="3" s="1"/>
  <c r="M303" i="3"/>
  <c r="O303" i="3" s="1"/>
  <c r="M302" i="3"/>
  <c r="O302" i="3" s="1"/>
  <c r="M301" i="3"/>
  <c r="O301" i="3" s="1"/>
  <c r="M299" i="3"/>
  <c r="O299" i="3" s="1"/>
  <c r="M298" i="3"/>
  <c r="O298" i="3" s="1"/>
  <c r="M297" i="3"/>
  <c r="O297" i="3" s="1"/>
  <c r="M296" i="3"/>
  <c r="O296" i="3" s="1"/>
  <c r="M294" i="3"/>
  <c r="O294" i="3" s="1"/>
  <c r="M292" i="3"/>
  <c r="O292" i="3" s="1"/>
  <c r="M291" i="3"/>
  <c r="O291" i="3" s="1"/>
  <c r="M290" i="3"/>
  <c r="O290" i="3" s="1"/>
  <c r="M287" i="3"/>
  <c r="O287" i="3" s="1"/>
  <c r="M284" i="3"/>
  <c r="O284" i="3" s="1"/>
  <c r="M283" i="3"/>
  <c r="O283" i="3" s="1"/>
  <c r="M282" i="3"/>
  <c r="O282" i="3" s="1"/>
  <c r="M278" i="3"/>
  <c r="O278" i="3" s="1"/>
  <c r="M277" i="3"/>
  <c r="O277" i="3" s="1"/>
  <c r="M275" i="3"/>
  <c r="O275" i="3" s="1"/>
  <c r="M274" i="3"/>
  <c r="O274" i="3" s="1"/>
  <c r="M272" i="3"/>
  <c r="O272" i="3" s="1"/>
  <c r="M271" i="3"/>
  <c r="O271" i="3" s="1"/>
  <c r="M270" i="3"/>
  <c r="O270" i="3" s="1"/>
  <c r="M269" i="3"/>
  <c r="O269" i="3" s="1"/>
  <c r="M266" i="3"/>
  <c r="O266" i="3" s="1"/>
  <c r="M262" i="3"/>
  <c r="O262" i="3" s="1"/>
  <c r="M261" i="3"/>
  <c r="O261" i="3" s="1"/>
  <c r="M260" i="3"/>
  <c r="O260" i="3" s="1"/>
  <c r="M259" i="3"/>
  <c r="O259" i="3" s="1"/>
  <c r="M254" i="3"/>
  <c r="O254" i="3" s="1"/>
  <c r="M253" i="3"/>
  <c r="O253" i="3" s="1"/>
  <c r="M251" i="3"/>
  <c r="O251" i="3" s="1"/>
  <c r="M249" i="3"/>
  <c r="O249" i="3" s="1"/>
  <c r="M244" i="3"/>
  <c r="O244" i="3" s="1"/>
  <c r="M243" i="3"/>
  <c r="O243" i="3" s="1"/>
  <c r="M242" i="3"/>
  <c r="O242" i="3" s="1"/>
  <c r="M241" i="3"/>
  <c r="O241" i="3" s="1"/>
  <c r="M236" i="3"/>
  <c r="O236" i="3" s="1"/>
  <c r="M234" i="3"/>
  <c r="O234" i="3" s="1"/>
  <c r="M232" i="3"/>
  <c r="O232" i="3" s="1"/>
  <c r="M231" i="3"/>
  <c r="O231" i="3" s="1"/>
  <c r="M229" i="3"/>
  <c r="O229" i="3" s="1"/>
  <c r="M228" i="3"/>
  <c r="O228" i="3" s="1"/>
  <c r="M226" i="3"/>
  <c r="O226" i="3" s="1"/>
  <c r="M225" i="3"/>
  <c r="O225" i="3" s="1"/>
  <c r="M223" i="3"/>
  <c r="O223" i="3" s="1"/>
  <c r="M222" i="3"/>
  <c r="O222" i="3" s="1"/>
  <c r="M220" i="3"/>
  <c r="O220" i="3" s="1"/>
  <c r="M219" i="3"/>
  <c r="O219" i="3" s="1"/>
  <c r="M217" i="3"/>
  <c r="O217" i="3" s="1"/>
  <c r="M209" i="3"/>
  <c r="O209" i="3" s="1"/>
  <c r="M208" i="3"/>
  <c r="O208" i="3" s="1"/>
  <c r="M206" i="3"/>
  <c r="O206" i="3" s="1"/>
  <c r="M205" i="3"/>
  <c r="O205" i="3" s="1"/>
  <c r="M204" i="3"/>
  <c r="O204" i="3" s="1"/>
  <c r="M193" i="3"/>
  <c r="O193" i="3" s="1"/>
  <c r="M192" i="3"/>
  <c r="O192" i="3" s="1"/>
  <c r="M190" i="3"/>
  <c r="O190" i="3" s="1"/>
  <c r="M189" i="3"/>
  <c r="O189" i="3" s="1"/>
  <c r="M188" i="3"/>
  <c r="O188" i="3" s="1"/>
  <c r="M184" i="3"/>
  <c r="O184" i="3" s="1"/>
  <c r="M182" i="3"/>
  <c r="O182" i="3" s="1"/>
  <c r="M181" i="3"/>
  <c r="O181" i="3" s="1"/>
  <c r="M180" i="3"/>
  <c r="O180" i="3" s="1"/>
  <c r="M176" i="3"/>
  <c r="O176" i="3" s="1"/>
  <c r="M175" i="3"/>
  <c r="O175" i="3" s="1"/>
  <c r="M174" i="3"/>
  <c r="O174" i="3" s="1"/>
  <c r="M173" i="3"/>
  <c r="O173" i="3" s="1"/>
  <c r="M172" i="3"/>
  <c r="O172" i="3" s="1"/>
  <c r="M171" i="3"/>
  <c r="O171" i="3" s="1"/>
  <c r="M170" i="3"/>
  <c r="O170" i="3" s="1"/>
  <c r="M168" i="3"/>
  <c r="O168" i="3" s="1"/>
  <c r="M166" i="3"/>
  <c r="O166" i="3" s="1"/>
  <c r="M165" i="3"/>
  <c r="O165" i="3" s="1"/>
  <c r="M164" i="3"/>
  <c r="O164" i="3" s="1"/>
  <c r="M163" i="3"/>
  <c r="O163" i="3" s="1"/>
  <c r="M162" i="3"/>
  <c r="O162" i="3" s="1"/>
  <c r="M161" i="3"/>
  <c r="O161" i="3" s="1"/>
  <c r="M160" i="3"/>
  <c r="O160" i="3" s="1"/>
  <c r="M159" i="3"/>
  <c r="O159" i="3" s="1"/>
  <c r="M158" i="3"/>
  <c r="O158" i="3" s="1"/>
  <c r="M155" i="3"/>
  <c r="O155" i="3" s="1"/>
  <c r="M154" i="3"/>
  <c r="O154" i="3" s="1"/>
  <c r="M153" i="3"/>
  <c r="O153" i="3" s="1"/>
  <c r="M151" i="3"/>
  <c r="O151" i="3" s="1"/>
  <c r="M150" i="3"/>
  <c r="O150" i="3" s="1"/>
  <c r="M149" i="3"/>
  <c r="O149" i="3" s="1"/>
  <c r="M147" i="3"/>
  <c r="O147" i="3" s="1"/>
  <c r="M146" i="3"/>
  <c r="O146" i="3" s="1"/>
  <c r="M144" i="3"/>
  <c r="O144" i="3" s="1"/>
  <c r="M142" i="3"/>
  <c r="O142" i="3" s="1"/>
  <c r="M141" i="3"/>
  <c r="O141" i="3" s="1"/>
  <c r="M140" i="3"/>
  <c r="O140" i="3" s="1"/>
  <c r="M139" i="3"/>
  <c r="O139" i="3" s="1"/>
  <c r="M136" i="3"/>
  <c r="O136" i="3" s="1"/>
  <c r="M132" i="3"/>
  <c r="O132" i="3" s="1"/>
  <c r="M129" i="3"/>
  <c r="O129" i="3" s="1"/>
  <c r="M128" i="3"/>
  <c r="O128" i="3" s="1"/>
  <c r="M127" i="3"/>
  <c r="O127" i="3" s="1"/>
  <c r="M126" i="3"/>
  <c r="O126" i="3" s="1"/>
  <c r="M123" i="3"/>
  <c r="O123" i="3" s="1"/>
  <c r="M121" i="3"/>
  <c r="O121" i="3" s="1"/>
  <c r="M118" i="3"/>
  <c r="O118" i="3" s="1"/>
  <c r="M116" i="3"/>
  <c r="O116" i="3" s="1"/>
  <c r="M114" i="3"/>
  <c r="O114" i="3" s="1"/>
  <c r="M113" i="3"/>
  <c r="O113" i="3" s="1"/>
  <c r="M112" i="3"/>
  <c r="O112" i="3" s="1"/>
  <c r="M111" i="3"/>
  <c r="O111" i="3" s="1"/>
  <c r="M110" i="3"/>
  <c r="O110" i="3" s="1"/>
  <c r="M109" i="3"/>
  <c r="O109" i="3" s="1"/>
  <c r="M103" i="3"/>
  <c r="O103" i="3" s="1"/>
  <c r="M102" i="3"/>
  <c r="O102" i="3" s="1"/>
  <c r="M101" i="3"/>
  <c r="O101" i="3" s="1"/>
  <c r="M100" i="3"/>
  <c r="O100" i="3" s="1"/>
  <c r="M99" i="3"/>
  <c r="O99" i="3" s="1"/>
  <c r="M97" i="3"/>
  <c r="O97" i="3" s="1"/>
  <c r="M95" i="3"/>
  <c r="O95" i="3" s="1"/>
  <c r="M93" i="3"/>
  <c r="O93" i="3" s="1"/>
  <c r="M89" i="3"/>
  <c r="O89" i="3" s="1"/>
  <c r="M87" i="3"/>
  <c r="O87" i="3" s="1"/>
  <c r="M85" i="3"/>
  <c r="O85" i="3" s="1"/>
  <c r="M83" i="3"/>
  <c r="O83" i="3" s="1"/>
  <c r="M82" i="3"/>
  <c r="O82" i="3" s="1"/>
  <c r="M81" i="3"/>
  <c r="O81" i="3" s="1"/>
  <c r="M79" i="3"/>
  <c r="O79" i="3" s="1"/>
  <c r="M72" i="3"/>
  <c r="O72" i="3" s="1"/>
  <c r="M69" i="3"/>
  <c r="O69" i="3" s="1"/>
  <c r="M64" i="3"/>
  <c r="O64" i="3" s="1"/>
  <c r="M63" i="3"/>
  <c r="O63" i="3" s="1"/>
  <c r="M57" i="3"/>
  <c r="O57" i="3" s="1"/>
  <c r="M50" i="3"/>
  <c r="O50" i="3" s="1"/>
  <c r="M47" i="3"/>
  <c r="O47" i="3" s="1"/>
  <c r="M44" i="3"/>
  <c r="O44" i="3" s="1"/>
  <c r="M38" i="3"/>
  <c r="O38" i="3" s="1"/>
  <c r="M36" i="3"/>
  <c r="O36" i="3" s="1"/>
  <c r="M33" i="3"/>
  <c r="O33" i="3" s="1"/>
  <c r="M32" i="3"/>
  <c r="O32" i="3" s="1"/>
  <c r="M31" i="3"/>
  <c r="O31" i="3" s="1"/>
  <c r="M27" i="3"/>
  <c r="O27" i="3" s="1"/>
  <c r="M22" i="3"/>
  <c r="O22" i="3" s="1"/>
  <c r="M21" i="3"/>
  <c r="O21" i="3" s="1"/>
  <c r="M19" i="3"/>
  <c r="O19" i="3" s="1"/>
  <c r="M18" i="3"/>
  <c r="O18" i="3" s="1"/>
  <c r="M14" i="3"/>
  <c r="O14" i="3" s="1"/>
  <c r="M10" i="3"/>
  <c r="O10" i="3" s="1"/>
  <c r="M9" i="3"/>
  <c r="O9" i="3" s="1"/>
  <c r="M6" i="3"/>
  <c r="O6" i="3" s="1"/>
  <c r="M4" i="3"/>
  <c r="O4" i="3" s="1"/>
  <c r="Q5" i="3"/>
  <c r="Q6" i="3"/>
  <c r="Q7" i="3"/>
  <c r="Q8" i="3"/>
  <c r="Q9" i="3"/>
  <c r="Q11" i="3"/>
  <c r="Q13" i="3"/>
  <c r="Q15" i="3"/>
  <c r="Q16" i="3"/>
  <c r="Q17" i="3"/>
  <c r="Q18" i="3"/>
  <c r="Q19" i="3"/>
  <c r="Q20" i="3"/>
  <c r="Q21" i="3"/>
  <c r="Q22" i="3"/>
  <c r="Q23" i="3"/>
  <c r="Q26" i="3"/>
  <c r="Q27" i="3"/>
  <c r="Q28" i="3"/>
  <c r="Q29" i="3"/>
  <c r="Q31" i="3"/>
  <c r="Q32" i="3"/>
  <c r="Q33" i="3"/>
  <c r="Q37" i="3"/>
  <c r="Q42" i="3"/>
  <c r="Q44" i="3"/>
  <c r="Q46" i="3"/>
  <c r="Q47" i="3"/>
  <c r="Q52" i="3"/>
  <c r="Q54" i="3"/>
  <c r="Q55" i="3"/>
  <c r="Q64" i="3"/>
  <c r="Q65" i="3"/>
  <c r="Q66" i="3"/>
  <c r="Q67" i="3"/>
  <c r="Q68" i="3"/>
  <c r="Q69" i="3"/>
  <c r="Q71" i="3"/>
  <c r="Q73" i="3"/>
  <c r="Q74" i="3"/>
  <c r="Q80" i="3"/>
  <c r="Q81" i="3"/>
  <c r="Q82" i="3"/>
  <c r="Q83" i="3"/>
  <c r="Q88" i="3"/>
  <c r="Q89" i="3"/>
  <c r="Q90" i="3"/>
  <c r="Q91" i="3"/>
  <c r="Q97" i="3"/>
  <c r="Q102" i="3"/>
  <c r="Q104" i="3"/>
  <c r="Q106" i="3"/>
  <c r="Q108" i="3"/>
  <c r="Q109" i="3"/>
  <c r="Q110" i="3"/>
  <c r="Q112" i="3"/>
  <c r="Q113" i="3"/>
  <c r="Q114" i="3"/>
  <c r="Q115" i="3"/>
  <c r="Q117" i="3"/>
  <c r="Q118" i="3"/>
  <c r="Q119" i="3"/>
  <c r="Q120" i="3"/>
  <c r="Q121" i="3"/>
  <c r="Q122" i="3"/>
  <c r="Q123" i="3"/>
  <c r="Q126" i="3"/>
  <c r="Q127" i="3"/>
  <c r="Q128" i="3"/>
  <c r="Q130" i="3"/>
  <c r="Q132" i="3"/>
  <c r="Q133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9" i="3"/>
  <c r="Q150" i="3"/>
  <c r="Q151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1" i="3"/>
  <c r="Q242" i="3"/>
  <c r="Q243" i="3"/>
  <c r="Q244" i="3"/>
  <c r="Q245" i="3"/>
  <c r="Q246" i="3"/>
  <c r="Q249" i="3"/>
  <c r="Q250" i="3"/>
  <c r="Q251" i="3"/>
  <c r="Q252" i="3"/>
  <c r="Q253" i="3"/>
  <c r="Q254" i="3"/>
  <c r="Q255" i="3"/>
  <c r="Q256" i="3"/>
  <c r="Q257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3" i="3"/>
  <c r="Q354" i="3"/>
  <c r="Q355" i="3"/>
  <c r="Q356" i="3"/>
  <c r="Q357" i="3"/>
  <c r="Q358" i="3"/>
  <c r="Q359" i="3"/>
  <c r="Q360" i="3"/>
  <c r="Q361" i="3"/>
  <c r="Q362" i="3"/>
  <c r="Q366" i="3"/>
  <c r="Q367" i="3"/>
  <c r="Q368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1" i="3"/>
  <c r="Q392" i="3"/>
  <c r="Q393" i="3"/>
  <c r="Q394" i="3"/>
  <c r="Q395" i="3"/>
  <c r="Q396" i="3"/>
  <c r="Q397" i="3"/>
  <c r="Q398" i="3"/>
  <c r="Q399" i="3"/>
  <c r="Q401" i="3"/>
  <c r="Q405" i="3"/>
  <c r="Q406" i="3"/>
  <c r="Q407" i="3"/>
  <c r="Q408" i="3"/>
  <c r="Q409" i="3"/>
  <c r="Q410" i="3"/>
  <c r="Q411" i="3"/>
  <c r="Q412" i="3"/>
  <c r="Q413" i="3"/>
  <c r="Q414" i="3"/>
  <c r="Q415" i="3"/>
  <c r="Q417" i="3"/>
  <c r="Q418" i="3"/>
  <c r="Q419" i="3"/>
  <c r="Q420" i="3"/>
  <c r="Q421" i="3"/>
  <c r="Q422" i="3"/>
  <c r="Q423" i="3"/>
  <c r="Q424" i="3"/>
  <c r="Q425" i="3"/>
  <c r="Q426" i="3"/>
  <c r="Q433" i="3"/>
  <c r="Q434" i="3"/>
  <c r="Q435" i="3"/>
  <c r="Q436" i="3"/>
  <c r="Q438" i="3"/>
  <c r="Q441" i="3"/>
  <c r="Q442" i="3"/>
  <c r="Q443" i="3"/>
  <c r="Q444" i="3"/>
  <c r="Q445" i="3"/>
  <c r="Q447" i="3"/>
  <c r="Q448" i="3"/>
  <c r="Q450" i="3"/>
  <c r="Q451" i="3"/>
  <c r="Q452" i="3"/>
  <c r="Q453" i="3"/>
  <c r="Q454" i="3"/>
  <c r="Q456" i="3"/>
  <c r="Q457" i="3"/>
  <c r="Q458" i="3"/>
  <c r="Q459" i="3"/>
  <c r="Q460" i="3"/>
  <c r="Q461" i="3"/>
  <c r="Q463" i="3"/>
  <c r="Q464" i="3"/>
  <c r="Q465" i="3"/>
  <c r="Q467" i="3"/>
  <c r="Q468" i="3"/>
  <c r="Q471" i="3"/>
  <c r="Q472" i="3"/>
  <c r="Q473" i="3"/>
  <c r="Q474" i="3"/>
  <c r="Q475" i="3"/>
  <c r="Q481" i="3"/>
  <c r="Q482" i="3"/>
  <c r="Q500" i="3"/>
  <c r="Q507" i="3"/>
  <c r="Q508" i="3"/>
  <c r="Q509" i="3"/>
  <c r="Q511" i="3"/>
  <c r="Q512" i="3"/>
  <c r="Q513" i="3"/>
  <c r="Q517" i="3"/>
  <c r="Q522" i="3"/>
  <c r="Q525" i="3"/>
  <c r="Q528" i="3"/>
  <c r="Q529" i="3"/>
  <c r="Q531" i="3"/>
  <c r="Q532" i="3"/>
  <c r="Q533" i="3"/>
  <c r="Q535" i="3"/>
  <c r="Q536" i="3"/>
  <c r="Q543" i="3"/>
  <c r="Q547" i="3"/>
  <c r="Q549" i="3"/>
  <c r="Q550" i="3"/>
  <c r="Q565" i="3"/>
  <c r="Q566" i="3"/>
  <c r="Q569" i="3"/>
  <c r="Q570" i="3"/>
  <c r="Q572" i="3"/>
  <c r="Q573" i="3"/>
  <c r="Q576" i="3"/>
  <c r="Q580" i="3"/>
  <c r="Q582" i="3"/>
  <c r="Q583" i="3"/>
  <c r="Q584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3" i="3"/>
  <c r="Q604" i="3"/>
  <c r="Q605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7" i="3"/>
  <c r="Q628" i="3"/>
  <c r="Q629" i="3"/>
  <c r="Q630" i="3"/>
  <c r="Q631" i="3"/>
  <c r="Q632" i="3"/>
  <c r="Q633" i="3"/>
  <c r="Q634" i="3"/>
  <c r="Q635" i="3"/>
  <c r="Q636" i="3"/>
  <c r="Q638" i="3"/>
  <c r="Q644" i="3"/>
  <c r="Q649" i="3"/>
  <c r="Q650" i="3"/>
  <c r="Q651" i="3"/>
  <c r="Q652" i="3"/>
  <c r="Q653" i="3"/>
  <c r="Q654" i="3"/>
  <c r="Q655" i="3"/>
  <c r="Q656" i="3"/>
  <c r="Q658" i="3"/>
  <c r="Q659" i="3"/>
  <c r="Q660" i="3"/>
  <c r="Q661" i="3"/>
  <c r="Q662" i="3"/>
  <c r="Q663" i="3"/>
  <c r="Q664" i="3"/>
  <c r="Q665" i="3"/>
  <c r="Q666" i="3"/>
  <c r="Q667" i="3"/>
  <c r="Q668" i="3"/>
  <c r="Q670" i="3"/>
  <c r="Q671" i="3"/>
  <c r="Q672" i="3"/>
  <c r="Q673" i="3"/>
  <c r="Q674" i="3"/>
  <c r="Q675" i="3"/>
  <c r="Q676" i="3"/>
  <c r="Q677" i="3"/>
  <c r="Q678" i="3"/>
  <c r="Q679" i="3"/>
  <c r="Q680" i="3"/>
  <c r="Q682" i="3"/>
  <c r="Q683" i="3"/>
  <c r="Q684" i="3"/>
  <c r="Q685" i="3"/>
  <c r="Q688" i="3"/>
  <c r="Q689" i="3"/>
  <c r="Q690" i="3"/>
  <c r="Q693" i="3"/>
  <c r="Q694" i="3"/>
  <c r="Q695" i="3"/>
  <c r="Q696" i="3"/>
  <c r="Q697" i="3"/>
  <c r="Q698" i="3"/>
  <c r="Q699" i="3"/>
  <c r="Q701" i="3"/>
  <c r="Q702" i="3"/>
  <c r="Q704" i="3"/>
  <c r="Q705" i="3"/>
  <c r="Q706" i="3"/>
  <c r="Q707" i="3"/>
  <c r="Q709" i="3"/>
  <c r="Q710" i="3"/>
  <c r="Q711" i="3"/>
  <c r="Q712" i="3"/>
  <c r="Q713" i="3"/>
  <c r="Q714" i="3"/>
  <c r="Q716" i="3"/>
  <c r="Q370" i="3"/>
  <c r="Q483" i="3"/>
  <c r="Q484" i="3"/>
  <c r="Q510" i="3"/>
  <c r="Q568" i="3"/>
  <c r="Q703" i="3"/>
  <c r="Q400" i="3"/>
  <c r="Q24" i="3"/>
  <c r="Q135" i="3"/>
  <c r="Q637" i="3"/>
  <c r="Q645" i="3"/>
  <c r="Q134" i="3"/>
  <c r="Q553" i="3"/>
  <c r="Q94" i="3"/>
  <c r="Q548" i="3"/>
  <c r="Q515" i="3"/>
  <c r="Q428" i="3"/>
  <c r="Q390" i="3"/>
  <c r="Q557" i="3"/>
  <c r="Q96" i="3"/>
  <c r="Q369" i="3"/>
  <c r="Q30" i="3"/>
  <c r="Q43" i="3"/>
  <c r="Q45" i="3"/>
  <c r="Q53" i="3"/>
  <c r="Q59" i="3"/>
  <c r="Q60" i="3"/>
  <c r="Q61" i="3"/>
  <c r="Q62" i="3"/>
  <c r="Q70" i="3"/>
  <c r="Q76" i="3"/>
  <c r="Q77" i="3"/>
  <c r="Q78" i="3"/>
  <c r="Q107" i="3"/>
  <c r="Q148" i="3"/>
  <c r="Q152" i="3"/>
  <c r="Q240" i="3"/>
  <c r="Q247" i="3"/>
  <c r="Q248" i="3"/>
  <c r="Q258" i="3"/>
  <c r="Q276" i="3"/>
  <c r="Q289" i="3"/>
  <c r="Q325" i="3"/>
  <c r="Q339" i="3"/>
  <c r="Q352" i="3"/>
  <c r="Q416" i="3"/>
  <c r="Q432" i="3"/>
  <c r="Q449" i="3"/>
  <c r="Q462" i="3"/>
  <c r="Q476" i="3"/>
  <c r="Q485" i="3"/>
  <c r="Q486" i="3"/>
  <c r="Q489" i="3"/>
  <c r="Q491" i="3"/>
  <c r="Q495" i="3"/>
  <c r="Q496" i="3"/>
  <c r="Q497" i="3"/>
  <c r="Q498" i="3"/>
  <c r="Q499" i="3"/>
  <c r="Q501" i="3"/>
  <c r="Q503" i="3"/>
  <c r="Q504" i="3"/>
  <c r="Q526" i="3"/>
  <c r="Q527" i="3"/>
  <c r="Q552" i="3"/>
  <c r="Q581" i="3"/>
  <c r="Q602" i="3"/>
  <c r="Q606" i="3"/>
  <c r="Q626" i="3"/>
  <c r="Q700" i="3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46" i="6"/>
  <c r="C47" i="6"/>
  <c r="C48" i="6"/>
  <c r="C49" i="6"/>
  <c r="C50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2" i="5"/>
  <c r="Y12" i="3"/>
  <c r="Q12" i="3" s="1"/>
  <c r="Y39" i="3"/>
  <c r="Y40" i="3"/>
  <c r="Y72" i="3"/>
  <c r="Y79" i="3"/>
  <c r="Y84" i="3"/>
  <c r="Q84" i="3" s="1"/>
  <c r="Y85" i="3"/>
  <c r="Q85" i="3" s="1"/>
  <c r="Y86" i="3"/>
  <c r="Y87" i="3"/>
  <c r="Y99" i="3"/>
  <c r="Q99" i="3" s="1"/>
  <c r="Y100" i="3"/>
  <c r="Y101" i="3"/>
  <c r="Y103" i="3"/>
  <c r="Q103" i="3" s="1"/>
  <c r="Y105" i="3"/>
  <c r="Y429" i="3"/>
  <c r="Y431" i="3"/>
  <c r="Y437" i="3"/>
  <c r="Y439" i="3"/>
  <c r="Q439" i="3" s="1"/>
  <c r="Y440" i="3"/>
  <c r="Q440" i="3" s="1"/>
  <c r="Y446" i="3"/>
  <c r="Y455" i="3"/>
  <c r="Y466" i="3"/>
  <c r="Y477" i="3"/>
  <c r="Y478" i="3"/>
  <c r="Q478" i="3" s="1"/>
  <c r="Y479" i="3"/>
  <c r="Y480" i="3"/>
  <c r="Y487" i="3"/>
  <c r="Y488" i="3"/>
  <c r="Y490" i="3"/>
  <c r="Y492" i="3"/>
  <c r="Y493" i="3"/>
  <c r="Y494" i="3"/>
  <c r="Y502" i="3"/>
  <c r="Q502" i="3" s="1"/>
  <c r="Y505" i="3"/>
  <c r="Y506" i="3"/>
  <c r="Y514" i="3"/>
  <c r="Y516" i="3"/>
  <c r="Y524" i="3"/>
  <c r="Y537" i="3"/>
  <c r="Q537" i="3" s="1"/>
  <c r="Y538" i="3"/>
  <c r="Y539" i="3"/>
  <c r="Y540" i="3"/>
  <c r="Y541" i="3"/>
  <c r="Y542" i="3"/>
  <c r="Y544" i="3"/>
  <c r="Y546" i="3"/>
  <c r="Y563" i="3"/>
  <c r="Y564" i="3"/>
  <c r="Q564" i="3" s="1"/>
  <c r="Y567" i="3"/>
  <c r="Y574" i="3"/>
  <c r="Y575" i="3"/>
  <c r="Y577" i="3"/>
  <c r="Q577" i="3" s="1"/>
  <c r="Y578" i="3"/>
  <c r="Y579" i="3"/>
  <c r="Y585" i="3"/>
  <c r="Y643" i="3"/>
  <c r="Y657" i="3"/>
  <c r="Y669" i="3"/>
  <c r="Y686" i="3"/>
  <c r="Y691" i="3"/>
  <c r="Q691" i="3" s="1"/>
  <c r="Y692" i="3"/>
  <c r="Y708" i="3"/>
  <c r="X25" i="3"/>
  <c r="Y25" i="3" s="1"/>
  <c r="X34" i="3"/>
  <c r="Y34" i="3" s="1"/>
  <c r="X35" i="3"/>
  <c r="X36" i="3"/>
  <c r="Y36" i="3" s="1"/>
  <c r="X38" i="3"/>
  <c r="Y38" i="3" s="1"/>
  <c r="X41" i="3"/>
  <c r="Y41" i="3" s="1"/>
  <c r="X48" i="3"/>
  <c r="Y48" i="3" s="1"/>
  <c r="X49" i="3"/>
  <c r="X50" i="3"/>
  <c r="X51" i="3"/>
  <c r="Y51" i="3" s="1"/>
  <c r="X56" i="3"/>
  <c r="Y56" i="3" s="1"/>
  <c r="X57" i="3"/>
  <c r="Y57" i="3" s="1"/>
  <c r="X58" i="3"/>
  <c r="X63" i="3"/>
  <c r="Y63" i="3" s="1"/>
  <c r="X75" i="3"/>
  <c r="X92" i="3"/>
  <c r="Y92" i="3" s="1"/>
  <c r="X93" i="3"/>
  <c r="Y93" i="3" s="1"/>
  <c r="X95" i="3"/>
  <c r="X98" i="3"/>
  <c r="Y98" i="3" s="1"/>
  <c r="X111" i="3"/>
  <c r="Y111" i="3" s="1"/>
  <c r="X116" i="3"/>
  <c r="Y116" i="3" s="1"/>
  <c r="X124" i="3"/>
  <c r="Y124" i="3" s="1"/>
  <c r="X125" i="3"/>
  <c r="X129" i="3"/>
  <c r="X131" i="3"/>
  <c r="Y131" i="3" s="1"/>
  <c r="X363" i="3"/>
  <c r="Y363" i="3" s="1"/>
  <c r="X364" i="3"/>
  <c r="Y364" i="3" s="1"/>
  <c r="X365" i="3"/>
  <c r="Y365" i="3" s="1"/>
  <c r="X402" i="3"/>
  <c r="X403" i="3"/>
  <c r="Y403" i="3" s="1"/>
  <c r="X404" i="3"/>
  <c r="Y404" i="3" s="1"/>
  <c r="X427" i="3"/>
  <c r="X430" i="3"/>
  <c r="Y430" i="3" s="1"/>
  <c r="X469" i="3"/>
  <c r="Y469" i="3" s="1"/>
  <c r="X470" i="3"/>
  <c r="Y470" i="3" s="1"/>
  <c r="X518" i="3"/>
  <c r="Y518" i="3" s="1"/>
  <c r="X519" i="3"/>
  <c r="Y519" i="3" s="1"/>
  <c r="X520" i="3"/>
  <c r="Y520" i="3" s="1"/>
  <c r="X521" i="3"/>
  <c r="Y521" i="3" s="1"/>
  <c r="X523" i="3"/>
  <c r="Y523" i="3" s="1"/>
  <c r="X530" i="3"/>
  <c r="Y530" i="3" s="1"/>
  <c r="X534" i="3"/>
  <c r="X545" i="3"/>
  <c r="Y545" i="3" s="1"/>
  <c r="X551" i="3"/>
  <c r="X554" i="3"/>
  <c r="Y554" i="3" s="1"/>
  <c r="X555" i="3"/>
  <c r="Y555" i="3" s="1"/>
  <c r="X556" i="3"/>
  <c r="Y556" i="3" s="1"/>
  <c r="X558" i="3"/>
  <c r="X559" i="3"/>
  <c r="Y559" i="3" s="1"/>
  <c r="X560" i="3"/>
  <c r="Y560" i="3" s="1"/>
  <c r="X561" i="3"/>
  <c r="Y561" i="3" s="1"/>
  <c r="X562" i="3"/>
  <c r="X571" i="3"/>
  <c r="Y571" i="3" s="1"/>
  <c r="X639" i="3"/>
  <c r="Y639" i="3" s="1"/>
  <c r="X640" i="3"/>
  <c r="Y640" i="3" s="1"/>
  <c r="X641" i="3"/>
  <c r="Y641" i="3" s="1"/>
  <c r="X642" i="3"/>
  <c r="Y642" i="3" s="1"/>
  <c r="X646" i="3"/>
  <c r="Y646" i="3" s="1"/>
  <c r="X647" i="3"/>
  <c r="Y647" i="3" s="1"/>
  <c r="X648" i="3"/>
  <c r="Y648" i="3" s="1"/>
  <c r="X681" i="3"/>
  <c r="Y681" i="3" s="1"/>
  <c r="X687" i="3"/>
  <c r="Y687" i="3" s="1"/>
  <c r="X715" i="3"/>
  <c r="X10" i="3"/>
  <c r="X14" i="3"/>
  <c r="X4" i="3"/>
  <c r="Y4" i="3" s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732" i="1"/>
  <c r="B731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O105" i="3" l="1"/>
  <c r="O84" i="3"/>
  <c r="O124" i="3"/>
  <c r="P285" i="3"/>
  <c r="P183" i="3"/>
  <c r="F183" i="3" s="1"/>
  <c r="P211" i="3"/>
  <c r="B211" i="3" s="1"/>
  <c r="P227" i="3"/>
  <c r="F227" i="3" s="1"/>
  <c r="P267" i="3"/>
  <c r="F267" i="3" s="1"/>
  <c r="P309" i="3"/>
  <c r="P330" i="3"/>
  <c r="H330" i="3" s="1"/>
  <c r="P141" i="3"/>
  <c r="P163" i="3"/>
  <c r="E163" i="3" s="1"/>
  <c r="P223" i="3"/>
  <c r="B223" i="3" s="1"/>
  <c r="P296" i="3"/>
  <c r="P301" i="3"/>
  <c r="P305" i="3"/>
  <c r="P321" i="3"/>
  <c r="P337" i="3"/>
  <c r="P343" i="3"/>
  <c r="P347" i="3"/>
  <c r="E347" i="3" s="1"/>
  <c r="P456" i="3"/>
  <c r="P532" i="3"/>
  <c r="P671" i="3"/>
  <c r="P395" i="3"/>
  <c r="P386" i="3"/>
  <c r="P360" i="3"/>
  <c r="P326" i="3"/>
  <c r="P288" i="3"/>
  <c r="P283" i="3"/>
  <c r="I283" i="3" s="1"/>
  <c r="P250" i="3"/>
  <c r="P239" i="3"/>
  <c r="I239" i="3" s="1"/>
  <c r="P234" i="3"/>
  <c r="P215" i="3"/>
  <c r="B215" i="3" s="1"/>
  <c r="P202" i="3"/>
  <c r="P155" i="3"/>
  <c r="B155" i="3" s="1"/>
  <c r="P123" i="3"/>
  <c r="C123" i="3" s="1"/>
  <c r="P136" i="3"/>
  <c r="P219" i="3"/>
  <c r="F219" i="3" s="1"/>
  <c r="P275" i="3"/>
  <c r="B275" i="3" s="1"/>
  <c r="P312" i="3"/>
  <c r="P338" i="3"/>
  <c r="P679" i="3"/>
  <c r="P378" i="3"/>
  <c r="P359" i="3"/>
  <c r="P297" i="3"/>
  <c r="P263" i="3"/>
  <c r="B263" i="3" s="1"/>
  <c r="P207" i="3"/>
  <c r="B207" i="3" s="1"/>
  <c r="P159" i="3"/>
  <c r="F159" i="3" s="1"/>
  <c r="P137" i="3"/>
  <c r="P122" i="3"/>
  <c r="P144" i="3"/>
  <c r="P150" i="3"/>
  <c r="P171" i="3"/>
  <c r="F171" i="3" s="1"/>
  <c r="P175" i="3"/>
  <c r="P231" i="3"/>
  <c r="H231" i="3" s="1"/>
  <c r="P249" i="3"/>
  <c r="P271" i="3"/>
  <c r="E271" i="3" s="1"/>
  <c r="P329" i="3"/>
  <c r="P582" i="3"/>
  <c r="P705" i="3"/>
  <c r="P699" i="3"/>
  <c r="P513" i="3"/>
  <c r="P351" i="3"/>
  <c r="P317" i="3"/>
  <c r="P313" i="3"/>
  <c r="P280" i="3"/>
  <c r="P259" i="3"/>
  <c r="B259" i="3" s="1"/>
  <c r="P254" i="3"/>
  <c r="P230" i="3"/>
  <c r="P206" i="3"/>
  <c r="P191" i="3"/>
  <c r="F191" i="3" s="1"/>
  <c r="P179" i="3"/>
  <c r="E159" i="3" s="1"/>
  <c r="P145" i="3"/>
  <c r="P500" i="3"/>
  <c r="P465" i="3"/>
  <c r="P356" i="3"/>
  <c r="P334" i="3"/>
  <c r="P293" i="3"/>
  <c r="P284" i="3"/>
  <c r="P244" i="3"/>
  <c r="P235" i="3"/>
  <c r="F235" i="3" s="1"/>
  <c r="P203" i="3"/>
  <c r="E203" i="3" s="1"/>
  <c r="P199" i="3"/>
  <c r="E199" i="3" s="1"/>
  <c r="P195" i="3"/>
  <c r="B195" i="3" s="1"/>
  <c r="P187" i="3"/>
  <c r="B187" i="3" s="1"/>
  <c r="P167" i="3"/>
  <c r="F167" i="3" s="1"/>
  <c r="P119" i="3"/>
  <c r="G119" i="3" s="1"/>
  <c r="B283" i="3"/>
  <c r="G283" i="3"/>
  <c r="I271" i="3"/>
  <c r="D271" i="3"/>
  <c r="E171" i="3"/>
  <c r="G171" i="3"/>
  <c r="E235" i="3"/>
  <c r="C235" i="3"/>
  <c r="G223" i="3"/>
  <c r="P251" i="3"/>
  <c r="I251" i="3" s="1"/>
  <c r="P151" i="3"/>
  <c r="E151" i="3" s="1"/>
  <c r="E183" i="3"/>
  <c r="C183" i="3"/>
  <c r="P81" i="3"/>
  <c r="F215" i="3"/>
  <c r="H215" i="3"/>
  <c r="F187" i="3"/>
  <c r="H187" i="3"/>
  <c r="P91" i="3"/>
  <c r="P707" i="3"/>
  <c r="P685" i="3"/>
  <c r="P584" i="3"/>
  <c r="P467" i="3"/>
  <c r="P362" i="3"/>
  <c r="P358" i="3"/>
  <c r="P354" i="3"/>
  <c r="P349" i="3"/>
  <c r="P345" i="3"/>
  <c r="P341" i="3"/>
  <c r="P336" i="3"/>
  <c r="P332" i="3"/>
  <c r="P650" i="3"/>
  <c r="P623" i="3"/>
  <c r="P589" i="3"/>
  <c r="P517" i="3"/>
  <c r="P353" i="3"/>
  <c r="P318" i="3"/>
  <c r="P216" i="3"/>
  <c r="P184" i="3"/>
  <c r="P654" i="3"/>
  <c r="P611" i="3"/>
  <c r="H611" i="3" s="1"/>
  <c r="P626" i="3"/>
  <c r="P552" i="3"/>
  <c r="P503" i="3"/>
  <c r="P497" i="3"/>
  <c r="P489" i="3"/>
  <c r="P462" i="3"/>
  <c r="P352" i="3"/>
  <c r="P276" i="3"/>
  <c r="P240" i="3"/>
  <c r="P78" i="3"/>
  <c r="P62" i="3"/>
  <c r="P53" i="3"/>
  <c r="P369" i="3"/>
  <c r="P428" i="3"/>
  <c r="P553" i="3"/>
  <c r="P135" i="3"/>
  <c r="E135" i="3" s="1"/>
  <c r="P713" i="3"/>
  <c r="P709" i="3"/>
  <c r="P667" i="3"/>
  <c r="P663" i="3"/>
  <c r="P659" i="3"/>
  <c r="P651" i="3"/>
  <c r="P638" i="3"/>
  <c r="P577" i="3"/>
  <c r="P569" i="3"/>
  <c r="P549" i="3"/>
  <c r="P536" i="3"/>
  <c r="P522" i="3"/>
  <c r="P502" i="3"/>
  <c r="P482" i="3"/>
  <c r="P473" i="3"/>
  <c r="P452" i="3"/>
  <c r="P447" i="3"/>
  <c r="P443" i="3"/>
  <c r="P439" i="3"/>
  <c r="P435" i="3"/>
  <c r="P425" i="3"/>
  <c r="P421" i="3"/>
  <c r="P417" i="3"/>
  <c r="P412" i="3"/>
  <c r="P408" i="3"/>
  <c r="P127" i="3"/>
  <c r="F127" i="3" s="1"/>
  <c r="P106" i="3"/>
  <c r="C106" i="3" s="1"/>
  <c r="P102" i="3"/>
  <c r="P88" i="3"/>
  <c r="P84" i="3"/>
  <c r="P80" i="3"/>
  <c r="P68" i="3"/>
  <c r="P64" i="3"/>
  <c r="P47" i="3"/>
  <c r="P37" i="3"/>
  <c r="P23" i="3"/>
  <c r="P19" i="3"/>
  <c r="P15" i="3"/>
  <c r="P675" i="3"/>
  <c r="P460" i="3"/>
  <c r="P11" i="3"/>
  <c r="P7" i="3"/>
  <c r="P33" i="3"/>
  <c r="P45" i="3"/>
  <c r="P114" i="3"/>
  <c r="P691" i="3"/>
  <c r="P573" i="3"/>
  <c r="P564" i="3"/>
  <c r="P391" i="3"/>
  <c r="P382" i="3"/>
  <c r="P374" i="3"/>
  <c r="P368" i="3"/>
  <c r="P115" i="3"/>
  <c r="P606" i="3"/>
  <c r="P527" i="3"/>
  <c r="P496" i="3"/>
  <c r="P449" i="3"/>
  <c r="P258" i="3"/>
  <c r="F258" i="3" s="1"/>
  <c r="P61" i="3"/>
  <c r="P515" i="3"/>
  <c r="P24" i="3"/>
  <c r="P716" i="3"/>
  <c r="P674" i="3"/>
  <c r="P666" i="3"/>
  <c r="P658" i="3"/>
  <c r="P547" i="3"/>
  <c r="P438" i="3"/>
  <c r="P389" i="3"/>
  <c r="P381" i="3"/>
  <c r="P373" i="3"/>
  <c r="P46" i="3"/>
  <c r="P27" i="3"/>
  <c r="P602" i="3"/>
  <c r="P526" i="3"/>
  <c r="P499" i="3"/>
  <c r="P495" i="3"/>
  <c r="P485" i="3"/>
  <c r="P432" i="3"/>
  <c r="P325" i="3"/>
  <c r="P248" i="3"/>
  <c r="P148" i="3"/>
  <c r="P76" i="3"/>
  <c r="P60" i="3"/>
  <c r="P43" i="3"/>
  <c r="P557" i="3"/>
  <c r="P548" i="3"/>
  <c r="P645" i="3"/>
  <c r="P400" i="3"/>
  <c r="P484" i="3"/>
  <c r="P711" i="3"/>
  <c r="P677" i="3"/>
  <c r="P665" i="3"/>
  <c r="P649" i="3"/>
  <c r="P635" i="3"/>
  <c r="I635" i="3" s="1"/>
  <c r="P631" i="3"/>
  <c r="I631" i="3" s="1"/>
  <c r="P627" i="3"/>
  <c r="P622" i="3"/>
  <c r="P618" i="3"/>
  <c r="P614" i="3"/>
  <c r="P610" i="3"/>
  <c r="P605" i="3"/>
  <c r="P600" i="3"/>
  <c r="P596" i="3"/>
  <c r="P592" i="3"/>
  <c r="P588" i="3"/>
  <c r="P566" i="3"/>
  <c r="P511" i="3"/>
  <c r="P475" i="3"/>
  <c r="H475" i="3" s="1"/>
  <c r="P471" i="3"/>
  <c r="P463" i="3"/>
  <c r="P458" i="3"/>
  <c r="P454" i="3"/>
  <c r="P450" i="3"/>
  <c r="D450" i="3" s="1"/>
  <c r="P445" i="3"/>
  <c r="P441" i="3"/>
  <c r="P433" i="3"/>
  <c r="P423" i="3"/>
  <c r="P419" i="3"/>
  <c r="E419" i="3" s="1"/>
  <c r="P414" i="3"/>
  <c r="P410" i="3"/>
  <c r="P406" i="3"/>
  <c r="P397" i="3"/>
  <c r="P393" i="3"/>
  <c r="P388" i="3"/>
  <c r="P384" i="3"/>
  <c r="P380" i="3"/>
  <c r="P376" i="3"/>
  <c r="P372" i="3"/>
  <c r="P366" i="3"/>
  <c r="P328" i="3"/>
  <c r="P323" i="3"/>
  <c r="B323" i="3" s="1"/>
  <c r="P319" i="3"/>
  <c r="C319" i="3" s="1"/>
  <c r="P315" i="3"/>
  <c r="I315" i="3" s="1"/>
  <c r="P311" i="3"/>
  <c r="B311" i="3" s="1"/>
  <c r="P307" i="3"/>
  <c r="E307" i="3" s="1"/>
  <c r="P303" i="3"/>
  <c r="B303" i="3" s="1"/>
  <c r="P299" i="3"/>
  <c r="B299" i="3" s="1"/>
  <c r="P295" i="3"/>
  <c r="G295" i="3" s="1"/>
  <c r="P291" i="3"/>
  <c r="I291" i="3" s="1"/>
  <c r="P286" i="3"/>
  <c r="D286" i="3" s="1"/>
  <c r="P282" i="3"/>
  <c r="P278" i="3"/>
  <c r="P273" i="3"/>
  <c r="P269" i="3"/>
  <c r="P265" i="3"/>
  <c r="P261" i="3"/>
  <c r="P256" i="3"/>
  <c r="P252" i="3"/>
  <c r="P246" i="3"/>
  <c r="P242" i="3"/>
  <c r="P237" i="3"/>
  <c r="P233" i="3"/>
  <c r="P528" i="3"/>
  <c r="P508" i="3"/>
  <c r="P478" i="3"/>
  <c r="P399" i="3"/>
  <c r="P73" i="3"/>
  <c r="P28" i="3"/>
  <c r="P501" i="3"/>
  <c r="P486" i="3"/>
  <c r="P339" i="3"/>
  <c r="P152" i="3"/>
  <c r="P77" i="3"/>
  <c r="P96" i="3"/>
  <c r="P134" i="3"/>
  <c r="P510" i="3"/>
  <c r="P678" i="3"/>
  <c r="P507" i="3"/>
  <c r="P459" i="3"/>
  <c r="E459" i="3" s="1"/>
  <c r="P367" i="3"/>
  <c r="P126" i="3"/>
  <c r="E126" i="3" s="1"/>
  <c r="P67" i="3"/>
  <c r="P55" i="3"/>
  <c r="P18" i="3"/>
  <c r="P714" i="3"/>
  <c r="P710" i="3"/>
  <c r="P706" i="3"/>
  <c r="P701" i="3"/>
  <c r="P696" i="3"/>
  <c r="P688" i="3"/>
  <c r="P684" i="3"/>
  <c r="P680" i="3"/>
  <c r="P676" i="3"/>
  <c r="P672" i="3"/>
  <c r="P668" i="3"/>
  <c r="P664" i="3"/>
  <c r="P660" i="3"/>
  <c r="P656" i="3"/>
  <c r="P652" i="3"/>
  <c r="P634" i="3"/>
  <c r="P630" i="3"/>
  <c r="P621" i="3"/>
  <c r="P617" i="3"/>
  <c r="P613" i="3"/>
  <c r="P609" i="3"/>
  <c r="P604" i="3"/>
  <c r="P599" i="3"/>
  <c r="P595" i="3"/>
  <c r="P587" i="3"/>
  <c r="P583" i="3"/>
  <c r="P570" i="3"/>
  <c r="P565" i="3"/>
  <c r="P550" i="3"/>
  <c r="P537" i="3"/>
  <c r="P533" i="3"/>
  <c r="P529" i="3"/>
  <c r="P509" i="3"/>
  <c r="P474" i="3"/>
  <c r="P457" i="3"/>
  <c r="P453" i="3"/>
  <c r="P448" i="3"/>
  <c r="P444" i="3"/>
  <c r="P440" i="3"/>
  <c r="P436" i="3"/>
  <c r="P426" i="3"/>
  <c r="P422" i="3"/>
  <c r="P418" i="3"/>
  <c r="P413" i="3"/>
  <c r="P409" i="3"/>
  <c r="P405" i="3"/>
  <c r="P401" i="3"/>
  <c r="P396" i="3"/>
  <c r="P392" i="3"/>
  <c r="P387" i="3"/>
  <c r="P383" i="3"/>
  <c r="P379" i="3"/>
  <c r="P375" i="3"/>
  <c r="P371" i="3"/>
  <c r="P361" i="3"/>
  <c r="P357" i="3"/>
  <c r="P348" i="3"/>
  <c r="P344" i="3"/>
  <c r="P340" i="3"/>
  <c r="P335" i="3"/>
  <c r="P331" i="3"/>
  <c r="F331" i="3" s="1"/>
  <c r="P327" i="3"/>
  <c r="I327" i="3" s="1"/>
  <c r="P322" i="3"/>
  <c r="P314" i="3"/>
  <c r="P310" i="3"/>
  <c r="B310" i="3" s="1"/>
  <c r="P306" i="3"/>
  <c r="P302" i="3"/>
  <c r="F302" i="3" s="1"/>
  <c r="P298" i="3"/>
  <c r="P294" i="3"/>
  <c r="P290" i="3"/>
  <c r="P281" i="3"/>
  <c r="P277" i="3"/>
  <c r="P272" i="3"/>
  <c r="P268" i="3"/>
  <c r="P264" i="3"/>
  <c r="P260" i="3"/>
  <c r="H260" i="3" s="1"/>
  <c r="P255" i="3"/>
  <c r="F255" i="3" s="1"/>
  <c r="P245" i="3"/>
  <c r="P236" i="3"/>
  <c r="P232" i="3"/>
  <c r="P228" i="3"/>
  <c r="P224" i="3"/>
  <c r="P220" i="3"/>
  <c r="P212" i="3"/>
  <c r="P208" i="3"/>
  <c r="P204" i="3"/>
  <c r="P200" i="3"/>
  <c r="P196" i="3"/>
  <c r="P192" i="3"/>
  <c r="P188" i="3"/>
  <c r="P180" i="3"/>
  <c r="P176" i="3"/>
  <c r="P172" i="3"/>
  <c r="P168" i="3"/>
  <c r="P164" i="3"/>
  <c r="P156" i="3"/>
  <c r="P146" i="3"/>
  <c r="P142" i="3"/>
  <c r="P138" i="3"/>
  <c r="P132" i="3"/>
  <c r="P128" i="3"/>
  <c r="P112" i="3"/>
  <c r="P99" i="3"/>
  <c r="P74" i="3"/>
  <c r="P52" i="3"/>
  <c r="P20" i="3"/>
  <c r="P16" i="3"/>
  <c r="P229" i="3"/>
  <c r="P225" i="3"/>
  <c r="P221" i="3"/>
  <c r="P217" i="3"/>
  <c r="P213" i="3"/>
  <c r="P209" i="3"/>
  <c r="P205" i="3"/>
  <c r="P201" i="3"/>
  <c r="P197" i="3"/>
  <c r="P193" i="3"/>
  <c r="P189" i="3"/>
  <c r="P185" i="3"/>
  <c r="P181" i="3"/>
  <c r="P177" i="3"/>
  <c r="P173" i="3"/>
  <c r="P169" i="3"/>
  <c r="P165" i="3"/>
  <c r="P161" i="3"/>
  <c r="P157" i="3"/>
  <c r="P153" i="3"/>
  <c r="P147" i="3"/>
  <c r="B147" i="3" s="1"/>
  <c r="P143" i="3"/>
  <c r="E143" i="3" s="1"/>
  <c r="P139" i="3"/>
  <c r="F139" i="3" s="1"/>
  <c r="P133" i="3"/>
  <c r="P121" i="3"/>
  <c r="P117" i="3"/>
  <c r="P113" i="3"/>
  <c r="P109" i="3"/>
  <c r="P104" i="3"/>
  <c r="P90" i="3"/>
  <c r="P82" i="3"/>
  <c r="P71" i="3"/>
  <c r="P66" i="3"/>
  <c r="P54" i="3"/>
  <c r="P44" i="3"/>
  <c r="P31" i="3"/>
  <c r="P26" i="3"/>
  <c r="P21" i="3"/>
  <c r="P17" i="3"/>
  <c r="P13" i="3"/>
  <c r="P9" i="3"/>
  <c r="P5" i="3"/>
  <c r="P120" i="3"/>
  <c r="P108" i="3"/>
  <c r="P103" i="3"/>
  <c r="G103" i="3" s="1"/>
  <c r="P89" i="3"/>
  <c r="P85" i="3"/>
  <c r="P69" i="3"/>
  <c r="P65" i="3"/>
  <c r="P42" i="3"/>
  <c r="P29" i="3"/>
  <c r="P12" i="3"/>
  <c r="P8" i="3"/>
  <c r="P700" i="3"/>
  <c r="P581" i="3"/>
  <c r="P504" i="3"/>
  <c r="P498" i="3"/>
  <c r="P491" i="3"/>
  <c r="P476" i="3"/>
  <c r="P416" i="3"/>
  <c r="P289" i="3"/>
  <c r="P247" i="3"/>
  <c r="I247" i="3" s="1"/>
  <c r="P107" i="3"/>
  <c r="G107" i="3" s="1"/>
  <c r="P70" i="3"/>
  <c r="P59" i="3"/>
  <c r="P30" i="3"/>
  <c r="P390" i="3"/>
  <c r="P94" i="3"/>
  <c r="P637" i="3"/>
  <c r="P703" i="3"/>
  <c r="P483" i="3"/>
  <c r="P370" i="3"/>
  <c r="P683" i="3"/>
  <c r="P625" i="3"/>
  <c r="P591" i="3"/>
  <c r="P461" i="3"/>
  <c r="P241" i="3"/>
  <c r="P160" i="3"/>
  <c r="P695" i="3"/>
  <c r="P655" i="3"/>
  <c r="P633" i="3"/>
  <c r="P629" i="3"/>
  <c r="P624" i="3"/>
  <c r="P620" i="3"/>
  <c r="P616" i="3"/>
  <c r="P612" i="3"/>
  <c r="P608" i="3"/>
  <c r="P603" i="3"/>
  <c r="D603" i="3" s="1"/>
  <c r="P598" i="3"/>
  <c r="P594" i="3"/>
  <c r="P590" i="3"/>
  <c r="P586" i="3"/>
  <c r="P702" i="3"/>
  <c r="P697" i="3"/>
  <c r="P693" i="3"/>
  <c r="P689" i="3"/>
  <c r="P673" i="3"/>
  <c r="P661" i="3"/>
  <c r="P653" i="3"/>
  <c r="P644" i="3"/>
  <c r="P712" i="3"/>
  <c r="P704" i="3"/>
  <c r="P698" i="3"/>
  <c r="P694" i="3"/>
  <c r="P690" i="3"/>
  <c r="P682" i="3"/>
  <c r="P670" i="3"/>
  <c r="P662" i="3"/>
  <c r="P636" i="3"/>
  <c r="P632" i="3"/>
  <c r="P628" i="3"/>
  <c r="P619" i="3"/>
  <c r="P615" i="3"/>
  <c r="P607" i="3"/>
  <c r="P601" i="3"/>
  <c r="P597" i="3"/>
  <c r="P593" i="3"/>
  <c r="P580" i="3"/>
  <c r="P576" i="3"/>
  <c r="P572" i="3"/>
  <c r="P543" i="3"/>
  <c r="P535" i="3"/>
  <c r="P531" i="3"/>
  <c r="P525" i="3"/>
  <c r="P512" i="3"/>
  <c r="P481" i="3"/>
  <c r="P472" i="3"/>
  <c r="P468" i="3"/>
  <c r="P464" i="3"/>
  <c r="P451" i="3"/>
  <c r="P442" i="3"/>
  <c r="P434" i="3"/>
  <c r="P424" i="3"/>
  <c r="P420" i="3"/>
  <c r="P415" i="3"/>
  <c r="P411" i="3"/>
  <c r="P407" i="3"/>
  <c r="P398" i="3"/>
  <c r="P394" i="3"/>
  <c r="P385" i="3"/>
  <c r="P377" i="3"/>
  <c r="P355" i="3"/>
  <c r="B355" i="3" s="1"/>
  <c r="P350" i="3"/>
  <c r="P346" i="3"/>
  <c r="P342" i="3"/>
  <c r="P333" i="3"/>
  <c r="P324" i="3"/>
  <c r="P320" i="3"/>
  <c r="P316" i="3"/>
  <c r="P308" i="3"/>
  <c r="P304" i="3"/>
  <c r="P300" i="3"/>
  <c r="P292" i="3"/>
  <c r="P287" i="3"/>
  <c r="I287" i="3" s="1"/>
  <c r="P279" i="3"/>
  <c r="C279" i="3" s="1"/>
  <c r="P274" i="3"/>
  <c r="P270" i="3"/>
  <c r="F270" i="3" s="1"/>
  <c r="P266" i="3"/>
  <c r="P262" i="3"/>
  <c r="P257" i="3"/>
  <c r="P253" i="3"/>
  <c r="P243" i="3"/>
  <c r="B243" i="3" s="1"/>
  <c r="P238" i="3"/>
  <c r="P226" i="3"/>
  <c r="I226" i="3" s="1"/>
  <c r="P222" i="3"/>
  <c r="P218" i="3"/>
  <c r="P214" i="3"/>
  <c r="D214" i="3" s="1"/>
  <c r="P210" i="3"/>
  <c r="E210" i="3" s="1"/>
  <c r="P198" i="3"/>
  <c r="P194" i="3"/>
  <c r="P190" i="3"/>
  <c r="P186" i="3"/>
  <c r="F186" i="3" s="1"/>
  <c r="P182" i="3"/>
  <c r="F182" i="3" s="1"/>
  <c r="P178" i="3"/>
  <c r="P174" i="3"/>
  <c r="P170" i="3"/>
  <c r="P166" i="3"/>
  <c r="P162" i="3"/>
  <c r="P158" i="3"/>
  <c r="P154" i="3"/>
  <c r="P149" i="3"/>
  <c r="P140" i="3"/>
  <c r="P130" i="3"/>
  <c r="P118" i="3"/>
  <c r="B118" i="3" s="1"/>
  <c r="P110" i="3"/>
  <c r="P97" i="3"/>
  <c r="P83" i="3"/>
  <c r="P32" i="3"/>
  <c r="P22" i="3"/>
  <c r="P6" i="3"/>
  <c r="P568" i="3"/>
  <c r="Q687" i="3"/>
  <c r="Q647" i="3"/>
  <c r="Q642" i="3"/>
  <c r="P642" i="3" s="1"/>
  <c r="Q560" i="3"/>
  <c r="P560" i="3" s="1"/>
  <c r="Q555" i="3"/>
  <c r="P555" i="3" s="1"/>
  <c r="Q544" i="3"/>
  <c r="P544" i="3" s="1"/>
  <c r="Q540" i="3"/>
  <c r="P540" i="3" s="1"/>
  <c r="Q518" i="3"/>
  <c r="P518" i="3" s="1"/>
  <c r="Q492" i="3"/>
  <c r="P492" i="3" s="1"/>
  <c r="Q469" i="3"/>
  <c r="P469" i="3" s="1"/>
  <c r="Q430" i="3"/>
  <c r="P430" i="3" s="1"/>
  <c r="Q404" i="3"/>
  <c r="P404" i="3" s="1"/>
  <c r="Q364" i="3"/>
  <c r="P364" i="3" s="1"/>
  <c r="Q131" i="3"/>
  <c r="P131" i="3" s="1"/>
  <c r="G131" i="3" s="1"/>
  <c r="Q111" i="3"/>
  <c r="P111" i="3" s="1"/>
  <c r="Q98" i="3"/>
  <c r="P98" i="3" s="1"/>
  <c r="Q92" i="3"/>
  <c r="P92" i="3" s="1"/>
  <c r="Q56" i="3"/>
  <c r="P56" i="3" s="1"/>
  <c r="Q51" i="3"/>
  <c r="P51" i="3" s="1"/>
  <c r="Q41" i="3"/>
  <c r="P41" i="3" s="1"/>
  <c r="Q708" i="3"/>
  <c r="P708" i="3" s="1"/>
  <c r="Q686" i="3"/>
  <c r="P686" i="3" s="1"/>
  <c r="Q646" i="3"/>
  <c r="P646" i="3" s="1"/>
  <c r="Q641" i="3"/>
  <c r="P641" i="3" s="1"/>
  <c r="Q585" i="3"/>
  <c r="P585" i="3" s="1"/>
  <c r="Q567" i="3"/>
  <c r="Q563" i="3"/>
  <c r="Q559" i="3"/>
  <c r="P559" i="3" s="1"/>
  <c r="Q554" i="3"/>
  <c r="Q539" i="3"/>
  <c r="Q521" i="3"/>
  <c r="P521" i="3" s="1"/>
  <c r="Q490" i="3"/>
  <c r="P490" i="3" s="1"/>
  <c r="Q477" i="3"/>
  <c r="Q455" i="3"/>
  <c r="Q446" i="3"/>
  <c r="P446" i="3" s="1"/>
  <c r="Q429" i="3"/>
  <c r="Q403" i="3"/>
  <c r="P403" i="3" s="1"/>
  <c r="Q363" i="3"/>
  <c r="P363" i="3" s="1"/>
  <c r="B363" i="3" s="1"/>
  <c r="Q105" i="3"/>
  <c r="Q101" i="3"/>
  <c r="Q87" i="3"/>
  <c r="Q79" i="3"/>
  <c r="Q72" i="3"/>
  <c r="Q63" i="3"/>
  <c r="Q40" i="3"/>
  <c r="P40" i="3" s="1"/>
  <c r="Q36" i="3"/>
  <c r="P36" i="3" s="1"/>
  <c r="Q4" i="3"/>
  <c r="Q681" i="3"/>
  <c r="P681" i="3" s="1"/>
  <c r="Q669" i="3"/>
  <c r="P669" i="3" s="1"/>
  <c r="Q657" i="3"/>
  <c r="P657" i="3" s="1"/>
  <c r="Q640" i="3"/>
  <c r="P640" i="3" s="1"/>
  <c r="Q579" i="3"/>
  <c r="P579" i="3" s="1"/>
  <c r="Q575" i="3"/>
  <c r="P575" i="3" s="1"/>
  <c r="Q571" i="3"/>
  <c r="P571" i="3" s="1"/>
  <c r="Q546" i="3"/>
  <c r="P546" i="3" s="1"/>
  <c r="Q542" i="3"/>
  <c r="P542" i="3" s="1"/>
  <c r="Q538" i="3"/>
  <c r="P538" i="3" s="1"/>
  <c r="Q530" i="3"/>
  <c r="P530" i="3" s="1"/>
  <c r="Q524" i="3"/>
  <c r="P524" i="3" s="1"/>
  <c r="Q520" i="3"/>
  <c r="P520" i="3" s="1"/>
  <c r="Q516" i="3"/>
  <c r="P516" i="3" s="1"/>
  <c r="Q506" i="3"/>
  <c r="Q494" i="3"/>
  <c r="Q488" i="3"/>
  <c r="Q480" i="3"/>
  <c r="Q437" i="3"/>
  <c r="P437" i="3" s="1"/>
  <c r="Q100" i="3"/>
  <c r="P100" i="3" s="1"/>
  <c r="Q86" i="3"/>
  <c r="P86" i="3" s="1"/>
  <c r="Q39" i="3"/>
  <c r="P39" i="3" s="1"/>
  <c r="Q692" i="3"/>
  <c r="P692" i="3" s="1"/>
  <c r="Q648" i="3"/>
  <c r="P648" i="3" s="1"/>
  <c r="Q643" i="3"/>
  <c r="P643" i="3" s="1"/>
  <c r="Q639" i="3"/>
  <c r="P639" i="3" s="1"/>
  <c r="Q578" i="3"/>
  <c r="P578" i="3" s="1"/>
  <c r="Q574" i="3"/>
  <c r="P574" i="3" s="1"/>
  <c r="Q561" i="3"/>
  <c r="P561" i="3" s="1"/>
  <c r="Q556" i="3"/>
  <c r="P556" i="3" s="1"/>
  <c r="Q545" i="3"/>
  <c r="P545" i="3" s="1"/>
  <c r="Q541" i="3"/>
  <c r="Q523" i="3"/>
  <c r="Q519" i="3"/>
  <c r="Q514" i="3"/>
  <c r="P514" i="3" s="1"/>
  <c r="Q505" i="3"/>
  <c r="P505" i="3" s="1"/>
  <c r="Q493" i="3"/>
  <c r="Q487" i="3"/>
  <c r="P487" i="3" s="1"/>
  <c r="Q479" i="3"/>
  <c r="P479" i="3" s="1"/>
  <c r="Q470" i="3"/>
  <c r="P470" i="3" s="1"/>
  <c r="Q466" i="3"/>
  <c r="Q431" i="3"/>
  <c r="P431" i="3" s="1"/>
  <c r="Q365" i="3"/>
  <c r="Q124" i="3"/>
  <c r="Q116" i="3"/>
  <c r="P116" i="3" s="1"/>
  <c r="Q93" i="3"/>
  <c r="P93" i="3" s="1"/>
  <c r="Q57" i="3"/>
  <c r="P57" i="3" s="1"/>
  <c r="Q48" i="3"/>
  <c r="P48" i="3" s="1"/>
  <c r="Q38" i="3"/>
  <c r="P38" i="3" s="1"/>
  <c r="Q34" i="3"/>
  <c r="P34" i="3" s="1"/>
  <c r="Q25" i="3"/>
  <c r="P25" i="3" s="1"/>
  <c r="Y50" i="3"/>
  <c r="Y14" i="3"/>
  <c r="Y10" i="3"/>
  <c r="Y715" i="3"/>
  <c r="Y562" i="3"/>
  <c r="Y558" i="3"/>
  <c r="Y551" i="3"/>
  <c r="Y534" i="3"/>
  <c r="Y427" i="3"/>
  <c r="Y402" i="3"/>
  <c r="Y129" i="3"/>
  <c r="Y125" i="3"/>
  <c r="Y95" i="3"/>
  <c r="Y75" i="3"/>
  <c r="Y58" i="3"/>
  <c r="Y49" i="3"/>
  <c r="Y35" i="3"/>
  <c r="B191" i="3" l="1"/>
  <c r="C239" i="3"/>
  <c r="E119" i="3"/>
  <c r="I207" i="3"/>
  <c r="F231" i="3"/>
  <c r="H199" i="3"/>
  <c r="G179" i="3"/>
  <c r="I155" i="3"/>
  <c r="I259" i="3"/>
  <c r="D275" i="3"/>
  <c r="G227" i="3"/>
  <c r="C119" i="3"/>
  <c r="E239" i="3"/>
  <c r="F199" i="3"/>
  <c r="I275" i="3"/>
  <c r="B227" i="3"/>
  <c r="D259" i="3"/>
  <c r="D207" i="3"/>
  <c r="H155" i="3"/>
  <c r="G191" i="3"/>
  <c r="D195" i="3"/>
  <c r="I195" i="3"/>
  <c r="H267" i="3"/>
  <c r="D163" i="3"/>
  <c r="I123" i="3"/>
  <c r="D179" i="3"/>
  <c r="F347" i="3"/>
  <c r="F163" i="3"/>
  <c r="D219" i="3"/>
  <c r="I219" i="3"/>
  <c r="H167" i="3"/>
  <c r="G263" i="3"/>
  <c r="C211" i="3"/>
  <c r="I167" i="3"/>
  <c r="E211" i="3"/>
  <c r="D187" i="3"/>
  <c r="I187" i="3"/>
  <c r="D215" i="3"/>
  <c r="I215" i="3"/>
  <c r="G183" i="3"/>
  <c r="B183" i="3"/>
  <c r="G235" i="3"/>
  <c r="B235" i="3"/>
  <c r="C171" i="3"/>
  <c r="B171" i="3"/>
  <c r="H271" i="3"/>
  <c r="F271" i="3"/>
  <c r="C283" i="3"/>
  <c r="E283" i="3"/>
  <c r="C187" i="3"/>
  <c r="E187" i="3"/>
  <c r="C215" i="3"/>
  <c r="E215" i="3"/>
  <c r="D183" i="3"/>
  <c r="I183" i="3"/>
  <c r="D260" i="3"/>
  <c r="D235" i="3"/>
  <c r="I235" i="3"/>
  <c r="H171" i="3"/>
  <c r="I171" i="3"/>
  <c r="G271" i="3"/>
  <c r="B271" i="3"/>
  <c r="H283" i="3"/>
  <c r="F283" i="3"/>
  <c r="G187" i="3"/>
  <c r="G215" i="3"/>
  <c r="H183" i="3"/>
  <c r="H235" i="3"/>
  <c r="D171" i="3"/>
  <c r="C271" i="3"/>
  <c r="D283" i="3"/>
  <c r="F459" i="3"/>
  <c r="D331" i="3"/>
  <c r="D227" i="3"/>
  <c r="I227" i="3"/>
  <c r="C259" i="3"/>
  <c r="E259" i="3"/>
  <c r="B450" i="3"/>
  <c r="I119" i="3"/>
  <c r="H239" i="3"/>
  <c r="F239" i="3"/>
  <c r="C207" i="3"/>
  <c r="E207" i="3"/>
  <c r="E311" i="3"/>
  <c r="G199" i="3"/>
  <c r="B199" i="3"/>
  <c r="G155" i="3"/>
  <c r="E155" i="3"/>
  <c r="H315" i="3"/>
  <c r="E279" i="3"/>
  <c r="C275" i="3"/>
  <c r="E275" i="3"/>
  <c r="D191" i="3"/>
  <c r="I191" i="3"/>
  <c r="I103" i="3"/>
  <c r="C227" i="3"/>
  <c r="E227" i="3"/>
  <c r="H259" i="3"/>
  <c r="F259" i="3"/>
  <c r="H119" i="3"/>
  <c r="D119" i="3"/>
  <c r="G239" i="3"/>
  <c r="B239" i="3"/>
  <c r="H207" i="3"/>
  <c r="F207" i="3"/>
  <c r="D199" i="3"/>
  <c r="I199" i="3"/>
  <c r="D155" i="3"/>
  <c r="F155" i="3"/>
  <c r="H275" i="3"/>
  <c r="F275" i="3"/>
  <c r="C191" i="3"/>
  <c r="E191" i="3"/>
  <c r="H227" i="3"/>
  <c r="G259" i="3"/>
  <c r="F119" i="3"/>
  <c r="D239" i="3"/>
  <c r="G207" i="3"/>
  <c r="C611" i="3"/>
  <c r="C199" i="3"/>
  <c r="C155" i="3"/>
  <c r="E310" i="3"/>
  <c r="G275" i="3"/>
  <c r="G203" i="3"/>
  <c r="H191" i="3"/>
  <c r="E231" i="3"/>
  <c r="I127" i="3"/>
  <c r="F631" i="3"/>
  <c r="C127" i="3"/>
  <c r="D186" i="3"/>
  <c r="D327" i="3"/>
  <c r="D139" i="3"/>
  <c r="D159" i="3"/>
  <c r="D255" i="3"/>
  <c r="D459" i="3"/>
  <c r="E631" i="3"/>
  <c r="H307" i="3"/>
  <c r="H127" i="3"/>
  <c r="E127" i="3"/>
  <c r="C179" i="3"/>
  <c r="E179" i="3"/>
  <c r="I331" i="3"/>
  <c r="I260" i="3"/>
  <c r="I186" i="3"/>
  <c r="C195" i="3"/>
  <c r="E195" i="3"/>
  <c r="G347" i="3"/>
  <c r="B347" i="3"/>
  <c r="E450" i="3"/>
  <c r="D258" i="3"/>
  <c r="G267" i="3"/>
  <c r="B267" i="3"/>
  <c r="G307" i="3"/>
  <c r="C135" i="3"/>
  <c r="C163" i="3"/>
  <c r="B163" i="3"/>
  <c r="C151" i="3"/>
  <c r="I611" i="3"/>
  <c r="D118" i="3"/>
  <c r="H247" i="3"/>
  <c r="F419" i="3"/>
  <c r="F315" i="3"/>
  <c r="D295" i="3"/>
  <c r="G143" i="3"/>
  <c r="G123" i="3"/>
  <c r="E323" i="3"/>
  <c r="B631" i="3"/>
  <c r="I255" i="3"/>
  <c r="E603" i="3"/>
  <c r="H631" i="3"/>
  <c r="H323" i="3"/>
  <c r="G127" i="3"/>
  <c r="G147" i="3"/>
  <c r="I179" i="3"/>
  <c r="F179" i="3"/>
  <c r="H195" i="3"/>
  <c r="F195" i="3"/>
  <c r="I214" i="3"/>
  <c r="D347" i="3"/>
  <c r="I347" i="3"/>
  <c r="I258" i="3"/>
  <c r="D267" i="3"/>
  <c r="I267" i="3"/>
  <c r="H299" i="3"/>
  <c r="B307" i="3"/>
  <c r="B135" i="3"/>
  <c r="H163" i="3"/>
  <c r="I163" i="3"/>
  <c r="B151" i="3"/>
  <c r="H251" i="3"/>
  <c r="G118" i="3"/>
  <c r="F247" i="3"/>
  <c r="D419" i="3"/>
  <c r="F295" i="3"/>
  <c r="B123" i="3"/>
  <c r="C459" i="3"/>
  <c r="H103" i="3"/>
  <c r="G363" i="3"/>
  <c r="G631" i="3"/>
  <c r="D631" i="3"/>
  <c r="H347" i="3"/>
  <c r="B127" i="3"/>
  <c r="E147" i="3"/>
  <c r="H179" i="3"/>
  <c r="B179" i="3"/>
  <c r="G195" i="3"/>
  <c r="C323" i="3"/>
  <c r="C347" i="3"/>
  <c r="C267" i="3"/>
  <c r="E267" i="3"/>
  <c r="E299" i="3"/>
  <c r="G163" i="3"/>
  <c r="C311" i="3"/>
  <c r="F251" i="3"/>
  <c r="C310" i="3"/>
  <c r="B203" i="3"/>
  <c r="F123" i="3"/>
  <c r="E103" i="3"/>
  <c r="C103" i="3"/>
  <c r="G182" i="3"/>
  <c r="B182" i="3"/>
  <c r="G219" i="3"/>
  <c r="B219" i="3"/>
  <c r="G255" i="3"/>
  <c r="B255" i="3"/>
  <c r="F330" i="3"/>
  <c r="G459" i="3"/>
  <c r="H459" i="3"/>
  <c r="I603" i="3"/>
  <c r="H355" i="3"/>
  <c r="H147" i="3"/>
  <c r="I147" i="3"/>
  <c r="G331" i="3"/>
  <c r="B331" i="3"/>
  <c r="G260" i="3"/>
  <c r="B260" i="3"/>
  <c r="C167" i="3"/>
  <c r="B167" i="3"/>
  <c r="G186" i="3"/>
  <c r="B186" i="3"/>
  <c r="H210" i="3"/>
  <c r="F210" i="3"/>
  <c r="D323" i="3"/>
  <c r="I323" i="3"/>
  <c r="I450" i="3"/>
  <c r="I106" i="3"/>
  <c r="B106" i="3"/>
  <c r="G258" i="3"/>
  <c r="B258" i="3"/>
  <c r="C287" i="3"/>
  <c r="E287" i="3"/>
  <c r="I299" i="3"/>
  <c r="G299" i="3"/>
  <c r="F307" i="3"/>
  <c r="D355" i="3"/>
  <c r="I355" i="3"/>
  <c r="D135" i="3"/>
  <c r="F135" i="3"/>
  <c r="H303" i="3"/>
  <c r="F303" i="3"/>
  <c r="D151" i="3"/>
  <c r="F151" i="3"/>
  <c r="F611" i="3"/>
  <c r="D611" i="3"/>
  <c r="D311" i="3"/>
  <c r="I311" i="3"/>
  <c r="I286" i="3"/>
  <c r="C251" i="3"/>
  <c r="E251" i="3"/>
  <c r="E118" i="3"/>
  <c r="F118" i="3"/>
  <c r="C247" i="3"/>
  <c r="E247" i="3"/>
  <c r="D211" i="3"/>
  <c r="I211" i="3"/>
  <c r="D126" i="3"/>
  <c r="F126" i="3"/>
  <c r="F475" i="3"/>
  <c r="D475" i="3"/>
  <c r="G419" i="3"/>
  <c r="H419" i="3"/>
  <c r="E319" i="3"/>
  <c r="C315" i="3"/>
  <c r="E315" i="3"/>
  <c r="D310" i="3"/>
  <c r="I310" i="3"/>
  <c r="H295" i="3"/>
  <c r="E295" i="3"/>
  <c r="G270" i="3"/>
  <c r="B270" i="3"/>
  <c r="H203" i="3"/>
  <c r="F203" i="3"/>
  <c r="H123" i="3"/>
  <c r="D123" i="3"/>
  <c r="D302" i="3"/>
  <c r="B302" i="3"/>
  <c r="C603" i="3"/>
  <c r="I182" i="3"/>
  <c r="G210" i="3"/>
  <c r="F106" i="3"/>
  <c r="C355" i="3"/>
  <c r="C126" i="3"/>
  <c r="C475" i="3"/>
  <c r="C450" i="3"/>
  <c r="F103" i="3"/>
  <c r="D103" i="3"/>
  <c r="C182" i="3"/>
  <c r="E182" i="3"/>
  <c r="C219" i="3"/>
  <c r="E219" i="3"/>
  <c r="C255" i="3"/>
  <c r="E255" i="3"/>
  <c r="I459" i="3"/>
  <c r="G603" i="3"/>
  <c r="H603" i="3"/>
  <c r="H331" i="3"/>
  <c r="D127" i="3"/>
  <c r="D147" i="3"/>
  <c r="F147" i="3"/>
  <c r="I175" i="3"/>
  <c r="C331" i="3"/>
  <c r="E331" i="3"/>
  <c r="C260" i="3"/>
  <c r="E260" i="3"/>
  <c r="G167" i="3"/>
  <c r="E167" i="3"/>
  <c r="C186" i="3"/>
  <c r="E186" i="3"/>
  <c r="D210" i="3"/>
  <c r="I210" i="3"/>
  <c r="F323" i="3"/>
  <c r="G450" i="3"/>
  <c r="H450" i="3"/>
  <c r="D106" i="3"/>
  <c r="G106" i="3"/>
  <c r="C258" i="3"/>
  <c r="E258" i="3"/>
  <c r="G287" i="3"/>
  <c r="B287" i="3"/>
  <c r="D291" i="3"/>
  <c r="D299" i="3"/>
  <c r="F299" i="3"/>
  <c r="D307" i="3"/>
  <c r="I307" i="3"/>
  <c r="F355" i="3"/>
  <c r="F107" i="3"/>
  <c r="H135" i="3"/>
  <c r="I135" i="3"/>
  <c r="D303" i="3"/>
  <c r="E303" i="3"/>
  <c r="G243" i="3"/>
  <c r="D226" i="3"/>
  <c r="H151" i="3"/>
  <c r="I151" i="3"/>
  <c r="B611" i="3"/>
  <c r="E611" i="3"/>
  <c r="H311" i="3"/>
  <c r="F311" i="3"/>
  <c r="G251" i="3"/>
  <c r="B251" i="3"/>
  <c r="H118" i="3"/>
  <c r="C118" i="3"/>
  <c r="G247" i="3"/>
  <c r="B247" i="3"/>
  <c r="H211" i="3"/>
  <c r="F211" i="3"/>
  <c r="H126" i="3"/>
  <c r="I126" i="3"/>
  <c r="B475" i="3"/>
  <c r="E475" i="3"/>
  <c r="C419" i="3"/>
  <c r="I419" i="3"/>
  <c r="G315" i="3"/>
  <c r="B315" i="3"/>
  <c r="H310" i="3"/>
  <c r="F310" i="3"/>
  <c r="C295" i="3"/>
  <c r="B295" i="3"/>
  <c r="C270" i="3"/>
  <c r="E270" i="3"/>
  <c r="D203" i="3"/>
  <c r="I203" i="3"/>
  <c r="E123" i="3"/>
  <c r="E302" i="3"/>
  <c r="C302" i="3"/>
  <c r="C631" i="3"/>
  <c r="B119" i="3"/>
  <c r="D182" i="3"/>
  <c r="B210" i="3"/>
  <c r="E106" i="3"/>
  <c r="H287" i="3"/>
  <c r="F287" i="3"/>
  <c r="E355" i="3"/>
  <c r="G303" i="3"/>
  <c r="I303" i="3"/>
  <c r="B126" i="3"/>
  <c r="I475" i="3"/>
  <c r="D270" i="3"/>
  <c r="I270" i="3"/>
  <c r="G302" i="3"/>
  <c r="H302" i="3"/>
  <c r="B603" i="3"/>
  <c r="B103" i="3"/>
  <c r="H182" i="3"/>
  <c r="H219" i="3"/>
  <c r="H255" i="3"/>
  <c r="B459" i="3"/>
  <c r="F603" i="3"/>
  <c r="C147" i="3"/>
  <c r="F175" i="3"/>
  <c r="F260" i="3"/>
  <c r="D167" i="3"/>
  <c r="H186" i="3"/>
  <c r="C210" i="3"/>
  <c r="G323" i="3"/>
  <c r="F450" i="3"/>
  <c r="H106" i="3"/>
  <c r="H258" i="3"/>
  <c r="D287" i="3"/>
  <c r="C299" i="3"/>
  <c r="C307" i="3"/>
  <c r="G355" i="3"/>
  <c r="G135" i="3"/>
  <c r="C303" i="3"/>
  <c r="G151" i="3"/>
  <c r="G611" i="3"/>
  <c r="G311" i="3"/>
  <c r="D251" i="3"/>
  <c r="I118" i="3"/>
  <c r="D247" i="3"/>
  <c r="G211" i="3"/>
  <c r="G126" i="3"/>
  <c r="G475" i="3"/>
  <c r="B419" i="3"/>
  <c r="D315" i="3"/>
  <c r="G310" i="3"/>
  <c r="I295" i="3"/>
  <c r="H270" i="3"/>
  <c r="C203" i="3"/>
  <c r="I302" i="3"/>
  <c r="D175" i="3"/>
  <c r="H327" i="3"/>
  <c r="B291" i="3"/>
  <c r="C635" i="3"/>
  <c r="B226" i="3"/>
  <c r="B131" i="3"/>
  <c r="E139" i="3"/>
  <c r="E330" i="3"/>
  <c r="B286" i="3"/>
  <c r="D107" i="3"/>
  <c r="B214" i="3"/>
  <c r="F263" i="3"/>
  <c r="H363" i="3"/>
  <c r="I319" i="3"/>
  <c r="I279" i="3"/>
  <c r="I143" i="3"/>
  <c r="C159" i="3"/>
  <c r="B159" i="3"/>
  <c r="G330" i="3"/>
  <c r="B330" i="3"/>
  <c r="D363" i="3"/>
  <c r="I363" i="3"/>
  <c r="E635" i="3"/>
  <c r="H175" i="3"/>
  <c r="B175" i="3"/>
  <c r="C214" i="3"/>
  <c r="E214" i="3"/>
  <c r="D223" i="3"/>
  <c r="I223" i="3"/>
  <c r="G231" i="3"/>
  <c r="B231" i="3"/>
  <c r="D263" i="3"/>
  <c r="I263" i="3"/>
  <c r="C291" i="3"/>
  <c r="E291" i="3"/>
  <c r="C327" i="3"/>
  <c r="E327" i="3"/>
  <c r="E107" i="3"/>
  <c r="C107" i="3"/>
  <c r="C139" i="3"/>
  <c r="B139" i="3"/>
  <c r="D243" i="3"/>
  <c r="I243" i="3"/>
  <c r="C226" i="3"/>
  <c r="E226" i="3"/>
  <c r="C286" i="3"/>
  <c r="E286" i="3"/>
  <c r="H319" i="3"/>
  <c r="F319" i="3"/>
  <c r="H279" i="3"/>
  <c r="F279" i="3"/>
  <c r="D143" i="3"/>
  <c r="F143" i="3"/>
  <c r="D131" i="3"/>
  <c r="F131" i="3"/>
  <c r="H159" i="3"/>
  <c r="I159" i="3"/>
  <c r="D330" i="3"/>
  <c r="I330" i="3"/>
  <c r="C363" i="3"/>
  <c r="E363" i="3"/>
  <c r="G635" i="3"/>
  <c r="H635" i="3"/>
  <c r="G175" i="3"/>
  <c r="H214" i="3"/>
  <c r="F214" i="3"/>
  <c r="C223" i="3"/>
  <c r="E223" i="3"/>
  <c r="D231" i="3"/>
  <c r="I231" i="3"/>
  <c r="C263" i="3"/>
  <c r="E263" i="3"/>
  <c r="H291" i="3"/>
  <c r="F291" i="3"/>
  <c r="F327" i="3"/>
  <c r="B107" i="3"/>
  <c r="I107" i="3"/>
  <c r="H139" i="3"/>
  <c r="I139" i="3"/>
  <c r="C243" i="3"/>
  <c r="E243" i="3"/>
  <c r="H226" i="3"/>
  <c r="F226" i="3"/>
  <c r="H286" i="3"/>
  <c r="F286" i="3"/>
  <c r="G319" i="3"/>
  <c r="B319" i="3"/>
  <c r="G279" i="3"/>
  <c r="B279" i="3"/>
  <c r="C143" i="3"/>
  <c r="B143" i="3"/>
  <c r="C131" i="3"/>
  <c r="I131" i="3"/>
  <c r="B635" i="3"/>
  <c r="G159" i="3"/>
  <c r="C330" i="3"/>
  <c r="F363" i="3"/>
  <c r="F635" i="3"/>
  <c r="D635" i="3"/>
  <c r="C175" i="3"/>
  <c r="E175" i="3"/>
  <c r="G214" i="3"/>
  <c r="H223" i="3"/>
  <c r="F223" i="3"/>
  <c r="C231" i="3"/>
  <c r="H263" i="3"/>
  <c r="G291" i="3"/>
  <c r="G327" i="3"/>
  <c r="B327" i="3"/>
  <c r="H107" i="3"/>
  <c r="G139" i="3"/>
  <c r="H243" i="3"/>
  <c r="F243" i="3"/>
  <c r="G226" i="3"/>
  <c r="G286" i="3"/>
  <c r="D319" i="3"/>
  <c r="D279" i="3"/>
  <c r="H143" i="3"/>
  <c r="H131" i="3"/>
  <c r="E131" i="3"/>
  <c r="P647" i="3"/>
  <c r="H647" i="3" s="1"/>
  <c r="P63" i="3"/>
  <c r="B63" i="3" s="1"/>
  <c r="P466" i="3"/>
  <c r="P523" i="3"/>
  <c r="H468" i="3" s="1"/>
  <c r="B18" i="3"/>
  <c r="F18" i="3"/>
  <c r="C18" i="3"/>
  <c r="G18" i="3"/>
  <c r="D18" i="3"/>
  <c r="H18" i="3"/>
  <c r="E18" i="3"/>
  <c r="I18" i="3"/>
  <c r="D650" i="3"/>
  <c r="H650" i="3"/>
  <c r="E650" i="3"/>
  <c r="I650" i="3"/>
  <c r="F650" i="3"/>
  <c r="C650" i="3"/>
  <c r="G650" i="3"/>
  <c r="B650" i="3"/>
  <c r="D439" i="3"/>
  <c r="H439" i="3"/>
  <c r="E439" i="3"/>
  <c r="I439" i="3"/>
  <c r="F439" i="3"/>
  <c r="G439" i="3"/>
  <c r="B439" i="3"/>
  <c r="C439" i="3"/>
  <c r="E281" i="3"/>
  <c r="I281" i="3"/>
  <c r="B281" i="3"/>
  <c r="F281" i="3"/>
  <c r="C281" i="3"/>
  <c r="D281" i="3"/>
  <c r="G281" i="3"/>
  <c r="H281" i="3"/>
  <c r="E361" i="3"/>
  <c r="I361" i="3"/>
  <c r="B361" i="3"/>
  <c r="F361" i="3"/>
  <c r="C361" i="3"/>
  <c r="D361" i="3"/>
  <c r="G361" i="3"/>
  <c r="H361" i="3"/>
  <c r="D405" i="3"/>
  <c r="H405" i="3"/>
  <c r="E405" i="3"/>
  <c r="I405" i="3"/>
  <c r="F405" i="3"/>
  <c r="G405" i="3"/>
  <c r="B405" i="3"/>
  <c r="C405" i="3"/>
  <c r="D533" i="3"/>
  <c r="H533" i="3"/>
  <c r="E533" i="3"/>
  <c r="I533" i="3"/>
  <c r="F533" i="3"/>
  <c r="G533" i="3"/>
  <c r="B533" i="3"/>
  <c r="C533" i="3"/>
  <c r="D565" i="3"/>
  <c r="H565" i="3"/>
  <c r="E565" i="3"/>
  <c r="I565" i="3"/>
  <c r="F565" i="3"/>
  <c r="G565" i="3"/>
  <c r="B565" i="3"/>
  <c r="C565" i="3"/>
  <c r="D705" i="3"/>
  <c r="H705" i="3"/>
  <c r="E705" i="3"/>
  <c r="I705" i="3"/>
  <c r="F705" i="3"/>
  <c r="C705" i="3"/>
  <c r="G705" i="3"/>
  <c r="B705" i="3"/>
  <c r="D598" i="3"/>
  <c r="H598" i="3"/>
  <c r="E598" i="3"/>
  <c r="I598" i="3"/>
  <c r="F598" i="3"/>
  <c r="G598" i="3"/>
  <c r="C598" i="3"/>
  <c r="B598" i="3"/>
  <c r="C99" i="3"/>
  <c r="G99" i="3"/>
  <c r="D99" i="3"/>
  <c r="I99" i="3"/>
  <c r="E99" i="3"/>
  <c r="B99" i="3"/>
  <c r="F99" i="3"/>
  <c r="H99" i="3"/>
  <c r="B23" i="3"/>
  <c r="F23" i="3"/>
  <c r="C23" i="3"/>
  <c r="G23" i="3"/>
  <c r="D23" i="3"/>
  <c r="H23" i="3"/>
  <c r="E23" i="3"/>
  <c r="I23" i="3"/>
  <c r="D399" i="3"/>
  <c r="H399" i="3"/>
  <c r="E399" i="3"/>
  <c r="I399" i="3"/>
  <c r="F399" i="3"/>
  <c r="G399" i="3"/>
  <c r="B399" i="3"/>
  <c r="C399" i="3"/>
  <c r="D546" i="3"/>
  <c r="H546" i="3"/>
  <c r="E546" i="3"/>
  <c r="I546" i="3"/>
  <c r="F546" i="3"/>
  <c r="G546" i="3"/>
  <c r="C546" i="3"/>
  <c r="B546" i="3"/>
  <c r="E325" i="3"/>
  <c r="I325" i="3"/>
  <c r="B325" i="3"/>
  <c r="F325" i="3"/>
  <c r="C325" i="3"/>
  <c r="D325" i="3"/>
  <c r="G325" i="3"/>
  <c r="H325" i="3"/>
  <c r="B24" i="3"/>
  <c r="F24" i="3"/>
  <c r="C24" i="3"/>
  <c r="G24" i="3"/>
  <c r="D24" i="3"/>
  <c r="H24" i="3"/>
  <c r="E24" i="3"/>
  <c r="I24" i="3"/>
  <c r="D460" i="3"/>
  <c r="H460" i="3"/>
  <c r="E460" i="3"/>
  <c r="I460" i="3"/>
  <c r="F460" i="3"/>
  <c r="G460" i="3"/>
  <c r="B460" i="3"/>
  <c r="C460" i="3"/>
  <c r="D516" i="3"/>
  <c r="H516" i="3"/>
  <c r="E516" i="3"/>
  <c r="I516" i="3"/>
  <c r="F516" i="3"/>
  <c r="G516" i="3"/>
  <c r="C516" i="3"/>
  <c r="B516" i="3"/>
  <c r="D624" i="3"/>
  <c r="H624" i="3"/>
  <c r="E624" i="3"/>
  <c r="I624" i="3"/>
  <c r="F624" i="3"/>
  <c r="G624" i="3"/>
  <c r="C624" i="3"/>
  <c r="B624" i="3"/>
  <c r="D473" i="3"/>
  <c r="H473" i="3"/>
  <c r="E473" i="3"/>
  <c r="I473" i="3"/>
  <c r="F473" i="3"/>
  <c r="G473" i="3"/>
  <c r="B473" i="3"/>
  <c r="C473" i="3"/>
  <c r="D589" i="3"/>
  <c r="H589" i="3"/>
  <c r="E589" i="3"/>
  <c r="I589" i="3"/>
  <c r="F589" i="3"/>
  <c r="G589" i="3"/>
  <c r="B589" i="3"/>
  <c r="C589" i="3"/>
  <c r="D618" i="3"/>
  <c r="H618" i="3"/>
  <c r="E618" i="3"/>
  <c r="I618" i="3"/>
  <c r="F618" i="3"/>
  <c r="G618" i="3"/>
  <c r="C618" i="3"/>
  <c r="B618" i="3"/>
  <c r="D431" i="3"/>
  <c r="H431" i="3"/>
  <c r="E431" i="3"/>
  <c r="I431" i="3"/>
  <c r="F431" i="3"/>
  <c r="G431" i="3"/>
  <c r="B431" i="3"/>
  <c r="C431" i="3"/>
  <c r="D6" i="3"/>
  <c r="H6" i="3"/>
  <c r="E6" i="3"/>
  <c r="I6" i="3"/>
  <c r="B6" i="3"/>
  <c r="G6" i="3"/>
  <c r="C6" i="3"/>
  <c r="F6" i="3"/>
  <c r="E166" i="3"/>
  <c r="I166" i="3"/>
  <c r="B166" i="3"/>
  <c r="F166" i="3"/>
  <c r="G166" i="3"/>
  <c r="H166" i="3"/>
  <c r="C166" i="3"/>
  <c r="D166" i="3"/>
  <c r="B174" i="3"/>
  <c r="F174" i="3"/>
  <c r="C174" i="3"/>
  <c r="H174" i="3"/>
  <c r="D174" i="3"/>
  <c r="I174" i="3"/>
  <c r="E174" i="3"/>
  <c r="G174" i="3"/>
  <c r="E190" i="3"/>
  <c r="I190" i="3"/>
  <c r="B190" i="3"/>
  <c r="F190" i="3"/>
  <c r="C190" i="3"/>
  <c r="D190" i="3"/>
  <c r="G190" i="3"/>
  <c r="H190" i="3"/>
  <c r="E198" i="3"/>
  <c r="I198" i="3"/>
  <c r="B198" i="3"/>
  <c r="F198" i="3"/>
  <c r="C198" i="3"/>
  <c r="D198" i="3"/>
  <c r="G198" i="3"/>
  <c r="H198" i="3"/>
  <c r="E206" i="3"/>
  <c r="I206" i="3"/>
  <c r="B206" i="3"/>
  <c r="F206" i="3"/>
  <c r="C206" i="3"/>
  <c r="D206" i="3"/>
  <c r="G206" i="3"/>
  <c r="H206" i="3"/>
  <c r="E230" i="3"/>
  <c r="I230" i="3"/>
  <c r="B230" i="3"/>
  <c r="F230" i="3"/>
  <c r="C230" i="3"/>
  <c r="D230" i="3"/>
  <c r="G230" i="3"/>
  <c r="H230" i="3"/>
  <c r="E238" i="3"/>
  <c r="I238" i="3"/>
  <c r="B238" i="3"/>
  <c r="F238" i="3"/>
  <c r="C238" i="3"/>
  <c r="D238" i="3"/>
  <c r="G238" i="3"/>
  <c r="H238" i="3"/>
  <c r="E262" i="3"/>
  <c r="I262" i="3"/>
  <c r="B262" i="3"/>
  <c r="F262" i="3"/>
  <c r="C262" i="3"/>
  <c r="D262" i="3"/>
  <c r="G262" i="3"/>
  <c r="H262" i="3"/>
  <c r="E326" i="3"/>
  <c r="I326" i="3"/>
  <c r="B326" i="3"/>
  <c r="F326" i="3"/>
  <c r="C326" i="3"/>
  <c r="D326" i="3"/>
  <c r="G326" i="3"/>
  <c r="H326" i="3"/>
  <c r="E354" i="3"/>
  <c r="I354" i="3"/>
  <c r="B354" i="3"/>
  <c r="F354" i="3"/>
  <c r="C354" i="3"/>
  <c r="D354" i="3"/>
  <c r="G354" i="3"/>
  <c r="H354" i="3"/>
  <c r="D430" i="3"/>
  <c r="H430" i="3"/>
  <c r="E430" i="3"/>
  <c r="I430" i="3"/>
  <c r="F430" i="3"/>
  <c r="G430" i="3"/>
  <c r="B430" i="3"/>
  <c r="C430" i="3"/>
  <c r="D594" i="3"/>
  <c r="H594" i="3"/>
  <c r="E594" i="3"/>
  <c r="I594" i="3"/>
  <c r="F594" i="3"/>
  <c r="G594" i="3"/>
  <c r="C594" i="3"/>
  <c r="B594" i="3"/>
  <c r="D577" i="3"/>
  <c r="H577" i="3"/>
  <c r="E577" i="3"/>
  <c r="I577" i="3"/>
  <c r="F577" i="3"/>
  <c r="G577" i="3"/>
  <c r="B577" i="3"/>
  <c r="C577" i="3"/>
  <c r="D680" i="3"/>
  <c r="H680" i="3"/>
  <c r="E680" i="3"/>
  <c r="I680" i="3"/>
  <c r="F680" i="3"/>
  <c r="C680" i="3"/>
  <c r="G680" i="3"/>
  <c r="B680" i="3"/>
  <c r="D696" i="3"/>
  <c r="H696" i="3"/>
  <c r="E696" i="3"/>
  <c r="I696" i="3"/>
  <c r="F696" i="3"/>
  <c r="C696" i="3"/>
  <c r="G696" i="3"/>
  <c r="B696" i="3"/>
  <c r="D712" i="3"/>
  <c r="H712" i="3"/>
  <c r="E712" i="3"/>
  <c r="I712" i="3"/>
  <c r="F712" i="3"/>
  <c r="C712" i="3"/>
  <c r="G712" i="3"/>
  <c r="B712" i="3"/>
  <c r="B20" i="3"/>
  <c r="F20" i="3"/>
  <c r="C20" i="3"/>
  <c r="G20" i="3"/>
  <c r="D20" i="3"/>
  <c r="H20" i="3"/>
  <c r="E20" i="3"/>
  <c r="I20" i="3"/>
  <c r="E338" i="3"/>
  <c r="I338" i="3"/>
  <c r="B338" i="3"/>
  <c r="F338" i="3"/>
  <c r="C338" i="3"/>
  <c r="D338" i="3"/>
  <c r="G338" i="3"/>
  <c r="H338" i="3"/>
  <c r="D682" i="3"/>
  <c r="H682" i="3"/>
  <c r="E682" i="3"/>
  <c r="I682" i="3"/>
  <c r="F682" i="3"/>
  <c r="C682" i="3"/>
  <c r="G682" i="3"/>
  <c r="B682" i="3"/>
  <c r="E217" i="3"/>
  <c r="I217" i="3"/>
  <c r="B217" i="3"/>
  <c r="F217" i="3"/>
  <c r="C217" i="3"/>
  <c r="D217" i="3"/>
  <c r="G217" i="3"/>
  <c r="H217" i="3"/>
  <c r="E265" i="3"/>
  <c r="I265" i="3"/>
  <c r="B265" i="3"/>
  <c r="F265" i="3"/>
  <c r="C265" i="3"/>
  <c r="D265" i="3"/>
  <c r="G265" i="3"/>
  <c r="H265" i="3"/>
  <c r="E381" i="3"/>
  <c r="I381" i="3"/>
  <c r="B381" i="3"/>
  <c r="F381" i="3"/>
  <c r="C381" i="3"/>
  <c r="D381" i="3"/>
  <c r="G381" i="3"/>
  <c r="H381" i="3"/>
  <c r="D421" i="3"/>
  <c r="H421" i="3"/>
  <c r="E421" i="3"/>
  <c r="I421" i="3"/>
  <c r="F421" i="3"/>
  <c r="G421" i="3"/>
  <c r="B421" i="3"/>
  <c r="C421" i="3"/>
  <c r="D457" i="3"/>
  <c r="H457" i="3"/>
  <c r="E457" i="3"/>
  <c r="I457" i="3"/>
  <c r="F457" i="3"/>
  <c r="G457" i="3"/>
  <c r="B457" i="3"/>
  <c r="C457" i="3"/>
  <c r="D609" i="3"/>
  <c r="H609" i="3"/>
  <c r="E609" i="3"/>
  <c r="I609" i="3"/>
  <c r="F609" i="3"/>
  <c r="G609" i="3"/>
  <c r="B609" i="3"/>
  <c r="C609" i="3"/>
  <c r="D689" i="3"/>
  <c r="H689" i="3"/>
  <c r="E689" i="3"/>
  <c r="I689" i="3"/>
  <c r="F689" i="3"/>
  <c r="C689" i="3"/>
  <c r="G689" i="3"/>
  <c r="B689" i="3"/>
  <c r="E358" i="3"/>
  <c r="I358" i="3"/>
  <c r="B358" i="3"/>
  <c r="F358" i="3"/>
  <c r="C358" i="3"/>
  <c r="D358" i="3"/>
  <c r="G358" i="3"/>
  <c r="H358" i="3"/>
  <c r="D662" i="3"/>
  <c r="H662" i="3"/>
  <c r="E662" i="3"/>
  <c r="I662" i="3"/>
  <c r="F662" i="3"/>
  <c r="C662" i="3"/>
  <c r="G662" i="3"/>
  <c r="B662" i="3"/>
  <c r="E359" i="3"/>
  <c r="I359" i="3"/>
  <c r="B359" i="3"/>
  <c r="F359" i="3"/>
  <c r="C359" i="3"/>
  <c r="D359" i="3"/>
  <c r="G359" i="3"/>
  <c r="H359" i="3"/>
  <c r="D7" i="3"/>
  <c r="H7" i="3"/>
  <c r="E7" i="3"/>
  <c r="I7" i="3"/>
  <c r="B7" i="3"/>
  <c r="G7" i="3"/>
  <c r="C7" i="3"/>
  <c r="F7" i="3"/>
  <c r="D467" i="3"/>
  <c r="H467" i="3"/>
  <c r="E467" i="3"/>
  <c r="I467" i="3"/>
  <c r="F467" i="3"/>
  <c r="G467" i="3"/>
  <c r="B467" i="3"/>
  <c r="C467" i="3"/>
  <c r="D655" i="3"/>
  <c r="H655" i="3"/>
  <c r="E655" i="3"/>
  <c r="I655" i="3"/>
  <c r="F655" i="3"/>
  <c r="C655" i="3"/>
  <c r="G655" i="3"/>
  <c r="B655" i="3"/>
  <c r="E292" i="3"/>
  <c r="I292" i="3"/>
  <c r="B292" i="3"/>
  <c r="F292" i="3"/>
  <c r="C292" i="3"/>
  <c r="D292" i="3"/>
  <c r="G292" i="3"/>
  <c r="H292" i="3"/>
  <c r="D521" i="3"/>
  <c r="H521" i="3"/>
  <c r="E521" i="3"/>
  <c r="I521" i="3"/>
  <c r="F521" i="3"/>
  <c r="G521" i="3"/>
  <c r="B521" i="3"/>
  <c r="C521" i="3"/>
  <c r="B32" i="3"/>
  <c r="F32" i="3"/>
  <c r="C32" i="3"/>
  <c r="G32" i="3"/>
  <c r="D32" i="3"/>
  <c r="H32" i="3"/>
  <c r="E32" i="3"/>
  <c r="I32" i="3"/>
  <c r="C80" i="3"/>
  <c r="G80" i="3"/>
  <c r="F80" i="3"/>
  <c r="B80" i="3"/>
  <c r="H80" i="3"/>
  <c r="D80" i="3"/>
  <c r="E80" i="3"/>
  <c r="I80" i="3"/>
  <c r="D396" i="3"/>
  <c r="H396" i="3"/>
  <c r="E396" i="3"/>
  <c r="I396" i="3"/>
  <c r="F396" i="3"/>
  <c r="G396" i="3"/>
  <c r="B396" i="3"/>
  <c r="C396" i="3"/>
  <c r="D444" i="3"/>
  <c r="H444" i="3"/>
  <c r="E444" i="3"/>
  <c r="I444" i="3"/>
  <c r="F444" i="3"/>
  <c r="G444" i="3"/>
  <c r="B444" i="3"/>
  <c r="C444" i="3"/>
  <c r="D496" i="3"/>
  <c r="H496" i="3"/>
  <c r="E496" i="3"/>
  <c r="I496" i="3"/>
  <c r="F496" i="3"/>
  <c r="G496" i="3"/>
  <c r="C496" i="3"/>
  <c r="B496" i="3"/>
  <c r="D572" i="3"/>
  <c r="H572" i="3"/>
  <c r="E572" i="3"/>
  <c r="I572" i="3"/>
  <c r="F572" i="3"/>
  <c r="G572" i="3"/>
  <c r="C572" i="3"/>
  <c r="B572" i="3"/>
  <c r="B37" i="3"/>
  <c r="F37" i="3"/>
  <c r="C37" i="3"/>
  <c r="G37" i="3"/>
  <c r="D37" i="3"/>
  <c r="H37" i="3"/>
  <c r="E37" i="3"/>
  <c r="I37" i="3"/>
  <c r="D461" i="3"/>
  <c r="H461" i="3"/>
  <c r="E461" i="3"/>
  <c r="I461" i="3"/>
  <c r="F461" i="3"/>
  <c r="G461" i="3"/>
  <c r="B461" i="3"/>
  <c r="C461" i="3"/>
  <c r="D481" i="3"/>
  <c r="H481" i="3"/>
  <c r="E481" i="3"/>
  <c r="I481" i="3"/>
  <c r="F481" i="3"/>
  <c r="G481" i="3"/>
  <c r="B481" i="3"/>
  <c r="C481" i="3"/>
  <c r="D513" i="3"/>
  <c r="H513" i="3"/>
  <c r="E513" i="3"/>
  <c r="I513" i="3"/>
  <c r="F513" i="3"/>
  <c r="G513" i="3"/>
  <c r="B513" i="3"/>
  <c r="C513" i="3"/>
  <c r="D601" i="3"/>
  <c r="H601" i="3"/>
  <c r="E601" i="3"/>
  <c r="I601" i="3"/>
  <c r="F601" i="3"/>
  <c r="G601" i="3"/>
  <c r="B601" i="3"/>
  <c r="C601" i="3"/>
  <c r="B38" i="3"/>
  <c r="F38" i="3"/>
  <c r="C38" i="3"/>
  <c r="G38" i="3"/>
  <c r="D38" i="3"/>
  <c r="H38" i="3"/>
  <c r="E38" i="3"/>
  <c r="I38" i="3"/>
  <c r="E370" i="3"/>
  <c r="I370" i="3"/>
  <c r="B370" i="3"/>
  <c r="F370" i="3"/>
  <c r="C370" i="3"/>
  <c r="D370" i="3"/>
  <c r="G370" i="3"/>
  <c r="H370" i="3"/>
  <c r="D522" i="3"/>
  <c r="H522" i="3"/>
  <c r="E522" i="3"/>
  <c r="I522" i="3"/>
  <c r="F522" i="3"/>
  <c r="G522" i="3"/>
  <c r="C522" i="3"/>
  <c r="B522" i="3"/>
  <c r="D638" i="3"/>
  <c r="H638" i="3"/>
  <c r="E638" i="3"/>
  <c r="I638" i="3"/>
  <c r="F638" i="3"/>
  <c r="G638" i="3"/>
  <c r="C638" i="3"/>
  <c r="B638" i="3"/>
  <c r="E335" i="3"/>
  <c r="I335" i="3"/>
  <c r="B335" i="3"/>
  <c r="F335" i="3"/>
  <c r="C335" i="3"/>
  <c r="D335" i="3"/>
  <c r="G335" i="3"/>
  <c r="H335" i="3"/>
  <c r="D447" i="3"/>
  <c r="H447" i="3"/>
  <c r="E447" i="3"/>
  <c r="I447" i="3"/>
  <c r="F447" i="3"/>
  <c r="G447" i="3"/>
  <c r="B447" i="3"/>
  <c r="C447" i="3"/>
  <c r="D495" i="3"/>
  <c r="H495" i="3"/>
  <c r="E495" i="3"/>
  <c r="I495" i="3"/>
  <c r="F495" i="3"/>
  <c r="G495" i="3"/>
  <c r="B495" i="3"/>
  <c r="C495" i="3"/>
  <c r="B54" i="3"/>
  <c r="F54" i="3"/>
  <c r="C54" i="3"/>
  <c r="G54" i="3"/>
  <c r="D54" i="3"/>
  <c r="E54" i="3"/>
  <c r="H54" i="3"/>
  <c r="I54" i="3"/>
  <c r="C102" i="3"/>
  <c r="G102" i="3"/>
  <c r="F102" i="3"/>
  <c r="B102" i="3"/>
  <c r="H102" i="3"/>
  <c r="I102" i="3"/>
  <c r="D102" i="3"/>
  <c r="E102" i="3"/>
  <c r="E130" i="3"/>
  <c r="I130" i="3"/>
  <c r="B130" i="3"/>
  <c r="F130" i="3"/>
  <c r="G130" i="3"/>
  <c r="H130" i="3"/>
  <c r="C130" i="3"/>
  <c r="D130" i="3"/>
  <c r="E150" i="3"/>
  <c r="I150" i="3"/>
  <c r="B150" i="3"/>
  <c r="F150" i="3"/>
  <c r="G150" i="3"/>
  <c r="H150" i="3"/>
  <c r="C150" i="3"/>
  <c r="D150" i="3"/>
  <c r="E218" i="3"/>
  <c r="I218" i="3"/>
  <c r="B218" i="3"/>
  <c r="F218" i="3"/>
  <c r="C218" i="3"/>
  <c r="D218" i="3"/>
  <c r="G218" i="3"/>
  <c r="H218" i="3"/>
  <c r="E250" i="3"/>
  <c r="I250" i="3"/>
  <c r="B250" i="3"/>
  <c r="F250" i="3"/>
  <c r="C250" i="3"/>
  <c r="D250" i="3"/>
  <c r="G250" i="3"/>
  <c r="H250" i="3"/>
  <c r="E266" i="3"/>
  <c r="I266" i="3"/>
  <c r="B266" i="3"/>
  <c r="F266" i="3"/>
  <c r="C266" i="3"/>
  <c r="D266" i="3"/>
  <c r="G266" i="3"/>
  <c r="H266" i="3"/>
  <c r="E278" i="3"/>
  <c r="I278" i="3"/>
  <c r="B278" i="3"/>
  <c r="F278" i="3"/>
  <c r="C278" i="3"/>
  <c r="D278" i="3"/>
  <c r="G278" i="3"/>
  <c r="H278" i="3"/>
  <c r="E318" i="3"/>
  <c r="I318" i="3"/>
  <c r="B318" i="3"/>
  <c r="F318" i="3"/>
  <c r="C318" i="3"/>
  <c r="D318" i="3"/>
  <c r="G318" i="3"/>
  <c r="H318" i="3"/>
  <c r="E362" i="3"/>
  <c r="I362" i="3"/>
  <c r="B362" i="3"/>
  <c r="F362" i="3"/>
  <c r="C362" i="3"/>
  <c r="D362" i="3"/>
  <c r="G362" i="3"/>
  <c r="H362" i="3"/>
  <c r="B386" i="3"/>
  <c r="F386" i="3"/>
  <c r="C386" i="3"/>
  <c r="H386" i="3"/>
  <c r="D386" i="3"/>
  <c r="I386" i="3"/>
  <c r="E386" i="3"/>
  <c r="G386" i="3"/>
  <c r="D398" i="3"/>
  <c r="H398" i="3"/>
  <c r="E398" i="3"/>
  <c r="I398" i="3"/>
  <c r="F398" i="3"/>
  <c r="G398" i="3"/>
  <c r="B398" i="3"/>
  <c r="C398" i="3"/>
  <c r="D442" i="3"/>
  <c r="H442" i="3"/>
  <c r="E442" i="3"/>
  <c r="I442" i="3"/>
  <c r="F442" i="3"/>
  <c r="G442" i="3"/>
  <c r="B442" i="3"/>
  <c r="C442" i="3"/>
  <c r="D474" i="3"/>
  <c r="H474" i="3"/>
  <c r="E474" i="3"/>
  <c r="I474" i="3"/>
  <c r="F474" i="3"/>
  <c r="G474" i="3"/>
  <c r="C474" i="3"/>
  <c r="B474" i="3"/>
  <c r="D514" i="3"/>
  <c r="H514" i="3"/>
  <c r="E514" i="3"/>
  <c r="I514" i="3"/>
  <c r="F514" i="3"/>
  <c r="G514" i="3"/>
  <c r="C514" i="3"/>
  <c r="B514" i="3"/>
  <c r="D538" i="3"/>
  <c r="H538" i="3"/>
  <c r="E538" i="3"/>
  <c r="I538" i="3"/>
  <c r="F538" i="3"/>
  <c r="G538" i="3"/>
  <c r="C538" i="3"/>
  <c r="B538" i="3"/>
  <c r="D602" i="3"/>
  <c r="H602" i="3"/>
  <c r="E602" i="3"/>
  <c r="I602" i="3"/>
  <c r="F602" i="3"/>
  <c r="G602" i="3"/>
  <c r="C602" i="3"/>
  <c r="B602" i="3"/>
  <c r="D626" i="3"/>
  <c r="H626" i="3"/>
  <c r="E626" i="3"/>
  <c r="I626" i="3"/>
  <c r="F626" i="3"/>
  <c r="G626" i="3"/>
  <c r="C626" i="3"/>
  <c r="B626" i="3"/>
  <c r="D634" i="3"/>
  <c r="H634" i="3"/>
  <c r="E634" i="3"/>
  <c r="I634" i="3"/>
  <c r="F634" i="3"/>
  <c r="G634" i="3"/>
  <c r="C634" i="3"/>
  <c r="B634" i="3"/>
  <c r="D535" i="3"/>
  <c r="H535" i="3"/>
  <c r="E535" i="3"/>
  <c r="I535" i="3"/>
  <c r="F535" i="3"/>
  <c r="G535" i="3"/>
  <c r="B535" i="3"/>
  <c r="C535" i="3"/>
  <c r="D547" i="3"/>
  <c r="H547" i="3"/>
  <c r="E547" i="3"/>
  <c r="I547" i="3"/>
  <c r="F547" i="3"/>
  <c r="G547" i="3"/>
  <c r="B547" i="3"/>
  <c r="C547" i="3"/>
  <c r="D627" i="3"/>
  <c r="H627" i="3"/>
  <c r="E627" i="3"/>
  <c r="I627" i="3"/>
  <c r="F627" i="3"/>
  <c r="G627" i="3"/>
  <c r="B627" i="3"/>
  <c r="C627" i="3"/>
  <c r="D424" i="3"/>
  <c r="H424" i="3"/>
  <c r="E424" i="3"/>
  <c r="I424" i="3"/>
  <c r="F424" i="3"/>
  <c r="G424" i="3"/>
  <c r="B424" i="3"/>
  <c r="C424" i="3"/>
  <c r="D615" i="3"/>
  <c r="H615" i="3"/>
  <c r="E615" i="3"/>
  <c r="I615" i="3"/>
  <c r="F615" i="3"/>
  <c r="G615" i="3"/>
  <c r="B615" i="3"/>
  <c r="C615" i="3"/>
  <c r="D652" i="3"/>
  <c r="H652" i="3"/>
  <c r="E652" i="3"/>
  <c r="I652" i="3"/>
  <c r="F652" i="3"/>
  <c r="C652" i="3"/>
  <c r="G652" i="3"/>
  <c r="B652" i="3"/>
  <c r="D668" i="3"/>
  <c r="H668" i="3"/>
  <c r="E668" i="3"/>
  <c r="I668" i="3"/>
  <c r="F668" i="3"/>
  <c r="C668" i="3"/>
  <c r="G668" i="3"/>
  <c r="B668" i="3"/>
  <c r="D684" i="3"/>
  <c r="H684" i="3"/>
  <c r="E684" i="3"/>
  <c r="I684" i="3"/>
  <c r="F684" i="3"/>
  <c r="C684" i="3"/>
  <c r="G684" i="3"/>
  <c r="B684" i="3"/>
  <c r="D700" i="3"/>
  <c r="H700" i="3"/>
  <c r="E700" i="3"/>
  <c r="I700" i="3"/>
  <c r="F700" i="3"/>
  <c r="C700" i="3"/>
  <c r="G700" i="3"/>
  <c r="B700" i="3"/>
  <c r="D716" i="3"/>
  <c r="H716" i="3"/>
  <c r="E716" i="3"/>
  <c r="I716" i="3"/>
  <c r="F716" i="3"/>
  <c r="C716" i="3"/>
  <c r="G716" i="3"/>
  <c r="B716" i="3"/>
  <c r="D8" i="3"/>
  <c r="H8" i="3"/>
  <c r="E8" i="3"/>
  <c r="I8" i="3"/>
  <c r="B8" i="3"/>
  <c r="G8" i="3"/>
  <c r="C8" i="3"/>
  <c r="F8" i="3"/>
  <c r="B56" i="3"/>
  <c r="F56" i="3"/>
  <c r="C56" i="3"/>
  <c r="G56" i="3"/>
  <c r="D56" i="3"/>
  <c r="E56" i="3"/>
  <c r="H56" i="3"/>
  <c r="I56" i="3"/>
  <c r="C88" i="3"/>
  <c r="G88" i="3"/>
  <c r="F88" i="3"/>
  <c r="B88" i="3"/>
  <c r="H88" i="3"/>
  <c r="D88" i="3"/>
  <c r="E88" i="3"/>
  <c r="I88" i="3"/>
  <c r="B9" i="3"/>
  <c r="F9" i="3"/>
  <c r="C9" i="3"/>
  <c r="G9" i="3"/>
  <c r="D9" i="3"/>
  <c r="H9" i="3"/>
  <c r="E9" i="3"/>
  <c r="I9" i="3"/>
  <c r="B25" i="3"/>
  <c r="F25" i="3"/>
  <c r="C25" i="3"/>
  <c r="G25" i="3"/>
  <c r="D25" i="3"/>
  <c r="H25" i="3"/>
  <c r="E25" i="3"/>
  <c r="I25" i="3"/>
  <c r="B57" i="3"/>
  <c r="F57" i="3"/>
  <c r="C57" i="3"/>
  <c r="G57" i="3"/>
  <c r="D57" i="3"/>
  <c r="E57" i="3"/>
  <c r="H57" i="3"/>
  <c r="I57" i="3"/>
  <c r="C77" i="3"/>
  <c r="G77" i="3"/>
  <c r="D77" i="3"/>
  <c r="I77" i="3"/>
  <c r="E77" i="3"/>
  <c r="F77" i="3"/>
  <c r="H77" i="3"/>
  <c r="B77" i="3"/>
  <c r="E141" i="3"/>
  <c r="I141" i="3"/>
  <c r="B141" i="3"/>
  <c r="F141" i="3"/>
  <c r="G141" i="3"/>
  <c r="H141" i="3"/>
  <c r="C141" i="3"/>
  <c r="D141" i="3"/>
  <c r="E157" i="3"/>
  <c r="I157" i="3"/>
  <c r="B157" i="3"/>
  <c r="F157" i="3"/>
  <c r="G157" i="3"/>
  <c r="H157" i="3"/>
  <c r="C157" i="3"/>
  <c r="D157" i="3"/>
  <c r="B173" i="3"/>
  <c r="F173" i="3"/>
  <c r="E173" i="3"/>
  <c r="G173" i="3"/>
  <c r="C173" i="3"/>
  <c r="D173" i="3"/>
  <c r="H173" i="3"/>
  <c r="I173" i="3"/>
  <c r="E189" i="3"/>
  <c r="I189" i="3"/>
  <c r="B189" i="3"/>
  <c r="F189" i="3"/>
  <c r="C189" i="3"/>
  <c r="D189" i="3"/>
  <c r="G189" i="3"/>
  <c r="H189" i="3"/>
  <c r="E205" i="3"/>
  <c r="I205" i="3"/>
  <c r="B205" i="3"/>
  <c r="F205" i="3"/>
  <c r="C205" i="3"/>
  <c r="D205" i="3"/>
  <c r="G205" i="3"/>
  <c r="H205" i="3"/>
  <c r="B48" i="3"/>
  <c r="F48" i="3"/>
  <c r="C48" i="3"/>
  <c r="G48" i="3"/>
  <c r="H48" i="3"/>
  <c r="I48" i="3"/>
  <c r="D48" i="3"/>
  <c r="E48" i="3"/>
  <c r="C112" i="3"/>
  <c r="G112" i="3"/>
  <c r="F112" i="3"/>
  <c r="B112" i="3"/>
  <c r="H112" i="3"/>
  <c r="I112" i="3"/>
  <c r="D112" i="3"/>
  <c r="E112" i="3"/>
  <c r="E128" i="3"/>
  <c r="I128" i="3"/>
  <c r="B128" i="3"/>
  <c r="F128" i="3"/>
  <c r="G128" i="3"/>
  <c r="H128" i="3"/>
  <c r="C128" i="3"/>
  <c r="D128" i="3"/>
  <c r="E152" i="3"/>
  <c r="I152" i="3"/>
  <c r="B152" i="3"/>
  <c r="F152" i="3"/>
  <c r="G152" i="3"/>
  <c r="H152" i="3"/>
  <c r="C152" i="3"/>
  <c r="D152" i="3"/>
  <c r="E172" i="3"/>
  <c r="I172" i="3"/>
  <c r="B172" i="3"/>
  <c r="F172" i="3"/>
  <c r="G172" i="3"/>
  <c r="H172" i="3"/>
  <c r="C172" i="3"/>
  <c r="D172" i="3"/>
  <c r="E188" i="3"/>
  <c r="I188" i="3"/>
  <c r="B188" i="3"/>
  <c r="F188" i="3"/>
  <c r="C188" i="3"/>
  <c r="D188" i="3"/>
  <c r="G188" i="3"/>
  <c r="H188" i="3"/>
  <c r="E208" i="3"/>
  <c r="I208" i="3"/>
  <c r="B208" i="3"/>
  <c r="F208" i="3"/>
  <c r="C208" i="3"/>
  <c r="D208" i="3"/>
  <c r="G208" i="3"/>
  <c r="H208" i="3"/>
  <c r="E232" i="3"/>
  <c r="I232" i="3"/>
  <c r="B232" i="3"/>
  <c r="F232" i="3"/>
  <c r="C232" i="3"/>
  <c r="D232" i="3"/>
  <c r="G232" i="3"/>
  <c r="H232" i="3"/>
  <c r="E248" i="3"/>
  <c r="I248" i="3"/>
  <c r="B248" i="3"/>
  <c r="F248" i="3"/>
  <c r="C248" i="3"/>
  <c r="D248" i="3"/>
  <c r="G248" i="3"/>
  <c r="H248" i="3"/>
  <c r="E268" i="3"/>
  <c r="I268" i="3"/>
  <c r="B268" i="3"/>
  <c r="F268" i="3"/>
  <c r="C268" i="3"/>
  <c r="D268" i="3"/>
  <c r="G268" i="3"/>
  <c r="H268" i="3"/>
  <c r="E284" i="3"/>
  <c r="I284" i="3"/>
  <c r="B284" i="3"/>
  <c r="F284" i="3"/>
  <c r="C284" i="3"/>
  <c r="D284" i="3"/>
  <c r="G284" i="3"/>
  <c r="H284" i="3"/>
  <c r="E304" i="3"/>
  <c r="I304" i="3"/>
  <c r="B304" i="3"/>
  <c r="F304" i="3"/>
  <c r="C304" i="3"/>
  <c r="D304" i="3"/>
  <c r="G304" i="3"/>
  <c r="H304" i="3"/>
  <c r="E320" i="3"/>
  <c r="I320" i="3"/>
  <c r="B320" i="3"/>
  <c r="F320" i="3"/>
  <c r="C320" i="3"/>
  <c r="D320" i="3"/>
  <c r="G320" i="3"/>
  <c r="H320" i="3"/>
  <c r="E344" i="3"/>
  <c r="I344" i="3"/>
  <c r="B344" i="3"/>
  <c r="F344" i="3"/>
  <c r="C344" i="3"/>
  <c r="D344" i="3"/>
  <c r="G344" i="3"/>
  <c r="H344" i="3"/>
  <c r="E360" i="3"/>
  <c r="I360" i="3"/>
  <c r="B360" i="3"/>
  <c r="F360" i="3"/>
  <c r="C360" i="3"/>
  <c r="D360" i="3"/>
  <c r="G360" i="3"/>
  <c r="H360" i="3"/>
  <c r="E376" i="3"/>
  <c r="I376" i="3"/>
  <c r="B376" i="3"/>
  <c r="F376" i="3"/>
  <c r="C376" i="3"/>
  <c r="D376" i="3"/>
  <c r="G376" i="3"/>
  <c r="H376" i="3"/>
  <c r="D392" i="3"/>
  <c r="H392" i="3"/>
  <c r="E392" i="3"/>
  <c r="I392" i="3"/>
  <c r="F392" i="3"/>
  <c r="G392" i="3"/>
  <c r="B392" i="3"/>
  <c r="C392" i="3"/>
  <c r="D412" i="3"/>
  <c r="H412" i="3"/>
  <c r="E412" i="3"/>
  <c r="I412" i="3"/>
  <c r="F412" i="3"/>
  <c r="G412" i="3"/>
  <c r="B412" i="3"/>
  <c r="C412" i="3"/>
  <c r="D456" i="3"/>
  <c r="H456" i="3"/>
  <c r="E456" i="3"/>
  <c r="I456" i="3"/>
  <c r="F456" i="3"/>
  <c r="G456" i="3"/>
  <c r="B456" i="3"/>
  <c r="C456" i="3"/>
  <c r="D492" i="3"/>
  <c r="H492" i="3"/>
  <c r="E492" i="3"/>
  <c r="I492" i="3"/>
  <c r="F492" i="3"/>
  <c r="G492" i="3"/>
  <c r="C492" i="3"/>
  <c r="B492" i="3"/>
  <c r="D524" i="3"/>
  <c r="H524" i="3"/>
  <c r="E524" i="3"/>
  <c r="I524" i="3"/>
  <c r="F524" i="3"/>
  <c r="G524" i="3"/>
  <c r="C524" i="3"/>
  <c r="B524" i="3"/>
  <c r="D544" i="3"/>
  <c r="H544" i="3"/>
  <c r="E544" i="3"/>
  <c r="I544" i="3"/>
  <c r="F544" i="3"/>
  <c r="G544" i="3"/>
  <c r="C544" i="3"/>
  <c r="B544" i="3"/>
  <c r="D564" i="3"/>
  <c r="H564" i="3"/>
  <c r="E564" i="3"/>
  <c r="I564" i="3"/>
  <c r="F564" i="3"/>
  <c r="G564" i="3"/>
  <c r="C564" i="3"/>
  <c r="B564" i="3"/>
  <c r="D592" i="3"/>
  <c r="H592" i="3"/>
  <c r="E592" i="3"/>
  <c r="I592" i="3"/>
  <c r="F592" i="3"/>
  <c r="G592" i="3"/>
  <c r="C592" i="3"/>
  <c r="B592" i="3"/>
  <c r="D608" i="3"/>
  <c r="H608" i="3"/>
  <c r="E608" i="3"/>
  <c r="I608" i="3"/>
  <c r="F608" i="3"/>
  <c r="G608" i="3"/>
  <c r="C608" i="3"/>
  <c r="B608" i="3"/>
  <c r="D628" i="3"/>
  <c r="H628" i="3"/>
  <c r="E628" i="3"/>
  <c r="I628" i="3"/>
  <c r="F628" i="3"/>
  <c r="G628" i="3"/>
  <c r="C628" i="3"/>
  <c r="B628" i="3"/>
  <c r="D644" i="3"/>
  <c r="H644" i="3"/>
  <c r="E644" i="3"/>
  <c r="I644" i="3"/>
  <c r="F644" i="3"/>
  <c r="C644" i="3"/>
  <c r="G644" i="3"/>
  <c r="B644" i="3"/>
  <c r="D422" i="3"/>
  <c r="H422" i="3"/>
  <c r="E422" i="3"/>
  <c r="I422" i="3"/>
  <c r="F422" i="3"/>
  <c r="G422" i="3"/>
  <c r="B422" i="3"/>
  <c r="C422" i="3"/>
  <c r="D658" i="3"/>
  <c r="H658" i="3"/>
  <c r="E658" i="3"/>
  <c r="I658" i="3"/>
  <c r="F658" i="3"/>
  <c r="C658" i="3"/>
  <c r="G658" i="3"/>
  <c r="B658" i="3"/>
  <c r="D690" i="3"/>
  <c r="H690" i="3"/>
  <c r="E690" i="3"/>
  <c r="I690" i="3"/>
  <c r="F690" i="3"/>
  <c r="C690" i="3"/>
  <c r="G690" i="3"/>
  <c r="B690" i="3"/>
  <c r="B27" i="3"/>
  <c r="F27" i="3"/>
  <c r="C27" i="3"/>
  <c r="G27" i="3"/>
  <c r="D27" i="3"/>
  <c r="H27" i="3"/>
  <c r="E27" i="3"/>
  <c r="I27" i="3"/>
  <c r="E221" i="3"/>
  <c r="I221" i="3"/>
  <c r="B221" i="3"/>
  <c r="F221" i="3"/>
  <c r="C221" i="3"/>
  <c r="D221" i="3"/>
  <c r="G221" i="3"/>
  <c r="H221" i="3"/>
  <c r="E237" i="3"/>
  <c r="I237" i="3"/>
  <c r="B237" i="3"/>
  <c r="F237" i="3"/>
  <c r="C237" i="3"/>
  <c r="D237" i="3"/>
  <c r="G237" i="3"/>
  <c r="H237" i="3"/>
  <c r="E253" i="3"/>
  <c r="I253" i="3"/>
  <c r="B253" i="3"/>
  <c r="F253" i="3"/>
  <c r="C253" i="3"/>
  <c r="D253" i="3"/>
  <c r="G253" i="3"/>
  <c r="H253" i="3"/>
  <c r="E269" i="3"/>
  <c r="I269" i="3"/>
  <c r="B269" i="3"/>
  <c r="F269" i="3"/>
  <c r="C269" i="3"/>
  <c r="D269" i="3"/>
  <c r="G269" i="3"/>
  <c r="H269" i="3"/>
  <c r="E285" i="3"/>
  <c r="I285" i="3"/>
  <c r="B285" i="3"/>
  <c r="F285" i="3"/>
  <c r="C285" i="3"/>
  <c r="D285" i="3"/>
  <c r="G285" i="3"/>
  <c r="H285" i="3"/>
  <c r="B301" i="3"/>
  <c r="F301" i="3"/>
  <c r="E301" i="3"/>
  <c r="G301" i="3"/>
  <c r="H301" i="3"/>
  <c r="I301" i="3"/>
  <c r="C301" i="3"/>
  <c r="D301" i="3"/>
  <c r="E349" i="3"/>
  <c r="I349" i="3"/>
  <c r="B349" i="3"/>
  <c r="F349" i="3"/>
  <c r="C349" i="3"/>
  <c r="D349" i="3"/>
  <c r="G349" i="3"/>
  <c r="H349" i="3"/>
  <c r="E385" i="3"/>
  <c r="I385" i="3"/>
  <c r="B385" i="3"/>
  <c r="F385" i="3"/>
  <c r="C385" i="3"/>
  <c r="D385" i="3"/>
  <c r="G385" i="3"/>
  <c r="H385" i="3"/>
  <c r="D409" i="3"/>
  <c r="H409" i="3"/>
  <c r="E409" i="3"/>
  <c r="I409" i="3"/>
  <c r="F409" i="3"/>
  <c r="G409" i="3"/>
  <c r="B409" i="3"/>
  <c r="C409" i="3"/>
  <c r="D425" i="3"/>
  <c r="H425" i="3"/>
  <c r="E425" i="3"/>
  <c r="I425" i="3"/>
  <c r="F425" i="3"/>
  <c r="G425" i="3"/>
  <c r="B425" i="3"/>
  <c r="C425" i="3"/>
  <c r="D505" i="3"/>
  <c r="H505" i="3"/>
  <c r="E505" i="3"/>
  <c r="I505" i="3"/>
  <c r="F505" i="3"/>
  <c r="G505" i="3"/>
  <c r="B505" i="3"/>
  <c r="C505" i="3"/>
  <c r="D537" i="3"/>
  <c r="H537" i="3"/>
  <c r="E537" i="3"/>
  <c r="I537" i="3"/>
  <c r="F537" i="3"/>
  <c r="G537" i="3"/>
  <c r="B537" i="3"/>
  <c r="C537" i="3"/>
  <c r="D553" i="3"/>
  <c r="H553" i="3"/>
  <c r="E553" i="3"/>
  <c r="I553" i="3"/>
  <c r="F553" i="3"/>
  <c r="G553" i="3"/>
  <c r="B553" i="3"/>
  <c r="C553" i="3"/>
  <c r="D569" i="3"/>
  <c r="H569" i="3"/>
  <c r="E569" i="3"/>
  <c r="I569" i="3"/>
  <c r="F569" i="3"/>
  <c r="G569" i="3"/>
  <c r="B569" i="3"/>
  <c r="C569" i="3"/>
  <c r="D641" i="3"/>
  <c r="H641" i="3"/>
  <c r="E641" i="3"/>
  <c r="I641" i="3"/>
  <c r="F641" i="3"/>
  <c r="G641" i="3"/>
  <c r="B641" i="3"/>
  <c r="C641" i="3"/>
  <c r="D661" i="3"/>
  <c r="H661" i="3"/>
  <c r="E661" i="3"/>
  <c r="I661" i="3"/>
  <c r="F661" i="3"/>
  <c r="C661" i="3"/>
  <c r="G661" i="3"/>
  <c r="B661" i="3"/>
  <c r="D677" i="3"/>
  <c r="H677" i="3"/>
  <c r="E677" i="3"/>
  <c r="I677" i="3"/>
  <c r="F677" i="3"/>
  <c r="C677" i="3"/>
  <c r="G677" i="3"/>
  <c r="B677" i="3"/>
  <c r="D693" i="3"/>
  <c r="H693" i="3"/>
  <c r="E693" i="3"/>
  <c r="I693" i="3"/>
  <c r="F693" i="3"/>
  <c r="C693" i="3"/>
  <c r="G693" i="3"/>
  <c r="B693" i="3"/>
  <c r="D709" i="3"/>
  <c r="H709" i="3"/>
  <c r="E709" i="3"/>
  <c r="I709" i="3"/>
  <c r="F709" i="3"/>
  <c r="C709" i="3"/>
  <c r="G709" i="3"/>
  <c r="B709" i="3"/>
  <c r="E42" i="3"/>
  <c r="I42" i="3"/>
  <c r="B42" i="3"/>
  <c r="F42" i="3"/>
  <c r="C42" i="3"/>
  <c r="G42" i="3"/>
  <c r="D42" i="3"/>
  <c r="H42" i="3"/>
  <c r="D606" i="3"/>
  <c r="H606" i="3"/>
  <c r="E606" i="3"/>
  <c r="I606" i="3"/>
  <c r="F606" i="3"/>
  <c r="G606" i="3"/>
  <c r="C606" i="3"/>
  <c r="B606" i="3"/>
  <c r="D674" i="3"/>
  <c r="H674" i="3"/>
  <c r="E674" i="3"/>
  <c r="I674" i="3"/>
  <c r="F674" i="3"/>
  <c r="C674" i="3"/>
  <c r="G674" i="3"/>
  <c r="B674" i="3"/>
  <c r="D710" i="3"/>
  <c r="H710" i="3"/>
  <c r="E710" i="3"/>
  <c r="I710" i="3"/>
  <c r="F710" i="3"/>
  <c r="C710" i="3"/>
  <c r="G710" i="3"/>
  <c r="B710" i="3"/>
  <c r="E339" i="3"/>
  <c r="I339" i="3"/>
  <c r="B339" i="3"/>
  <c r="F339" i="3"/>
  <c r="C339" i="3"/>
  <c r="D339" i="3"/>
  <c r="G339" i="3"/>
  <c r="H339" i="3"/>
  <c r="D503" i="3"/>
  <c r="H503" i="3"/>
  <c r="E503" i="3"/>
  <c r="I503" i="3"/>
  <c r="F503" i="3"/>
  <c r="G503" i="3"/>
  <c r="B503" i="3"/>
  <c r="C503" i="3"/>
  <c r="D670" i="3"/>
  <c r="H670" i="3"/>
  <c r="E670" i="3"/>
  <c r="I670" i="3"/>
  <c r="F670" i="3"/>
  <c r="C670" i="3"/>
  <c r="G670" i="3"/>
  <c r="B670" i="3"/>
  <c r="B11" i="3"/>
  <c r="F11" i="3"/>
  <c r="C11" i="3"/>
  <c r="G11" i="3"/>
  <c r="D11" i="3"/>
  <c r="H11" i="3"/>
  <c r="E11" i="3"/>
  <c r="I11" i="3"/>
  <c r="C67" i="3"/>
  <c r="G67" i="3"/>
  <c r="D67" i="3"/>
  <c r="I67" i="3"/>
  <c r="E67" i="3"/>
  <c r="B67" i="3"/>
  <c r="F67" i="3"/>
  <c r="H67" i="3"/>
  <c r="C91" i="3"/>
  <c r="G91" i="3"/>
  <c r="D91" i="3"/>
  <c r="I91" i="3"/>
  <c r="E91" i="3"/>
  <c r="B91" i="3"/>
  <c r="F91" i="3"/>
  <c r="H91" i="3"/>
  <c r="E383" i="3"/>
  <c r="I383" i="3"/>
  <c r="B383" i="3"/>
  <c r="F383" i="3"/>
  <c r="C383" i="3"/>
  <c r="D383" i="3"/>
  <c r="G383" i="3"/>
  <c r="H383" i="3"/>
  <c r="D403" i="3"/>
  <c r="H403" i="3"/>
  <c r="E403" i="3"/>
  <c r="I403" i="3"/>
  <c r="F403" i="3"/>
  <c r="G403" i="3"/>
  <c r="B403" i="3"/>
  <c r="C403" i="3"/>
  <c r="D435" i="3"/>
  <c r="H435" i="3"/>
  <c r="E435" i="3"/>
  <c r="I435" i="3"/>
  <c r="F435" i="3"/>
  <c r="G435" i="3"/>
  <c r="B435" i="3"/>
  <c r="C435" i="3"/>
  <c r="D479" i="3"/>
  <c r="H479" i="3"/>
  <c r="E479" i="3"/>
  <c r="I479" i="3"/>
  <c r="F479" i="3"/>
  <c r="G479" i="3"/>
  <c r="B479" i="3"/>
  <c r="C479" i="3"/>
  <c r="D571" i="3"/>
  <c r="H571" i="3"/>
  <c r="E571" i="3"/>
  <c r="I571" i="3"/>
  <c r="F571" i="3"/>
  <c r="G571" i="3"/>
  <c r="B571" i="3"/>
  <c r="C571" i="3"/>
  <c r="D599" i="3"/>
  <c r="H599" i="3"/>
  <c r="E599" i="3"/>
  <c r="I599" i="3"/>
  <c r="F599" i="3"/>
  <c r="G599" i="3"/>
  <c r="B599" i="3"/>
  <c r="C599" i="3"/>
  <c r="D659" i="3"/>
  <c r="H659" i="3"/>
  <c r="E659" i="3"/>
  <c r="I659" i="3"/>
  <c r="F659" i="3"/>
  <c r="C659" i="3"/>
  <c r="G659" i="3"/>
  <c r="B659" i="3"/>
  <c r="D675" i="3"/>
  <c r="H675" i="3"/>
  <c r="E675" i="3"/>
  <c r="I675" i="3"/>
  <c r="F675" i="3"/>
  <c r="C675" i="3"/>
  <c r="G675" i="3"/>
  <c r="B675" i="3"/>
  <c r="D691" i="3"/>
  <c r="H691" i="3"/>
  <c r="E691" i="3"/>
  <c r="I691" i="3"/>
  <c r="F691" i="3"/>
  <c r="C691" i="3"/>
  <c r="G691" i="3"/>
  <c r="B691" i="3"/>
  <c r="D707" i="3"/>
  <c r="H707" i="3"/>
  <c r="E707" i="3"/>
  <c r="I707" i="3"/>
  <c r="F707" i="3"/>
  <c r="C707" i="3"/>
  <c r="G707" i="3"/>
  <c r="B707" i="3"/>
  <c r="D586" i="3"/>
  <c r="H586" i="3"/>
  <c r="E586" i="3"/>
  <c r="I586" i="3"/>
  <c r="F586" i="3"/>
  <c r="G586" i="3"/>
  <c r="C586" i="3"/>
  <c r="B586" i="3"/>
  <c r="E324" i="3"/>
  <c r="I324" i="3"/>
  <c r="B324" i="3"/>
  <c r="F324" i="3"/>
  <c r="C324" i="3"/>
  <c r="D324" i="3"/>
  <c r="G324" i="3"/>
  <c r="H324" i="3"/>
  <c r="E313" i="3"/>
  <c r="I313" i="3"/>
  <c r="B313" i="3"/>
  <c r="F313" i="3"/>
  <c r="C313" i="3"/>
  <c r="D313" i="3"/>
  <c r="G313" i="3"/>
  <c r="H313" i="3"/>
  <c r="E329" i="3"/>
  <c r="I329" i="3"/>
  <c r="B329" i="3"/>
  <c r="F329" i="3"/>
  <c r="C329" i="3"/>
  <c r="D329" i="3"/>
  <c r="G329" i="3"/>
  <c r="H329" i="3"/>
  <c r="D617" i="3"/>
  <c r="H617" i="3"/>
  <c r="E617" i="3"/>
  <c r="I617" i="3"/>
  <c r="F617" i="3"/>
  <c r="G617" i="3"/>
  <c r="B617" i="3"/>
  <c r="C617" i="3"/>
  <c r="B52" i="3"/>
  <c r="F52" i="3"/>
  <c r="C52" i="3"/>
  <c r="G52" i="3"/>
  <c r="D52" i="3"/>
  <c r="E52" i="3"/>
  <c r="H52" i="3"/>
  <c r="I52" i="3"/>
  <c r="D440" i="3"/>
  <c r="H440" i="3"/>
  <c r="E440" i="3"/>
  <c r="I440" i="3"/>
  <c r="F440" i="3"/>
  <c r="G440" i="3"/>
  <c r="B440" i="3"/>
  <c r="C440" i="3"/>
  <c r="D401" i="3"/>
  <c r="H401" i="3"/>
  <c r="E401" i="3"/>
  <c r="I401" i="3"/>
  <c r="F401" i="3"/>
  <c r="G401" i="3"/>
  <c r="B401" i="3"/>
  <c r="C401" i="3"/>
  <c r="D509" i="3"/>
  <c r="H509" i="3"/>
  <c r="E509" i="3"/>
  <c r="I509" i="3"/>
  <c r="F509" i="3"/>
  <c r="G509" i="3"/>
  <c r="B509" i="3"/>
  <c r="C509" i="3"/>
  <c r="B34" i="3"/>
  <c r="F34" i="3"/>
  <c r="C34" i="3"/>
  <c r="G34" i="3"/>
  <c r="D34" i="3"/>
  <c r="H34" i="3"/>
  <c r="E34" i="3"/>
  <c r="I34" i="3"/>
  <c r="E334" i="3"/>
  <c r="I334" i="3"/>
  <c r="B334" i="3"/>
  <c r="F334" i="3"/>
  <c r="C334" i="3"/>
  <c r="D334" i="3"/>
  <c r="G334" i="3"/>
  <c r="H334" i="3"/>
  <c r="B51" i="3"/>
  <c r="C51" i="3"/>
  <c r="F51" i="3"/>
  <c r="G51" i="3"/>
  <c r="D51" i="3"/>
  <c r="E51" i="3"/>
  <c r="H51" i="3"/>
  <c r="I51" i="3"/>
  <c r="C115" i="3"/>
  <c r="G115" i="3"/>
  <c r="D115" i="3"/>
  <c r="I115" i="3"/>
  <c r="E115" i="3"/>
  <c r="F115" i="3"/>
  <c r="H115" i="3"/>
  <c r="B115" i="3"/>
  <c r="D487" i="3"/>
  <c r="H487" i="3"/>
  <c r="E487" i="3"/>
  <c r="I487" i="3"/>
  <c r="F487" i="3"/>
  <c r="G487" i="3"/>
  <c r="B487" i="3"/>
  <c r="C487" i="3"/>
  <c r="B30" i="3"/>
  <c r="F30" i="3"/>
  <c r="C30" i="3"/>
  <c r="G30" i="3"/>
  <c r="D30" i="3"/>
  <c r="H30" i="3"/>
  <c r="E30" i="3"/>
  <c r="I30" i="3"/>
  <c r="C70" i="3"/>
  <c r="G70" i="3"/>
  <c r="F70" i="3"/>
  <c r="B70" i="3"/>
  <c r="H70" i="3"/>
  <c r="I70" i="3"/>
  <c r="D70" i="3"/>
  <c r="E70" i="3"/>
  <c r="C122" i="3"/>
  <c r="G122" i="3"/>
  <c r="F122" i="3"/>
  <c r="B122" i="3"/>
  <c r="H122" i="3"/>
  <c r="D122" i="3"/>
  <c r="E122" i="3"/>
  <c r="I122" i="3"/>
  <c r="E158" i="3"/>
  <c r="I158" i="3"/>
  <c r="B158" i="3"/>
  <c r="F158" i="3"/>
  <c r="G158" i="3"/>
  <c r="H158" i="3"/>
  <c r="C158" i="3"/>
  <c r="D158" i="3"/>
  <c r="D414" i="3"/>
  <c r="H414" i="3"/>
  <c r="E414" i="3"/>
  <c r="I414" i="3"/>
  <c r="F414" i="3"/>
  <c r="G414" i="3"/>
  <c r="B414" i="3"/>
  <c r="C414" i="3"/>
  <c r="D593" i="3"/>
  <c r="H593" i="3"/>
  <c r="E593" i="3"/>
  <c r="I593" i="3"/>
  <c r="F593" i="3"/>
  <c r="G593" i="3"/>
  <c r="B593" i="3"/>
  <c r="C593" i="3"/>
  <c r="D621" i="3"/>
  <c r="H621" i="3"/>
  <c r="E621" i="3"/>
  <c r="I621" i="3"/>
  <c r="F621" i="3"/>
  <c r="G621" i="3"/>
  <c r="B621" i="3"/>
  <c r="C621" i="3"/>
  <c r="D629" i="3"/>
  <c r="H629" i="3"/>
  <c r="E629" i="3"/>
  <c r="I629" i="3"/>
  <c r="F629" i="3"/>
  <c r="G629" i="3"/>
  <c r="B629" i="3"/>
  <c r="C629" i="3"/>
  <c r="D531" i="3"/>
  <c r="H531" i="3"/>
  <c r="E531" i="3"/>
  <c r="I531" i="3"/>
  <c r="F531" i="3"/>
  <c r="G531" i="3"/>
  <c r="B531" i="3"/>
  <c r="C531" i="3"/>
  <c r="D559" i="3"/>
  <c r="H559" i="3"/>
  <c r="E559" i="3"/>
  <c r="I559" i="3"/>
  <c r="F559" i="3"/>
  <c r="G559" i="3"/>
  <c r="B559" i="3"/>
  <c r="C559" i="3"/>
  <c r="D587" i="3"/>
  <c r="H587" i="3"/>
  <c r="E587" i="3"/>
  <c r="I587" i="3"/>
  <c r="F587" i="3"/>
  <c r="G587" i="3"/>
  <c r="B587" i="3"/>
  <c r="C587" i="3"/>
  <c r="D560" i="3"/>
  <c r="H560" i="3"/>
  <c r="E560" i="3"/>
  <c r="I560" i="3"/>
  <c r="F560" i="3"/>
  <c r="G560" i="3"/>
  <c r="C560" i="3"/>
  <c r="B560" i="3"/>
  <c r="D648" i="3"/>
  <c r="H648" i="3"/>
  <c r="E648" i="3"/>
  <c r="I648" i="3"/>
  <c r="F648" i="3"/>
  <c r="C648" i="3"/>
  <c r="G648" i="3"/>
  <c r="B648" i="3"/>
  <c r="C76" i="3"/>
  <c r="G76" i="3"/>
  <c r="F76" i="3"/>
  <c r="B76" i="3"/>
  <c r="H76" i="3"/>
  <c r="D76" i="3"/>
  <c r="E76" i="3"/>
  <c r="I76" i="3"/>
  <c r="B21" i="3"/>
  <c r="F21" i="3"/>
  <c r="C21" i="3"/>
  <c r="G21" i="3"/>
  <c r="D21" i="3"/>
  <c r="H21" i="3"/>
  <c r="E21" i="3"/>
  <c r="I21" i="3"/>
  <c r="C73" i="3"/>
  <c r="G73" i="3"/>
  <c r="D73" i="3"/>
  <c r="I73" i="3"/>
  <c r="E73" i="3"/>
  <c r="F73" i="3"/>
  <c r="H73" i="3"/>
  <c r="B73" i="3"/>
  <c r="C121" i="3"/>
  <c r="G121" i="3"/>
  <c r="D121" i="3"/>
  <c r="I121" i="3"/>
  <c r="E121" i="3"/>
  <c r="B121" i="3"/>
  <c r="F121" i="3"/>
  <c r="H121" i="3"/>
  <c r="E153" i="3"/>
  <c r="I153" i="3"/>
  <c r="B153" i="3"/>
  <c r="F153" i="3"/>
  <c r="G153" i="3"/>
  <c r="H153" i="3"/>
  <c r="C153" i="3"/>
  <c r="D153" i="3"/>
  <c r="E201" i="3"/>
  <c r="I201" i="3"/>
  <c r="B201" i="3"/>
  <c r="F201" i="3"/>
  <c r="C201" i="3"/>
  <c r="D201" i="3"/>
  <c r="G201" i="3"/>
  <c r="H201" i="3"/>
  <c r="E168" i="3"/>
  <c r="I168" i="3"/>
  <c r="B168" i="3"/>
  <c r="F168" i="3"/>
  <c r="G168" i="3"/>
  <c r="H168" i="3"/>
  <c r="C168" i="3"/>
  <c r="D168" i="3"/>
  <c r="E204" i="3"/>
  <c r="I204" i="3"/>
  <c r="B204" i="3"/>
  <c r="F204" i="3"/>
  <c r="C204" i="3"/>
  <c r="D204" i="3"/>
  <c r="G204" i="3"/>
  <c r="H204" i="3"/>
  <c r="E264" i="3"/>
  <c r="I264" i="3"/>
  <c r="B264" i="3"/>
  <c r="F264" i="3"/>
  <c r="C264" i="3"/>
  <c r="D264" i="3"/>
  <c r="G264" i="3"/>
  <c r="H264" i="3"/>
  <c r="B300" i="3"/>
  <c r="F300" i="3"/>
  <c r="C300" i="3"/>
  <c r="H300" i="3"/>
  <c r="D300" i="3"/>
  <c r="I300" i="3"/>
  <c r="E300" i="3"/>
  <c r="G300" i="3"/>
  <c r="E340" i="3"/>
  <c r="I340" i="3"/>
  <c r="B340" i="3"/>
  <c r="F340" i="3"/>
  <c r="C340" i="3"/>
  <c r="D340" i="3"/>
  <c r="G340" i="3"/>
  <c r="H340" i="3"/>
  <c r="E372" i="3"/>
  <c r="I372" i="3"/>
  <c r="B372" i="3"/>
  <c r="F372" i="3"/>
  <c r="C372" i="3"/>
  <c r="D372" i="3"/>
  <c r="G372" i="3"/>
  <c r="H372" i="3"/>
  <c r="D408" i="3"/>
  <c r="H408" i="3"/>
  <c r="E408" i="3"/>
  <c r="I408" i="3"/>
  <c r="F408" i="3"/>
  <c r="G408" i="3"/>
  <c r="B408" i="3"/>
  <c r="C408" i="3"/>
  <c r="D540" i="3"/>
  <c r="H540" i="3"/>
  <c r="E540" i="3"/>
  <c r="I540" i="3"/>
  <c r="F540" i="3"/>
  <c r="G540" i="3"/>
  <c r="C540" i="3"/>
  <c r="B540" i="3"/>
  <c r="D588" i="3"/>
  <c r="H588" i="3"/>
  <c r="E588" i="3"/>
  <c r="I588" i="3"/>
  <c r="F588" i="3"/>
  <c r="G588" i="3"/>
  <c r="C588" i="3"/>
  <c r="B588" i="3"/>
  <c r="D604" i="3"/>
  <c r="H604" i="3"/>
  <c r="E604" i="3"/>
  <c r="I604" i="3"/>
  <c r="F604" i="3"/>
  <c r="G604" i="3"/>
  <c r="C604" i="3"/>
  <c r="B604" i="3"/>
  <c r="D640" i="3"/>
  <c r="H640" i="3"/>
  <c r="E640" i="3"/>
  <c r="I640" i="3"/>
  <c r="F640" i="3"/>
  <c r="G640" i="3"/>
  <c r="C640" i="3"/>
  <c r="B640" i="3"/>
  <c r="E233" i="3"/>
  <c r="I233" i="3"/>
  <c r="B233" i="3"/>
  <c r="F233" i="3"/>
  <c r="C233" i="3"/>
  <c r="D233" i="3"/>
  <c r="G233" i="3"/>
  <c r="H233" i="3"/>
  <c r="B297" i="3"/>
  <c r="F297" i="3"/>
  <c r="E297" i="3"/>
  <c r="G297" i="3"/>
  <c r="H297" i="3"/>
  <c r="I297" i="3"/>
  <c r="C297" i="3"/>
  <c r="D297" i="3"/>
  <c r="D657" i="3"/>
  <c r="H657" i="3"/>
  <c r="E657" i="3"/>
  <c r="I657" i="3"/>
  <c r="F657" i="3"/>
  <c r="C657" i="3"/>
  <c r="G657" i="3"/>
  <c r="B657" i="3"/>
  <c r="E379" i="3"/>
  <c r="I379" i="3"/>
  <c r="B379" i="3"/>
  <c r="F379" i="3"/>
  <c r="C379" i="3"/>
  <c r="D379" i="3"/>
  <c r="G379" i="3"/>
  <c r="H379" i="3"/>
  <c r="D515" i="3"/>
  <c r="H515" i="3"/>
  <c r="E515" i="3"/>
  <c r="I515" i="3"/>
  <c r="F515" i="3"/>
  <c r="G515" i="3"/>
  <c r="B515" i="3"/>
  <c r="C515" i="3"/>
  <c r="D671" i="3"/>
  <c r="H671" i="3"/>
  <c r="E671" i="3"/>
  <c r="I671" i="3"/>
  <c r="F671" i="3"/>
  <c r="C671" i="3"/>
  <c r="G671" i="3"/>
  <c r="B671" i="3"/>
  <c r="D526" i="3"/>
  <c r="H526" i="3"/>
  <c r="E526" i="3"/>
  <c r="I526" i="3"/>
  <c r="F526" i="3"/>
  <c r="G526" i="3"/>
  <c r="C526" i="3"/>
  <c r="B526" i="3"/>
  <c r="B36" i="3"/>
  <c r="F36" i="3"/>
  <c r="C36" i="3"/>
  <c r="G36" i="3"/>
  <c r="D36" i="3"/>
  <c r="H36" i="3"/>
  <c r="E36" i="3"/>
  <c r="I36" i="3"/>
  <c r="C100" i="3"/>
  <c r="G100" i="3"/>
  <c r="F100" i="3"/>
  <c r="B100" i="3"/>
  <c r="H100" i="3"/>
  <c r="D100" i="3"/>
  <c r="E100" i="3"/>
  <c r="I100" i="3"/>
  <c r="D500" i="3"/>
  <c r="H500" i="3"/>
  <c r="E500" i="3"/>
  <c r="I500" i="3"/>
  <c r="F500" i="3"/>
  <c r="G500" i="3"/>
  <c r="C500" i="3"/>
  <c r="B500" i="3"/>
  <c r="D576" i="3"/>
  <c r="H576" i="3"/>
  <c r="E576" i="3"/>
  <c r="I576" i="3"/>
  <c r="F576" i="3"/>
  <c r="G576" i="3"/>
  <c r="C576" i="3"/>
  <c r="B576" i="3"/>
  <c r="D465" i="3"/>
  <c r="H465" i="3"/>
  <c r="E465" i="3"/>
  <c r="I465" i="3"/>
  <c r="F465" i="3"/>
  <c r="G465" i="3"/>
  <c r="B465" i="3"/>
  <c r="C465" i="3"/>
  <c r="D485" i="3"/>
  <c r="H485" i="3"/>
  <c r="E485" i="3"/>
  <c r="I485" i="3"/>
  <c r="F485" i="3"/>
  <c r="G485" i="3"/>
  <c r="B485" i="3"/>
  <c r="C485" i="3"/>
  <c r="D517" i="3"/>
  <c r="H517" i="3"/>
  <c r="E517" i="3"/>
  <c r="I517" i="3"/>
  <c r="F517" i="3"/>
  <c r="G517" i="3"/>
  <c r="B517" i="3"/>
  <c r="C517" i="3"/>
  <c r="D613" i="3"/>
  <c r="H613" i="3"/>
  <c r="E613" i="3"/>
  <c r="I613" i="3"/>
  <c r="F613" i="3"/>
  <c r="G613" i="3"/>
  <c r="B613" i="3"/>
  <c r="C613" i="3"/>
  <c r="D446" i="3"/>
  <c r="H446" i="3"/>
  <c r="E446" i="3"/>
  <c r="I446" i="3"/>
  <c r="F446" i="3"/>
  <c r="G446" i="3"/>
  <c r="B446" i="3"/>
  <c r="C446" i="3"/>
  <c r="D498" i="3"/>
  <c r="H498" i="3"/>
  <c r="E498" i="3"/>
  <c r="I498" i="3"/>
  <c r="F498" i="3"/>
  <c r="G498" i="3"/>
  <c r="C498" i="3"/>
  <c r="B498" i="3"/>
  <c r="D574" i="3"/>
  <c r="H574" i="3"/>
  <c r="E574" i="3"/>
  <c r="I574" i="3"/>
  <c r="F574" i="3"/>
  <c r="G574" i="3"/>
  <c r="C574" i="3"/>
  <c r="B574" i="3"/>
  <c r="B39" i="3"/>
  <c r="F39" i="3"/>
  <c r="C39" i="3"/>
  <c r="G39" i="3"/>
  <c r="D39" i="3"/>
  <c r="H39" i="3"/>
  <c r="E39" i="3"/>
  <c r="I39" i="3"/>
  <c r="C83" i="3"/>
  <c r="G83" i="3"/>
  <c r="D83" i="3"/>
  <c r="I83" i="3"/>
  <c r="E83" i="3"/>
  <c r="B83" i="3"/>
  <c r="F83" i="3"/>
  <c r="H83" i="3"/>
  <c r="E371" i="3"/>
  <c r="I371" i="3"/>
  <c r="B371" i="3"/>
  <c r="F371" i="3"/>
  <c r="C371" i="3"/>
  <c r="D371" i="3"/>
  <c r="G371" i="3"/>
  <c r="H371" i="3"/>
  <c r="D463" i="3"/>
  <c r="H463" i="3"/>
  <c r="E463" i="3"/>
  <c r="I463" i="3"/>
  <c r="F463" i="3"/>
  <c r="G463" i="3"/>
  <c r="B463" i="3"/>
  <c r="C463" i="3"/>
  <c r="D499" i="3"/>
  <c r="H499" i="3"/>
  <c r="E499" i="3"/>
  <c r="I499" i="3"/>
  <c r="F499" i="3"/>
  <c r="G499" i="3"/>
  <c r="B499" i="3"/>
  <c r="C499" i="3"/>
  <c r="C114" i="3"/>
  <c r="G114" i="3"/>
  <c r="F114" i="3"/>
  <c r="B114" i="3"/>
  <c r="H114" i="3"/>
  <c r="D114" i="3"/>
  <c r="E114" i="3"/>
  <c r="I114" i="3"/>
  <c r="E142" i="3"/>
  <c r="I142" i="3"/>
  <c r="B142" i="3"/>
  <c r="F142" i="3"/>
  <c r="G142" i="3"/>
  <c r="H142" i="3"/>
  <c r="C142" i="3"/>
  <c r="D142" i="3"/>
  <c r="E154" i="3"/>
  <c r="I154" i="3"/>
  <c r="B154" i="3"/>
  <c r="F154" i="3"/>
  <c r="G154" i="3"/>
  <c r="H154" i="3"/>
  <c r="C154" i="3"/>
  <c r="D154" i="3"/>
  <c r="E162" i="3"/>
  <c r="I162" i="3"/>
  <c r="B162" i="3"/>
  <c r="F162" i="3"/>
  <c r="G162" i="3"/>
  <c r="H162" i="3"/>
  <c r="C162" i="3"/>
  <c r="D162" i="3"/>
  <c r="E170" i="3"/>
  <c r="I170" i="3"/>
  <c r="B170" i="3"/>
  <c r="F170" i="3"/>
  <c r="G170" i="3"/>
  <c r="H170" i="3"/>
  <c r="C170" i="3"/>
  <c r="D170" i="3"/>
  <c r="B178" i="3"/>
  <c r="F178" i="3"/>
  <c r="C178" i="3"/>
  <c r="H178" i="3"/>
  <c r="D178" i="3"/>
  <c r="I178" i="3"/>
  <c r="E178" i="3"/>
  <c r="G178" i="3"/>
  <c r="E194" i="3"/>
  <c r="I194" i="3"/>
  <c r="B194" i="3"/>
  <c r="F194" i="3"/>
  <c r="C194" i="3"/>
  <c r="D194" i="3"/>
  <c r="G194" i="3"/>
  <c r="H194" i="3"/>
  <c r="E202" i="3"/>
  <c r="I202" i="3"/>
  <c r="B202" i="3"/>
  <c r="F202" i="3"/>
  <c r="C202" i="3"/>
  <c r="D202" i="3"/>
  <c r="G202" i="3"/>
  <c r="H202" i="3"/>
  <c r="E234" i="3"/>
  <c r="I234" i="3"/>
  <c r="B234" i="3"/>
  <c r="F234" i="3"/>
  <c r="C234" i="3"/>
  <c r="D234" i="3"/>
  <c r="G234" i="3"/>
  <c r="H234" i="3"/>
  <c r="E242" i="3"/>
  <c r="I242" i="3"/>
  <c r="B242" i="3"/>
  <c r="F242" i="3"/>
  <c r="C242" i="3"/>
  <c r="D242" i="3"/>
  <c r="G242" i="3"/>
  <c r="H242" i="3"/>
  <c r="E254" i="3"/>
  <c r="I254" i="3"/>
  <c r="B254" i="3"/>
  <c r="F254" i="3"/>
  <c r="C254" i="3"/>
  <c r="D254" i="3"/>
  <c r="G254" i="3"/>
  <c r="H254" i="3"/>
  <c r="B294" i="3"/>
  <c r="F294" i="3"/>
  <c r="C294" i="3"/>
  <c r="H294" i="3"/>
  <c r="D294" i="3"/>
  <c r="I294" i="3"/>
  <c r="E294" i="3"/>
  <c r="G294" i="3"/>
  <c r="E306" i="3"/>
  <c r="I306" i="3"/>
  <c r="B306" i="3"/>
  <c r="F306" i="3"/>
  <c r="C306" i="3"/>
  <c r="D306" i="3"/>
  <c r="G306" i="3"/>
  <c r="H306" i="3"/>
  <c r="E322" i="3"/>
  <c r="I322" i="3"/>
  <c r="B322" i="3"/>
  <c r="F322" i="3"/>
  <c r="C322" i="3"/>
  <c r="D322" i="3"/>
  <c r="G322" i="3"/>
  <c r="H322" i="3"/>
  <c r="E346" i="3"/>
  <c r="I346" i="3"/>
  <c r="B346" i="3"/>
  <c r="F346" i="3"/>
  <c r="C346" i="3"/>
  <c r="D346" i="3"/>
  <c r="G346" i="3"/>
  <c r="H346" i="3"/>
  <c r="E378" i="3"/>
  <c r="I378" i="3"/>
  <c r="B378" i="3"/>
  <c r="F378" i="3"/>
  <c r="C378" i="3"/>
  <c r="D378" i="3"/>
  <c r="G378" i="3"/>
  <c r="H378" i="3"/>
  <c r="D390" i="3"/>
  <c r="H390" i="3"/>
  <c r="E390" i="3"/>
  <c r="I390" i="3"/>
  <c r="F390" i="3"/>
  <c r="G390" i="3"/>
  <c r="B390" i="3"/>
  <c r="C390" i="3"/>
  <c r="D426" i="3"/>
  <c r="H426" i="3"/>
  <c r="E426" i="3"/>
  <c r="I426" i="3"/>
  <c r="F426" i="3"/>
  <c r="G426" i="3"/>
  <c r="B426" i="3"/>
  <c r="C426" i="3"/>
  <c r="D434" i="3"/>
  <c r="H434" i="3"/>
  <c r="E434" i="3"/>
  <c r="I434" i="3"/>
  <c r="F434" i="3"/>
  <c r="G434" i="3"/>
  <c r="B434" i="3"/>
  <c r="C434" i="3"/>
  <c r="D458" i="3"/>
  <c r="H458" i="3"/>
  <c r="E458" i="3"/>
  <c r="I458" i="3"/>
  <c r="F458" i="3"/>
  <c r="G458" i="3"/>
  <c r="B458" i="3"/>
  <c r="C458" i="3"/>
  <c r="D486" i="3"/>
  <c r="H486" i="3"/>
  <c r="E486" i="3"/>
  <c r="I486" i="3"/>
  <c r="F486" i="3"/>
  <c r="G486" i="3"/>
  <c r="C486" i="3"/>
  <c r="B486" i="3"/>
  <c r="D518" i="3"/>
  <c r="H518" i="3"/>
  <c r="E518" i="3"/>
  <c r="I518" i="3"/>
  <c r="F518" i="3"/>
  <c r="G518" i="3"/>
  <c r="C518" i="3"/>
  <c r="B518" i="3"/>
  <c r="D542" i="3"/>
  <c r="H542" i="3"/>
  <c r="E542" i="3"/>
  <c r="I542" i="3"/>
  <c r="F542" i="3"/>
  <c r="G542" i="3"/>
  <c r="C542" i="3"/>
  <c r="B542" i="3"/>
  <c r="D566" i="3"/>
  <c r="H566" i="3"/>
  <c r="E566" i="3"/>
  <c r="I566" i="3"/>
  <c r="F566" i="3"/>
  <c r="G566" i="3"/>
  <c r="C566" i="3"/>
  <c r="B566" i="3"/>
  <c r="D614" i="3"/>
  <c r="H614" i="3"/>
  <c r="E614" i="3"/>
  <c r="I614" i="3"/>
  <c r="F614" i="3"/>
  <c r="G614" i="3"/>
  <c r="C614" i="3"/>
  <c r="B614" i="3"/>
  <c r="D642" i="3"/>
  <c r="H642" i="3"/>
  <c r="E642" i="3"/>
  <c r="I642" i="3"/>
  <c r="F642" i="3"/>
  <c r="C642" i="3"/>
  <c r="G642" i="3"/>
  <c r="B642" i="3"/>
  <c r="D585" i="3"/>
  <c r="H585" i="3"/>
  <c r="E585" i="3"/>
  <c r="I585" i="3"/>
  <c r="F585" i="3"/>
  <c r="G585" i="3"/>
  <c r="B585" i="3"/>
  <c r="C585" i="3"/>
  <c r="D605" i="3"/>
  <c r="H605" i="3"/>
  <c r="E605" i="3"/>
  <c r="I605" i="3"/>
  <c r="F605" i="3"/>
  <c r="G605" i="3"/>
  <c r="B605" i="3"/>
  <c r="C605" i="3"/>
  <c r="D625" i="3"/>
  <c r="H625" i="3"/>
  <c r="E625" i="3"/>
  <c r="I625" i="3"/>
  <c r="F625" i="3"/>
  <c r="G625" i="3"/>
  <c r="B625" i="3"/>
  <c r="C625" i="3"/>
  <c r="D633" i="3"/>
  <c r="H633" i="3"/>
  <c r="E633" i="3"/>
  <c r="I633" i="3"/>
  <c r="F633" i="3"/>
  <c r="G633" i="3"/>
  <c r="B633" i="3"/>
  <c r="C633" i="3"/>
  <c r="E140" i="3"/>
  <c r="I140" i="3"/>
  <c r="B140" i="3"/>
  <c r="F140" i="3"/>
  <c r="G140" i="3"/>
  <c r="H140" i="3"/>
  <c r="C140" i="3"/>
  <c r="D140" i="3"/>
  <c r="D428" i="3"/>
  <c r="H428" i="3"/>
  <c r="E428" i="3"/>
  <c r="I428" i="3"/>
  <c r="F428" i="3"/>
  <c r="G428" i="3"/>
  <c r="B428" i="3"/>
  <c r="C428" i="3"/>
  <c r="D468" i="3"/>
  <c r="F468" i="3"/>
  <c r="D656" i="3"/>
  <c r="H656" i="3"/>
  <c r="E656" i="3"/>
  <c r="I656" i="3"/>
  <c r="F656" i="3"/>
  <c r="C656" i="3"/>
  <c r="G656" i="3"/>
  <c r="B656" i="3"/>
  <c r="D672" i="3"/>
  <c r="H672" i="3"/>
  <c r="E672" i="3"/>
  <c r="I672" i="3"/>
  <c r="F672" i="3"/>
  <c r="C672" i="3"/>
  <c r="G672" i="3"/>
  <c r="B672" i="3"/>
  <c r="D688" i="3"/>
  <c r="H688" i="3"/>
  <c r="E688" i="3"/>
  <c r="I688" i="3"/>
  <c r="F688" i="3"/>
  <c r="C688" i="3"/>
  <c r="G688" i="3"/>
  <c r="B688" i="3"/>
  <c r="D704" i="3"/>
  <c r="H704" i="3"/>
  <c r="E704" i="3"/>
  <c r="I704" i="3"/>
  <c r="F704" i="3"/>
  <c r="C704" i="3"/>
  <c r="G704" i="3"/>
  <c r="B704" i="3"/>
  <c r="B12" i="3"/>
  <c r="F12" i="3"/>
  <c r="C12" i="3"/>
  <c r="G12" i="3"/>
  <c r="D12" i="3"/>
  <c r="H12" i="3"/>
  <c r="E12" i="3"/>
  <c r="I12" i="3"/>
  <c r="B60" i="3"/>
  <c r="F60" i="3"/>
  <c r="C60" i="3"/>
  <c r="G60" i="3"/>
  <c r="D60" i="3"/>
  <c r="E60" i="3"/>
  <c r="H60" i="3"/>
  <c r="I60" i="3"/>
  <c r="C92" i="3"/>
  <c r="G92" i="3"/>
  <c r="F92" i="3"/>
  <c r="B92" i="3"/>
  <c r="H92" i="3"/>
  <c r="D92" i="3"/>
  <c r="E92" i="3"/>
  <c r="I92" i="3"/>
  <c r="B13" i="3"/>
  <c r="F13" i="3"/>
  <c r="C13" i="3"/>
  <c r="G13" i="3"/>
  <c r="D13" i="3"/>
  <c r="H13" i="3"/>
  <c r="E13" i="3"/>
  <c r="I13" i="3"/>
  <c r="B29" i="3"/>
  <c r="F29" i="3"/>
  <c r="C29" i="3"/>
  <c r="G29" i="3"/>
  <c r="D29" i="3"/>
  <c r="H29" i="3"/>
  <c r="E29" i="3"/>
  <c r="I29" i="3"/>
  <c r="B61" i="3"/>
  <c r="F61" i="3"/>
  <c r="C61" i="3"/>
  <c r="G61" i="3"/>
  <c r="D61" i="3"/>
  <c r="E61" i="3"/>
  <c r="H61" i="3"/>
  <c r="I61" i="3"/>
  <c r="C89" i="3"/>
  <c r="G89" i="3"/>
  <c r="D89" i="3"/>
  <c r="I89" i="3"/>
  <c r="E89" i="3"/>
  <c r="F89" i="3"/>
  <c r="H89" i="3"/>
  <c r="B89" i="3"/>
  <c r="E145" i="3"/>
  <c r="I145" i="3"/>
  <c r="B145" i="3"/>
  <c r="F145" i="3"/>
  <c r="G145" i="3"/>
  <c r="H145" i="3"/>
  <c r="C145" i="3"/>
  <c r="D145" i="3"/>
  <c r="E161" i="3"/>
  <c r="I161" i="3"/>
  <c r="B161" i="3"/>
  <c r="F161" i="3"/>
  <c r="G161" i="3"/>
  <c r="H161" i="3"/>
  <c r="C161" i="3"/>
  <c r="D161" i="3"/>
  <c r="B177" i="3"/>
  <c r="F177" i="3"/>
  <c r="E177" i="3"/>
  <c r="G177" i="3"/>
  <c r="C177" i="3"/>
  <c r="D177" i="3"/>
  <c r="H177" i="3"/>
  <c r="I177" i="3"/>
  <c r="E193" i="3"/>
  <c r="I193" i="3"/>
  <c r="B193" i="3"/>
  <c r="F193" i="3"/>
  <c r="C193" i="3"/>
  <c r="D193" i="3"/>
  <c r="G193" i="3"/>
  <c r="H193" i="3"/>
  <c r="E209" i="3"/>
  <c r="I209" i="3"/>
  <c r="B209" i="3"/>
  <c r="F209" i="3"/>
  <c r="C209" i="3"/>
  <c r="D209" i="3"/>
  <c r="G209" i="3"/>
  <c r="H209" i="3"/>
  <c r="B64" i="3"/>
  <c r="F64" i="3"/>
  <c r="C64" i="3"/>
  <c r="G64" i="3"/>
  <c r="D64" i="3"/>
  <c r="E64" i="3"/>
  <c r="H64" i="3"/>
  <c r="I64" i="3"/>
  <c r="C116" i="3"/>
  <c r="G116" i="3"/>
  <c r="F116" i="3"/>
  <c r="B116" i="3"/>
  <c r="H116" i="3"/>
  <c r="I116" i="3"/>
  <c r="D116" i="3"/>
  <c r="E116" i="3"/>
  <c r="E136" i="3"/>
  <c r="I136" i="3"/>
  <c r="B136" i="3"/>
  <c r="F136" i="3"/>
  <c r="G136" i="3"/>
  <c r="H136" i="3"/>
  <c r="C136" i="3"/>
  <c r="D136" i="3"/>
  <c r="E156" i="3"/>
  <c r="I156" i="3"/>
  <c r="B156" i="3"/>
  <c r="F156" i="3"/>
  <c r="G156" i="3"/>
  <c r="H156" i="3"/>
  <c r="C156" i="3"/>
  <c r="D156" i="3"/>
  <c r="B176" i="3"/>
  <c r="F176" i="3"/>
  <c r="C176" i="3"/>
  <c r="H176" i="3"/>
  <c r="D176" i="3"/>
  <c r="I176" i="3"/>
  <c r="E176" i="3"/>
  <c r="G176" i="3"/>
  <c r="E192" i="3"/>
  <c r="I192" i="3"/>
  <c r="B192" i="3"/>
  <c r="F192" i="3"/>
  <c r="C192" i="3"/>
  <c r="D192" i="3"/>
  <c r="G192" i="3"/>
  <c r="H192" i="3"/>
  <c r="E212" i="3"/>
  <c r="I212" i="3"/>
  <c r="B212" i="3"/>
  <c r="F212" i="3"/>
  <c r="C212" i="3"/>
  <c r="D212" i="3"/>
  <c r="G212" i="3"/>
  <c r="H212" i="3"/>
  <c r="E236" i="3"/>
  <c r="I236" i="3"/>
  <c r="B236" i="3"/>
  <c r="F236" i="3"/>
  <c r="C236" i="3"/>
  <c r="D236" i="3"/>
  <c r="G236" i="3"/>
  <c r="H236" i="3"/>
  <c r="E252" i="3"/>
  <c r="I252" i="3"/>
  <c r="B252" i="3"/>
  <c r="F252" i="3"/>
  <c r="C252" i="3"/>
  <c r="D252" i="3"/>
  <c r="G252" i="3"/>
  <c r="H252" i="3"/>
  <c r="E272" i="3"/>
  <c r="I272" i="3"/>
  <c r="B272" i="3"/>
  <c r="F272" i="3"/>
  <c r="C272" i="3"/>
  <c r="D272" i="3"/>
  <c r="G272" i="3"/>
  <c r="H272" i="3"/>
  <c r="E288" i="3"/>
  <c r="I288" i="3"/>
  <c r="B288" i="3"/>
  <c r="F288" i="3"/>
  <c r="C288" i="3"/>
  <c r="D288" i="3"/>
  <c r="G288" i="3"/>
  <c r="H288" i="3"/>
  <c r="E308" i="3"/>
  <c r="I308" i="3"/>
  <c r="B308" i="3"/>
  <c r="F308" i="3"/>
  <c r="C308" i="3"/>
  <c r="D308" i="3"/>
  <c r="G308" i="3"/>
  <c r="H308" i="3"/>
  <c r="E328" i="3"/>
  <c r="I328" i="3"/>
  <c r="B328" i="3"/>
  <c r="F328" i="3"/>
  <c r="C328" i="3"/>
  <c r="D328" i="3"/>
  <c r="G328" i="3"/>
  <c r="H328" i="3"/>
  <c r="E348" i="3"/>
  <c r="I348" i="3"/>
  <c r="B348" i="3"/>
  <c r="F348" i="3"/>
  <c r="C348" i="3"/>
  <c r="D348" i="3"/>
  <c r="G348" i="3"/>
  <c r="H348" i="3"/>
  <c r="E364" i="3"/>
  <c r="I364" i="3"/>
  <c r="B364" i="3"/>
  <c r="F364" i="3"/>
  <c r="C364" i="3"/>
  <c r="D364" i="3"/>
  <c r="G364" i="3"/>
  <c r="H364" i="3"/>
  <c r="E380" i="3"/>
  <c r="I380" i="3"/>
  <c r="B380" i="3"/>
  <c r="F380" i="3"/>
  <c r="C380" i="3"/>
  <c r="D380" i="3"/>
  <c r="G380" i="3"/>
  <c r="H380" i="3"/>
  <c r="D400" i="3"/>
  <c r="H400" i="3"/>
  <c r="E400" i="3"/>
  <c r="I400" i="3"/>
  <c r="F400" i="3"/>
  <c r="G400" i="3"/>
  <c r="B400" i="3"/>
  <c r="C400" i="3"/>
  <c r="D416" i="3"/>
  <c r="H416" i="3"/>
  <c r="E416" i="3"/>
  <c r="I416" i="3"/>
  <c r="F416" i="3"/>
  <c r="G416" i="3"/>
  <c r="B416" i="3"/>
  <c r="C416" i="3"/>
  <c r="D472" i="3"/>
  <c r="H472" i="3"/>
  <c r="E472" i="3"/>
  <c r="I472" i="3"/>
  <c r="F472" i="3"/>
  <c r="G472" i="3"/>
  <c r="C472" i="3"/>
  <c r="B472" i="3"/>
  <c r="D504" i="3"/>
  <c r="H504" i="3"/>
  <c r="E504" i="3"/>
  <c r="I504" i="3"/>
  <c r="F504" i="3"/>
  <c r="G504" i="3"/>
  <c r="C504" i="3"/>
  <c r="B504" i="3"/>
  <c r="D532" i="3"/>
  <c r="H532" i="3"/>
  <c r="E532" i="3"/>
  <c r="I532" i="3"/>
  <c r="F532" i="3"/>
  <c r="G532" i="3"/>
  <c r="C532" i="3"/>
  <c r="B532" i="3"/>
  <c r="D548" i="3"/>
  <c r="H548" i="3"/>
  <c r="E548" i="3"/>
  <c r="I548" i="3"/>
  <c r="F548" i="3"/>
  <c r="G548" i="3"/>
  <c r="C548" i="3"/>
  <c r="B548" i="3"/>
  <c r="D568" i="3"/>
  <c r="H568" i="3"/>
  <c r="E568" i="3"/>
  <c r="I568" i="3"/>
  <c r="F568" i="3"/>
  <c r="G568" i="3"/>
  <c r="C568" i="3"/>
  <c r="B568" i="3"/>
  <c r="D596" i="3"/>
  <c r="H596" i="3"/>
  <c r="E596" i="3"/>
  <c r="I596" i="3"/>
  <c r="F596" i="3"/>
  <c r="G596" i="3"/>
  <c r="C596" i="3"/>
  <c r="B596" i="3"/>
  <c r="D612" i="3"/>
  <c r="H612" i="3"/>
  <c r="E612" i="3"/>
  <c r="I612" i="3"/>
  <c r="F612" i="3"/>
  <c r="G612" i="3"/>
  <c r="C612" i="3"/>
  <c r="B612" i="3"/>
  <c r="D632" i="3"/>
  <c r="H632" i="3"/>
  <c r="E632" i="3"/>
  <c r="I632" i="3"/>
  <c r="F632" i="3"/>
  <c r="G632" i="3"/>
  <c r="C632" i="3"/>
  <c r="B632" i="3"/>
  <c r="D454" i="3"/>
  <c r="H454" i="3"/>
  <c r="E454" i="3"/>
  <c r="I454" i="3"/>
  <c r="F454" i="3"/>
  <c r="G454" i="3"/>
  <c r="B454" i="3"/>
  <c r="C454" i="3"/>
  <c r="D666" i="3"/>
  <c r="H666" i="3"/>
  <c r="E666" i="3"/>
  <c r="I666" i="3"/>
  <c r="F666" i="3"/>
  <c r="C666" i="3"/>
  <c r="G666" i="3"/>
  <c r="B666" i="3"/>
  <c r="D698" i="3"/>
  <c r="H698" i="3"/>
  <c r="E698" i="3"/>
  <c r="I698" i="3"/>
  <c r="F698" i="3"/>
  <c r="C698" i="3"/>
  <c r="G698" i="3"/>
  <c r="B698" i="3"/>
  <c r="D471" i="3"/>
  <c r="H471" i="3"/>
  <c r="E471" i="3"/>
  <c r="I471" i="3"/>
  <c r="F471" i="3"/>
  <c r="G471" i="3"/>
  <c r="B471" i="3"/>
  <c r="C471" i="3"/>
  <c r="E225" i="3"/>
  <c r="I225" i="3"/>
  <c r="B225" i="3"/>
  <c r="F225" i="3"/>
  <c r="C225" i="3"/>
  <c r="D225" i="3"/>
  <c r="G225" i="3"/>
  <c r="H225" i="3"/>
  <c r="E241" i="3"/>
  <c r="I241" i="3"/>
  <c r="B241" i="3"/>
  <c r="F241" i="3"/>
  <c r="C241" i="3"/>
  <c r="D241" i="3"/>
  <c r="G241" i="3"/>
  <c r="H241" i="3"/>
  <c r="E257" i="3"/>
  <c r="I257" i="3"/>
  <c r="B257" i="3"/>
  <c r="F257" i="3"/>
  <c r="C257" i="3"/>
  <c r="D257" i="3"/>
  <c r="G257" i="3"/>
  <c r="H257" i="3"/>
  <c r="E273" i="3"/>
  <c r="I273" i="3"/>
  <c r="B273" i="3"/>
  <c r="F273" i="3"/>
  <c r="C273" i="3"/>
  <c r="D273" i="3"/>
  <c r="G273" i="3"/>
  <c r="H273" i="3"/>
  <c r="E289" i="3"/>
  <c r="I289" i="3"/>
  <c r="B289" i="3"/>
  <c r="F289" i="3"/>
  <c r="C289" i="3"/>
  <c r="D289" i="3"/>
  <c r="G289" i="3"/>
  <c r="H289" i="3"/>
  <c r="E337" i="3"/>
  <c r="I337" i="3"/>
  <c r="B337" i="3"/>
  <c r="F337" i="3"/>
  <c r="C337" i="3"/>
  <c r="D337" i="3"/>
  <c r="G337" i="3"/>
  <c r="H337" i="3"/>
  <c r="E353" i="3"/>
  <c r="I353" i="3"/>
  <c r="B353" i="3"/>
  <c r="F353" i="3"/>
  <c r="C353" i="3"/>
  <c r="D353" i="3"/>
  <c r="G353" i="3"/>
  <c r="H353" i="3"/>
  <c r="E373" i="3"/>
  <c r="I373" i="3"/>
  <c r="B373" i="3"/>
  <c r="F373" i="3"/>
  <c r="C373" i="3"/>
  <c r="D373" i="3"/>
  <c r="G373" i="3"/>
  <c r="H373" i="3"/>
  <c r="D389" i="3"/>
  <c r="H389" i="3"/>
  <c r="E389" i="3"/>
  <c r="I389" i="3"/>
  <c r="F389" i="3"/>
  <c r="G389" i="3"/>
  <c r="B389" i="3"/>
  <c r="C389" i="3"/>
  <c r="D413" i="3"/>
  <c r="H413" i="3"/>
  <c r="E413" i="3"/>
  <c r="I413" i="3"/>
  <c r="F413" i="3"/>
  <c r="G413" i="3"/>
  <c r="B413" i="3"/>
  <c r="C413" i="3"/>
  <c r="D433" i="3"/>
  <c r="H433" i="3"/>
  <c r="E433" i="3"/>
  <c r="I433" i="3"/>
  <c r="F433" i="3"/>
  <c r="G433" i="3"/>
  <c r="B433" i="3"/>
  <c r="C433" i="3"/>
  <c r="D525" i="3"/>
  <c r="H525" i="3"/>
  <c r="E525" i="3"/>
  <c r="I525" i="3"/>
  <c r="F525" i="3"/>
  <c r="G525" i="3"/>
  <c r="B525" i="3"/>
  <c r="C525" i="3"/>
  <c r="D557" i="3"/>
  <c r="H557" i="3"/>
  <c r="E557" i="3"/>
  <c r="I557" i="3"/>
  <c r="F557" i="3"/>
  <c r="G557" i="3"/>
  <c r="B557" i="3"/>
  <c r="C557" i="3"/>
  <c r="D581" i="3"/>
  <c r="H581" i="3"/>
  <c r="E581" i="3"/>
  <c r="I581" i="3"/>
  <c r="F581" i="3"/>
  <c r="G581" i="3"/>
  <c r="B581" i="3"/>
  <c r="C581" i="3"/>
  <c r="D649" i="3"/>
  <c r="H649" i="3"/>
  <c r="E649" i="3"/>
  <c r="I649" i="3"/>
  <c r="F649" i="3"/>
  <c r="C649" i="3"/>
  <c r="G649" i="3"/>
  <c r="B649" i="3"/>
  <c r="D665" i="3"/>
  <c r="H665" i="3"/>
  <c r="E665" i="3"/>
  <c r="I665" i="3"/>
  <c r="F665" i="3"/>
  <c r="C665" i="3"/>
  <c r="G665" i="3"/>
  <c r="B665" i="3"/>
  <c r="D681" i="3"/>
  <c r="H681" i="3"/>
  <c r="E681" i="3"/>
  <c r="I681" i="3"/>
  <c r="F681" i="3"/>
  <c r="C681" i="3"/>
  <c r="G681" i="3"/>
  <c r="B681" i="3"/>
  <c r="D697" i="3"/>
  <c r="H697" i="3"/>
  <c r="E697" i="3"/>
  <c r="I697" i="3"/>
  <c r="F697" i="3"/>
  <c r="C697" i="3"/>
  <c r="G697" i="3"/>
  <c r="B697" i="3"/>
  <c r="D713" i="3"/>
  <c r="H713" i="3"/>
  <c r="E713" i="3"/>
  <c r="I713" i="3"/>
  <c r="F713" i="3"/>
  <c r="C713" i="3"/>
  <c r="G713" i="3"/>
  <c r="B713" i="3"/>
  <c r="E342" i="3"/>
  <c r="I342" i="3"/>
  <c r="B342" i="3"/>
  <c r="F342" i="3"/>
  <c r="C342" i="3"/>
  <c r="D342" i="3"/>
  <c r="G342" i="3"/>
  <c r="H342" i="3"/>
  <c r="D490" i="3"/>
  <c r="H490" i="3"/>
  <c r="E490" i="3"/>
  <c r="I490" i="3"/>
  <c r="F490" i="3"/>
  <c r="G490" i="3"/>
  <c r="C490" i="3"/>
  <c r="B490" i="3"/>
  <c r="D646" i="3"/>
  <c r="H646" i="3"/>
  <c r="E646" i="3"/>
  <c r="I646" i="3"/>
  <c r="F646" i="3"/>
  <c r="C646" i="3"/>
  <c r="G646" i="3"/>
  <c r="B646" i="3"/>
  <c r="D686" i="3"/>
  <c r="H686" i="3"/>
  <c r="E686" i="3"/>
  <c r="I686" i="3"/>
  <c r="F686" i="3"/>
  <c r="C686" i="3"/>
  <c r="G686" i="3"/>
  <c r="B686" i="3"/>
  <c r="D714" i="3"/>
  <c r="H714" i="3"/>
  <c r="E714" i="3"/>
  <c r="I714" i="3"/>
  <c r="F714" i="3"/>
  <c r="C714" i="3"/>
  <c r="G714" i="3"/>
  <c r="B714" i="3"/>
  <c r="E343" i="3"/>
  <c r="I343" i="3"/>
  <c r="B343" i="3"/>
  <c r="F343" i="3"/>
  <c r="C343" i="3"/>
  <c r="D343" i="3"/>
  <c r="G343" i="3"/>
  <c r="H343" i="3"/>
  <c r="D511" i="3"/>
  <c r="H511" i="3"/>
  <c r="E511" i="3"/>
  <c r="I511" i="3"/>
  <c r="F511" i="3"/>
  <c r="G511" i="3"/>
  <c r="B511" i="3"/>
  <c r="C511" i="3"/>
  <c r="D423" i="3"/>
  <c r="H423" i="3"/>
  <c r="E423" i="3"/>
  <c r="I423" i="3"/>
  <c r="F423" i="3"/>
  <c r="G423" i="3"/>
  <c r="B423" i="3"/>
  <c r="C423" i="3"/>
  <c r="B15" i="3"/>
  <c r="F15" i="3"/>
  <c r="C15" i="3"/>
  <c r="G15" i="3"/>
  <c r="D15" i="3"/>
  <c r="H15" i="3"/>
  <c r="E15" i="3"/>
  <c r="I15" i="3"/>
  <c r="E43" i="3"/>
  <c r="I43" i="3"/>
  <c r="B43" i="3"/>
  <c r="F43" i="3"/>
  <c r="C43" i="3"/>
  <c r="G43" i="3"/>
  <c r="D43" i="3"/>
  <c r="H43" i="3"/>
  <c r="C71" i="3"/>
  <c r="G71" i="3"/>
  <c r="D71" i="3"/>
  <c r="I71" i="3"/>
  <c r="E71" i="3"/>
  <c r="B71" i="3"/>
  <c r="F71" i="3"/>
  <c r="H71" i="3"/>
  <c r="C111" i="3"/>
  <c r="G111" i="3"/>
  <c r="D111" i="3"/>
  <c r="I111" i="3"/>
  <c r="E111" i="3"/>
  <c r="F111" i="3"/>
  <c r="H111" i="3"/>
  <c r="B111" i="3"/>
  <c r="D387" i="3"/>
  <c r="H387" i="3"/>
  <c r="E387" i="3"/>
  <c r="I387" i="3"/>
  <c r="F387" i="3"/>
  <c r="G387" i="3"/>
  <c r="B387" i="3"/>
  <c r="C387" i="3"/>
  <c r="D407" i="3"/>
  <c r="H407" i="3"/>
  <c r="E407" i="3"/>
  <c r="I407" i="3"/>
  <c r="F407" i="3"/>
  <c r="G407" i="3"/>
  <c r="B407" i="3"/>
  <c r="C407" i="3"/>
  <c r="D443" i="3"/>
  <c r="H443" i="3"/>
  <c r="E443" i="3"/>
  <c r="I443" i="3"/>
  <c r="F443" i="3"/>
  <c r="G443" i="3"/>
  <c r="B443" i="3"/>
  <c r="C443" i="3"/>
  <c r="D491" i="3"/>
  <c r="H491" i="3"/>
  <c r="E491" i="3"/>
  <c r="I491" i="3"/>
  <c r="F491" i="3"/>
  <c r="G491" i="3"/>
  <c r="B491" i="3"/>
  <c r="C491" i="3"/>
  <c r="D583" i="3"/>
  <c r="H583" i="3"/>
  <c r="E583" i="3"/>
  <c r="I583" i="3"/>
  <c r="F583" i="3"/>
  <c r="G583" i="3"/>
  <c r="B583" i="3"/>
  <c r="C583" i="3"/>
  <c r="D639" i="3"/>
  <c r="H639" i="3"/>
  <c r="E639" i="3"/>
  <c r="I639" i="3"/>
  <c r="F639" i="3"/>
  <c r="G639" i="3"/>
  <c r="B639" i="3"/>
  <c r="C639" i="3"/>
  <c r="D663" i="3"/>
  <c r="H663" i="3"/>
  <c r="E663" i="3"/>
  <c r="I663" i="3"/>
  <c r="F663" i="3"/>
  <c r="C663" i="3"/>
  <c r="G663" i="3"/>
  <c r="B663" i="3"/>
  <c r="D679" i="3"/>
  <c r="H679" i="3"/>
  <c r="E679" i="3"/>
  <c r="I679" i="3"/>
  <c r="F679" i="3"/>
  <c r="C679" i="3"/>
  <c r="G679" i="3"/>
  <c r="B679" i="3"/>
  <c r="D695" i="3"/>
  <c r="H695" i="3"/>
  <c r="E695" i="3"/>
  <c r="I695" i="3"/>
  <c r="F695" i="3"/>
  <c r="C695" i="3"/>
  <c r="G695" i="3"/>
  <c r="B695" i="3"/>
  <c r="D711" i="3"/>
  <c r="H711" i="3"/>
  <c r="E711" i="3"/>
  <c r="I711" i="3"/>
  <c r="F711" i="3"/>
  <c r="C711" i="3"/>
  <c r="G711" i="3"/>
  <c r="B711" i="3"/>
  <c r="E164" i="3"/>
  <c r="I164" i="3"/>
  <c r="B164" i="3"/>
  <c r="F164" i="3"/>
  <c r="G164" i="3"/>
  <c r="H164" i="3"/>
  <c r="C164" i="3"/>
  <c r="D164" i="3"/>
  <c r="D582" i="3"/>
  <c r="H582" i="3"/>
  <c r="E582" i="3"/>
  <c r="I582" i="3"/>
  <c r="F582" i="3"/>
  <c r="G582" i="3"/>
  <c r="C582" i="3"/>
  <c r="B582" i="3"/>
  <c r="E317" i="3"/>
  <c r="I317" i="3"/>
  <c r="B317" i="3"/>
  <c r="F317" i="3"/>
  <c r="C317" i="3"/>
  <c r="D317" i="3"/>
  <c r="G317" i="3"/>
  <c r="H317" i="3"/>
  <c r="E333" i="3"/>
  <c r="I333" i="3"/>
  <c r="B333" i="3"/>
  <c r="F333" i="3"/>
  <c r="C333" i="3"/>
  <c r="D333" i="3"/>
  <c r="G333" i="3"/>
  <c r="H333" i="3"/>
  <c r="D637" i="3"/>
  <c r="H637" i="3"/>
  <c r="E637" i="3"/>
  <c r="I637" i="3"/>
  <c r="F637" i="3"/>
  <c r="G637" i="3"/>
  <c r="B637" i="3"/>
  <c r="C637" i="3"/>
  <c r="C68" i="3"/>
  <c r="G68" i="3"/>
  <c r="F68" i="3"/>
  <c r="B68" i="3"/>
  <c r="H68" i="3"/>
  <c r="D68" i="3"/>
  <c r="E68" i="3"/>
  <c r="I68" i="3"/>
  <c r="E132" i="3"/>
  <c r="I132" i="3"/>
  <c r="B132" i="3"/>
  <c r="F132" i="3"/>
  <c r="G132" i="3"/>
  <c r="H132" i="3"/>
  <c r="C132" i="3"/>
  <c r="D132" i="3"/>
  <c r="E138" i="3"/>
  <c r="I138" i="3"/>
  <c r="B138" i="3"/>
  <c r="F138" i="3"/>
  <c r="G138" i="3"/>
  <c r="H138" i="3"/>
  <c r="C138" i="3"/>
  <c r="D138" i="3"/>
  <c r="E290" i="3"/>
  <c r="I290" i="3"/>
  <c r="B290" i="3"/>
  <c r="F290" i="3"/>
  <c r="C290" i="3"/>
  <c r="D290" i="3"/>
  <c r="G290" i="3"/>
  <c r="H290" i="3"/>
  <c r="B298" i="3"/>
  <c r="F298" i="3"/>
  <c r="C298" i="3"/>
  <c r="H298" i="3"/>
  <c r="D298" i="3"/>
  <c r="I298" i="3"/>
  <c r="E298" i="3"/>
  <c r="G298" i="3"/>
  <c r="E374" i="3"/>
  <c r="I374" i="3"/>
  <c r="B374" i="3"/>
  <c r="F374" i="3"/>
  <c r="C374" i="3"/>
  <c r="D374" i="3"/>
  <c r="G374" i="3"/>
  <c r="H374" i="3"/>
  <c r="D664" i="3"/>
  <c r="H664" i="3"/>
  <c r="E664" i="3"/>
  <c r="I664" i="3"/>
  <c r="F664" i="3"/>
  <c r="C664" i="3"/>
  <c r="G664" i="3"/>
  <c r="B664" i="3"/>
  <c r="E40" i="3"/>
  <c r="I40" i="3"/>
  <c r="B40" i="3"/>
  <c r="F40" i="3"/>
  <c r="C40" i="3"/>
  <c r="G40" i="3"/>
  <c r="D40" i="3"/>
  <c r="H40" i="3"/>
  <c r="D5" i="3"/>
  <c r="H5" i="3"/>
  <c r="E5" i="3"/>
  <c r="I5" i="3"/>
  <c r="B5" i="3"/>
  <c r="G5" i="3"/>
  <c r="C5" i="3"/>
  <c r="F5" i="3"/>
  <c r="C97" i="3"/>
  <c r="G97" i="3"/>
  <c r="D97" i="3"/>
  <c r="I97" i="3"/>
  <c r="E97" i="3"/>
  <c r="F97" i="3"/>
  <c r="H97" i="3"/>
  <c r="B97" i="3"/>
  <c r="E137" i="3"/>
  <c r="I137" i="3"/>
  <c r="B137" i="3"/>
  <c r="F137" i="3"/>
  <c r="G137" i="3"/>
  <c r="H137" i="3"/>
  <c r="C137" i="3"/>
  <c r="D137" i="3"/>
  <c r="E169" i="3"/>
  <c r="I169" i="3"/>
  <c r="B169" i="3"/>
  <c r="F169" i="3"/>
  <c r="G169" i="3"/>
  <c r="H169" i="3"/>
  <c r="C169" i="3"/>
  <c r="D169" i="3"/>
  <c r="E185" i="3"/>
  <c r="I185" i="3"/>
  <c r="B185" i="3"/>
  <c r="F185" i="3"/>
  <c r="C185" i="3"/>
  <c r="D185" i="3"/>
  <c r="G185" i="3"/>
  <c r="H185" i="3"/>
  <c r="C96" i="3"/>
  <c r="G96" i="3"/>
  <c r="F96" i="3"/>
  <c r="B96" i="3"/>
  <c r="H96" i="3"/>
  <c r="D96" i="3"/>
  <c r="E96" i="3"/>
  <c r="I96" i="3"/>
  <c r="E148" i="3"/>
  <c r="I148" i="3"/>
  <c r="B148" i="3"/>
  <c r="F148" i="3"/>
  <c r="G148" i="3"/>
  <c r="H148" i="3"/>
  <c r="C148" i="3"/>
  <c r="D148" i="3"/>
  <c r="E184" i="3"/>
  <c r="I184" i="3"/>
  <c r="B184" i="3"/>
  <c r="F184" i="3"/>
  <c r="C184" i="3"/>
  <c r="D184" i="3"/>
  <c r="G184" i="3"/>
  <c r="H184" i="3"/>
  <c r="E224" i="3"/>
  <c r="I224" i="3"/>
  <c r="B224" i="3"/>
  <c r="F224" i="3"/>
  <c r="C224" i="3"/>
  <c r="D224" i="3"/>
  <c r="G224" i="3"/>
  <c r="H224" i="3"/>
  <c r="E244" i="3"/>
  <c r="I244" i="3"/>
  <c r="B244" i="3"/>
  <c r="F244" i="3"/>
  <c r="C244" i="3"/>
  <c r="D244" i="3"/>
  <c r="G244" i="3"/>
  <c r="H244" i="3"/>
  <c r="E280" i="3"/>
  <c r="I280" i="3"/>
  <c r="B280" i="3"/>
  <c r="F280" i="3"/>
  <c r="C280" i="3"/>
  <c r="D280" i="3"/>
  <c r="G280" i="3"/>
  <c r="H280" i="3"/>
  <c r="E316" i="3"/>
  <c r="I316" i="3"/>
  <c r="B316" i="3"/>
  <c r="F316" i="3"/>
  <c r="C316" i="3"/>
  <c r="D316" i="3"/>
  <c r="G316" i="3"/>
  <c r="H316" i="3"/>
  <c r="E356" i="3"/>
  <c r="I356" i="3"/>
  <c r="B356" i="3"/>
  <c r="F356" i="3"/>
  <c r="C356" i="3"/>
  <c r="D356" i="3"/>
  <c r="G356" i="3"/>
  <c r="H356" i="3"/>
  <c r="D388" i="3"/>
  <c r="H388" i="3"/>
  <c r="E388" i="3"/>
  <c r="I388" i="3"/>
  <c r="F388" i="3"/>
  <c r="G388" i="3"/>
  <c r="B388" i="3"/>
  <c r="C388" i="3"/>
  <c r="D436" i="3"/>
  <c r="H436" i="3"/>
  <c r="E436" i="3"/>
  <c r="I436" i="3"/>
  <c r="F436" i="3"/>
  <c r="G436" i="3"/>
  <c r="B436" i="3"/>
  <c r="C436" i="3"/>
  <c r="D520" i="3"/>
  <c r="H520" i="3"/>
  <c r="E520" i="3"/>
  <c r="I520" i="3"/>
  <c r="F520" i="3"/>
  <c r="G520" i="3"/>
  <c r="C520" i="3"/>
  <c r="B520" i="3"/>
  <c r="D556" i="3"/>
  <c r="H556" i="3"/>
  <c r="E556" i="3"/>
  <c r="I556" i="3"/>
  <c r="F556" i="3"/>
  <c r="G556" i="3"/>
  <c r="C556" i="3"/>
  <c r="B556" i="3"/>
  <c r="D620" i="3"/>
  <c r="H620" i="3"/>
  <c r="E620" i="3"/>
  <c r="I620" i="3"/>
  <c r="F620" i="3"/>
  <c r="G620" i="3"/>
  <c r="C620" i="3"/>
  <c r="B620" i="3"/>
  <c r="E249" i="3"/>
  <c r="I249" i="3"/>
  <c r="B249" i="3"/>
  <c r="F249" i="3"/>
  <c r="C249" i="3"/>
  <c r="D249" i="3"/>
  <c r="G249" i="3"/>
  <c r="H249" i="3"/>
  <c r="E345" i="3"/>
  <c r="I345" i="3"/>
  <c r="B345" i="3"/>
  <c r="F345" i="3"/>
  <c r="C345" i="3"/>
  <c r="D345" i="3"/>
  <c r="G345" i="3"/>
  <c r="H345" i="3"/>
  <c r="D549" i="3"/>
  <c r="H549" i="3"/>
  <c r="E549" i="3"/>
  <c r="I549" i="3"/>
  <c r="F549" i="3"/>
  <c r="G549" i="3"/>
  <c r="B549" i="3"/>
  <c r="C549" i="3"/>
  <c r="D673" i="3"/>
  <c r="H673" i="3"/>
  <c r="E673" i="3"/>
  <c r="I673" i="3"/>
  <c r="F673" i="3"/>
  <c r="C673" i="3"/>
  <c r="G673" i="3"/>
  <c r="B673" i="3"/>
  <c r="B26" i="3"/>
  <c r="F26" i="3"/>
  <c r="C26" i="3"/>
  <c r="G26" i="3"/>
  <c r="D26" i="3"/>
  <c r="H26" i="3"/>
  <c r="E26" i="3"/>
  <c r="I26" i="3"/>
  <c r="D702" i="3"/>
  <c r="H702" i="3"/>
  <c r="E702" i="3"/>
  <c r="I702" i="3"/>
  <c r="F702" i="3"/>
  <c r="C702" i="3"/>
  <c r="G702" i="3"/>
  <c r="B702" i="3"/>
  <c r="C98" i="3"/>
  <c r="G98" i="3"/>
  <c r="F98" i="3"/>
  <c r="B98" i="3"/>
  <c r="H98" i="3"/>
  <c r="I98" i="3"/>
  <c r="D98" i="3"/>
  <c r="E98" i="3"/>
  <c r="B59" i="3"/>
  <c r="F59" i="3"/>
  <c r="C59" i="3"/>
  <c r="G59" i="3"/>
  <c r="D59" i="3"/>
  <c r="E59" i="3"/>
  <c r="H59" i="3"/>
  <c r="I59" i="3"/>
  <c r="D415" i="3"/>
  <c r="H415" i="3"/>
  <c r="E415" i="3"/>
  <c r="I415" i="3"/>
  <c r="F415" i="3"/>
  <c r="G415" i="3"/>
  <c r="B415" i="3"/>
  <c r="C415" i="3"/>
  <c r="D595" i="3"/>
  <c r="H595" i="3"/>
  <c r="E595" i="3"/>
  <c r="I595" i="3"/>
  <c r="F595" i="3"/>
  <c r="G595" i="3"/>
  <c r="B595" i="3"/>
  <c r="C595" i="3"/>
  <c r="D703" i="3"/>
  <c r="H703" i="3"/>
  <c r="E703" i="3"/>
  <c r="I703" i="3"/>
  <c r="F703" i="3"/>
  <c r="C703" i="3"/>
  <c r="G703" i="3"/>
  <c r="B703" i="3"/>
  <c r="E309" i="3"/>
  <c r="I309" i="3"/>
  <c r="B309" i="3"/>
  <c r="F309" i="3"/>
  <c r="C309" i="3"/>
  <c r="D309" i="3"/>
  <c r="G309" i="3"/>
  <c r="H309" i="3"/>
  <c r="B44" i="3"/>
  <c r="F44" i="3"/>
  <c r="C44" i="3"/>
  <c r="G44" i="3"/>
  <c r="H44" i="3"/>
  <c r="I44" i="3"/>
  <c r="D44" i="3"/>
  <c r="E44" i="3"/>
  <c r="D432" i="3"/>
  <c r="H432" i="3"/>
  <c r="E432" i="3"/>
  <c r="I432" i="3"/>
  <c r="F432" i="3"/>
  <c r="G432" i="3"/>
  <c r="B432" i="3"/>
  <c r="C432" i="3"/>
  <c r="D452" i="3"/>
  <c r="H452" i="3"/>
  <c r="E452" i="3"/>
  <c r="I452" i="3"/>
  <c r="F452" i="3"/>
  <c r="G452" i="3"/>
  <c r="B452" i="3"/>
  <c r="C452" i="3"/>
  <c r="D512" i="3"/>
  <c r="H512" i="3"/>
  <c r="E512" i="3"/>
  <c r="I512" i="3"/>
  <c r="F512" i="3"/>
  <c r="G512" i="3"/>
  <c r="C512" i="3"/>
  <c r="B512" i="3"/>
  <c r="D580" i="3"/>
  <c r="H580" i="3"/>
  <c r="E580" i="3"/>
  <c r="I580" i="3"/>
  <c r="F580" i="3"/>
  <c r="G580" i="3"/>
  <c r="C580" i="3"/>
  <c r="B580" i="3"/>
  <c r="C85" i="3"/>
  <c r="G85" i="3"/>
  <c r="D85" i="3"/>
  <c r="I85" i="3"/>
  <c r="E85" i="3"/>
  <c r="F85" i="3"/>
  <c r="H85" i="3"/>
  <c r="B85" i="3"/>
  <c r="D469" i="3"/>
  <c r="H469" i="3"/>
  <c r="E469" i="3"/>
  <c r="I469" i="3"/>
  <c r="F469" i="3"/>
  <c r="G469" i="3"/>
  <c r="B469" i="3"/>
  <c r="C469" i="3"/>
  <c r="D489" i="3"/>
  <c r="H489" i="3"/>
  <c r="E489" i="3"/>
  <c r="I489" i="3"/>
  <c r="F489" i="3"/>
  <c r="G489" i="3"/>
  <c r="B489" i="3"/>
  <c r="C489" i="3"/>
  <c r="D573" i="3"/>
  <c r="H573" i="3"/>
  <c r="E573" i="3"/>
  <c r="I573" i="3"/>
  <c r="F573" i="3"/>
  <c r="G573" i="3"/>
  <c r="B573" i="3"/>
  <c r="C573" i="3"/>
  <c r="D410" i="3"/>
  <c r="H410" i="3"/>
  <c r="E410" i="3"/>
  <c r="I410" i="3"/>
  <c r="F410" i="3"/>
  <c r="G410" i="3"/>
  <c r="B410" i="3"/>
  <c r="C410" i="3"/>
  <c r="D466" i="3"/>
  <c r="H466" i="3"/>
  <c r="E466" i="3"/>
  <c r="I466" i="3"/>
  <c r="F466" i="3"/>
  <c r="G466" i="3"/>
  <c r="B466" i="3"/>
  <c r="C466" i="3"/>
  <c r="D578" i="3"/>
  <c r="H578" i="3"/>
  <c r="E578" i="3"/>
  <c r="I578" i="3"/>
  <c r="F578" i="3"/>
  <c r="G578" i="3"/>
  <c r="C578" i="3"/>
  <c r="B578" i="3"/>
  <c r="B47" i="3"/>
  <c r="F47" i="3"/>
  <c r="C47" i="3"/>
  <c r="G47" i="3"/>
  <c r="H47" i="3"/>
  <c r="I47" i="3"/>
  <c r="D47" i="3"/>
  <c r="E47" i="3"/>
  <c r="D395" i="3"/>
  <c r="H395" i="3"/>
  <c r="E395" i="3"/>
  <c r="I395" i="3"/>
  <c r="F395" i="3"/>
  <c r="G395" i="3"/>
  <c r="B395" i="3"/>
  <c r="C395" i="3"/>
  <c r="D483" i="3"/>
  <c r="H483" i="3"/>
  <c r="E483" i="3"/>
  <c r="I483" i="3"/>
  <c r="F483" i="3"/>
  <c r="G483" i="3"/>
  <c r="B483" i="3"/>
  <c r="C483" i="3"/>
  <c r="D575" i="3"/>
  <c r="H575" i="3"/>
  <c r="E575" i="3"/>
  <c r="I575" i="3"/>
  <c r="F575" i="3"/>
  <c r="G575" i="3"/>
  <c r="B575" i="3"/>
  <c r="C575" i="3"/>
  <c r="D651" i="3"/>
  <c r="H651" i="3"/>
  <c r="E651" i="3"/>
  <c r="I651" i="3"/>
  <c r="F651" i="3"/>
  <c r="C651" i="3"/>
  <c r="G651" i="3"/>
  <c r="B651" i="3"/>
  <c r="B22" i="3"/>
  <c r="F22" i="3"/>
  <c r="C22" i="3"/>
  <c r="G22" i="3"/>
  <c r="D22" i="3"/>
  <c r="H22" i="3"/>
  <c r="E22" i="3"/>
  <c r="I22" i="3"/>
  <c r="C82" i="3"/>
  <c r="G82" i="3"/>
  <c r="F82" i="3"/>
  <c r="B82" i="3"/>
  <c r="H82" i="3"/>
  <c r="I82" i="3"/>
  <c r="D82" i="3"/>
  <c r="E82" i="3"/>
  <c r="C94" i="3"/>
  <c r="G94" i="3"/>
  <c r="F94" i="3"/>
  <c r="B94" i="3"/>
  <c r="H94" i="3"/>
  <c r="I94" i="3"/>
  <c r="D94" i="3"/>
  <c r="E94" i="3"/>
  <c r="E134" i="3"/>
  <c r="I134" i="3"/>
  <c r="B134" i="3"/>
  <c r="F134" i="3"/>
  <c r="G134" i="3"/>
  <c r="H134" i="3"/>
  <c r="C134" i="3"/>
  <c r="D134" i="3"/>
  <c r="E146" i="3"/>
  <c r="I146" i="3"/>
  <c r="B146" i="3"/>
  <c r="F146" i="3"/>
  <c r="G146" i="3"/>
  <c r="H146" i="3"/>
  <c r="C146" i="3"/>
  <c r="D146" i="3"/>
  <c r="E222" i="3"/>
  <c r="I222" i="3"/>
  <c r="B222" i="3"/>
  <c r="F222" i="3"/>
  <c r="C222" i="3"/>
  <c r="D222" i="3"/>
  <c r="G222" i="3"/>
  <c r="H222" i="3"/>
  <c r="E246" i="3"/>
  <c r="I246" i="3"/>
  <c r="B246" i="3"/>
  <c r="F246" i="3"/>
  <c r="C246" i="3"/>
  <c r="D246" i="3"/>
  <c r="G246" i="3"/>
  <c r="H246" i="3"/>
  <c r="E274" i="3"/>
  <c r="I274" i="3"/>
  <c r="B274" i="3"/>
  <c r="F274" i="3"/>
  <c r="C274" i="3"/>
  <c r="D274" i="3"/>
  <c r="G274" i="3"/>
  <c r="H274" i="3"/>
  <c r="E282" i="3"/>
  <c r="I282" i="3"/>
  <c r="B282" i="3"/>
  <c r="F282" i="3"/>
  <c r="C282" i="3"/>
  <c r="D282" i="3"/>
  <c r="G282" i="3"/>
  <c r="H282" i="3"/>
  <c r="E314" i="3"/>
  <c r="I314" i="3"/>
  <c r="B314" i="3"/>
  <c r="F314" i="3"/>
  <c r="C314" i="3"/>
  <c r="D314" i="3"/>
  <c r="G314" i="3"/>
  <c r="H314" i="3"/>
  <c r="E366" i="3"/>
  <c r="I366" i="3"/>
  <c r="B366" i="3"/>
  <c r="F366" i="3"/>
  <c r="C366" i="3"/>
  <c r="D366" i="3"/>
  <c r="G366" i="3"/>
  <c r="H366" i="3"/>
  <c r="E382" i="3"/>
  <c r="I382" i="3"/>
  <c r="B382" i="3"/>
  <c r="F382" i="3"/>
  <c r="C382" i="3"/>
  <c r="D382" i="3"/>
  <c r="G382" i="3"/>
  <c r="H382" i="3"/>
  <c r="D406" i="3"/>
  <c r="H406" i="3"/>
  <c r="E406" i="3"/>
  <c r="I406" i="3"/>
  <c r="F406" i="3"/>
  <c r="G406" i="3"/>
  <c r="B406" i="3"/>
  <c r="C406" i="3"/>
  <c r="D470" i="3"/>
  <c r="H470" i="3"/>
  <c r="E470" i="3"/>
  <c r="I470" i="3"/>
  <c r="F470" i="3"/>
  <c r="G470" i="3"/>
  <c r="B470" i="3"/>
  <c r="C470" i="3"/>
  <c r="D478" i="3"/>
  <c r="H478" i="3"/>
  <c r="E478" i="3"/>
  <c r="I478" i="3"/>
  <c r="F478" i="3"/>
  <c r="G478" i="3"/>
  <c r="C478" i="3"/>
  <c r="B478" i="3"/>
  <c r="D510" i="3"/>
  <c r="H510" i="3"/>
  <c r="E510" i="3"/>
  <c r="I510" i="3"/>
  <c r="F510" i="3"/>
  <c r="G510" i="3"/>
  <c r="C510" i="3"/>
  <c r="B510" i="3"/>
  <c r="D530" i="3"/>
  <c r="H530" i="3"/>
  <c r="E530" i="3"/>
  <c r="I530" i="3"/>
  <c r="F530" i="3"/>
  <c r="G530" i="3"/>
  <c r="C530" i="3"/>
  <c r="B530" i="3"/>
  <c r="D550" i="3"/>
  <c r="H550" i="3"/>
  <c r="E550" i="3"/>
  <c r="I550" i="3"/>
  <c r="F550" i="3"/>
  <c r="G550" i="3"/>
  <c r="C550" i="3"/>
  <c r="B550" i="3"/>
  <c r="D570" i="3"/>
  <c r="H570" i="3"/>
  <c r="E570" i="3"/>
  <c r="I570" i="3"/>
  <c r="F570" i="3"/>
  <c r="G570" i="3"/>
  <c r="C570" i="3"/>
  <c r="B570" i="3"/>
  <c r="D622" i="3"/>
  <c r="H622" i="3"/>
  <c r="E622" i="3"/>
  <c r="I622" i="3"/>
  <c r="F622" i="3"/>
  <c r="G622" i="3"/>
  <c r="C622" i="3"/>
  <c r="B622" i="3"/>
  <c r="D630" i="3"/>
  <c r="H630" i="3"/>
  <c r="E630" i="3"/>
  <c r="I630" i="3"/>
  <c r="F630" i="3"/>
  <c r="G630" i="3"/>
  <c r="C630" i="3"/>
  <c r="B630" i="3"/>
  <c r="D527" i="3"/>
  <c r="H527" i="3"/>
  <c r="E527" i="3"/>
  <c r="I527" i="3"/>
  <c r="F527" i="3"/>
  <c r="G527" i="3"/>
  <c r="B527" i="3"/>
  <c r="C527" i="3"/>
  <c r="D543" i="3"/>
  <c r="H543" i="3"/>
  <c r="E543" i="3"/>
  <c r="I543" i="3"/>
  <c r="F543" i="3"/>
  <c r="G543" i="3"/>
  <c r="B543" i="3"/>
  <c r="C543" i="3"/>
  <c r="D555" i="3"/>
  <c r="H555" i="3"/>
  <c r="E555" i="3"/>
  <c r="I555" i="3"/>
  <c r="F555" i="3"/>
  <c r="G555" i="3"/>
  <c r="B555" i="3"/>
  <c r="C555" i="3"/>
  <c r="D579" i="3"/>
  <c r="H579" i="3"/>
  <c r="E579" i="3"/>
  <c r="I579" i="3"/>
  <c r="F579" i="3"/>
  <c r="G579" i="3"/>
  <c r="B579" i="3"/>
  <c r="C579" i="3"/>
  <c r="E220" i="3"/>
  <c r="I220" i="3"/>
  <c r="B220" i="3"/>
  <c r="F220" i="3"/>
  <c r="C220" i="3"/>
  <c r="D220" i="3"/>
  <c r="G220" i="3"/>
  <c r="H220" i="3"/>
  <c r="D528" i="3"/>
  <c r="H528" i="3"/>
  <c r="E528" i="3"/>
  <c r="I528" i="3"/>
  <c r="F528" i="3"/>
  <c r="G528" i="3"/>
  <c r="C528" i="3"/>
  <c r="B528" i="3"/>
  <c r="D660" i="3"/>
  <c r="H660" i="3"/>
  <c r="E660" i="3"/>
  <c r="I660" i="3"/>
  <c r="F660" i="3"/>
  <c r="C660" i="3"/>
  <c r="G660" i="3"/>
  <c r="B660" i="3"/>
  <c r="D676" i="3"/>
  <c r="H676" i="3"/>
  <c r="E676" i="3"/>
  <c r="I676" i="3"/>
  <c r="F676" i="3"/>
  <c r="C676" i="3"/>
  <c r="G676" i="3"/>
  <c r="B676" i="3"/>
  <c r="D692" i="3"/>
  <c r="H692" i="3"/>
  <c r="E692" i="3"/>
  <c r="I692" i="3"/>
  <c r="F692" i="3"/>
  <c r="C692" i="3"/>
  <c r="G692" i="3"/>
  <c r="B692" i="3"/>
  <c r="D708" i="3"/>
  <c r="H708" i="3"/>
  <c r="E708" i="3"/>
  <c r="I708" i="3"/>
  <c r="F708" i="3"/>
  <c r="C708" i="3"/>
  <c r="G708" i="3"/>
  <c r="B708" i="3"/>
  <c r="B28" i="3"/>
  <c r="F28" i="3"/>
  <c r="C28" i="3"/>
  <c r="G28" i="3"/>
  <c r="D28" i="3"/>
  <c r="H28" i="3"/>
  <c r="E28" i="3"/>
  <c r="I28" i="3"/>
  <c r="C104" i="3"/>
  <c r="G104" i="3"/>
  <c r="B104" i="3"/>
  <c r="H104" i="3"/>
  <c r="D104" i="3"/>
  <c r="E104" i="3"/>
  <c r="F104" i="3"/>
  <c r="I104" i="3"/>
  <c r="B17" i="3"/>
  <c r="F17" i="3"/>
  <c r="C17" i="3"/>
  <c r="G17" i="3"/>
  <c r="D17" i="3"/>
  <c r="H17" i="3"/>
  <c r="E17" i="3"/>
  <c r="I17" i="3"/>
  <c r="E41" i="3"/>
  <c r="I41" i="3"/>
  <c r="B41" i="3"/>
  <c r="F41" i="3"/>
  <c r="C41" i="3"/>
  <c r="G41" i="3"/>
  <c r="D41" i="3"/>
  <c r="H41" i="3"/>
  <c r="C69" i="3"/>
  <c r="G69" i="3"/>
  <c r="D69" i="3"/>
  <c r="I69" i="3"/>
  <c r="E69" i="3"/>
  <c r="F69" i="3"/>
  <c r="H69" i="3"/>
  <c r="B69" i="3"/>
  <c r="C93" i="3"/>
  <c r="G93" i="3"/>
  <c r="D93" i="3"/>
  <c r="I93" i="3"/>
  <c r="E93" i="3"/>
  <c r="F93" i="3"/>
  <c r="H93" i="3"/>
  <c r="B93" i="3"/>
  <c r="C117" i="3"/>
  <c r="G117" i="3"/>
  <c r="D117" i="3"/>
  <c r="I117" i="3"/>
  <c r="E117" i="3"/>
  <c r="B117" i="3"/>
  <c r="F117" i="3"/>
  <c r="H117" i="3"/>
  <c r="E133" i="3"/>
  <c r="I133" i="3"/>
  <c r="B133" i="3"/>
  <c r="F133" i="3"/>
  <c r="G133" i="3"/>
  <c r="H133" i="3"/>
  <c r="C133" i="3"/>
  <c r="D133" i="3"/>
  <c r="E149" i="3"/>
  <c r="I149" i="3"/>
  <c r="B149" i="3"/>
  <c r="F149" i="3"/>
  <c r="G149" i="3"/>
  <c r="H149" i="3"/>
  <c r="C149" i="3"/>
  <c r="D149" i="3"/>
  <c r="E165" i="3"/>
  <c r="I165" i="3"/>
  <c r="B165" i="3"/>
  <c r="F165" i="3"/>
  <c r="G165" i="3"/>
  <c r="H165" i="3"/>
  <c r="C165" i="3"/>
  <c r="D165" i="3"/>
  <c r="B181" i="3"/>
  <c r="E181" i="3"/>
  <c r="I181" i="3"/>
  <c r="F181" i="3"/>
  <c r="C181" i="3"/>
  <c r="D181" i="3"/>
  <c r="G181" i="3"/>
  <c r="H181" i="3"/>
  <c r="E197" i="3"/>
  <c r="I197" i="3"/>
  <c r="B197" i="3"/>
  <c r="F197" i="3"/>
  <c r="C197" i="3"/>
  <c r="D197" i="3"/>
  <c r="G197" i="3"/>
  <c r="H197" i="3"/>
  <c r="B16" i="3"/>
  <c r="F16" i="3"/>
  <c r="C16" i="3"/>
  <c r="G16" i="3"/>
  <c r="D16" i="3"/>
  <c r="H16" i="3"/>
  <c r="E16" i="3"/>
  <c r="I16" i="3"/>
  <c r="C84" i="3"/>
  <c r="G84" i="3"/>
  <c r="F84" i="3"/>
  <c r="B84" i="3"/>
  <c r="H84" i="3"/>
  <c r="D84" i="3"/>
  <c r="E84" i="3"/>
  <c r="I84" i="3"/>
  <c r="C120" i="3"/>
  <c r="G120" i="3"/>
  <c r="F120" i="3"/>
  <c r="B120" i="3"/>
  <c r="H120" i="3"/>
  <c r="I120" i="3"/>
  <c r="D120" i="3"/>
  <c r="E120" i="3"/>
  <c r="E144" i="3"/>
  <c r="I144" i="3"/>
  <c r="B144" i="3"/>
  <c r="F144" i="3"/>
  <c r="G144" i="3"/>
  <c r="H144" i="3"/>
  <c r="C144" i="3"/>
  <c r="D144" i="3"/>
  <c r="E160" i="3"/>
  <c r="I160" i="3"/>
  <c r="B160" i="3"/>
  <c r="F160" i="3"/>
  <c r="G160" i="3"/>
  <c r="H160" i="3"/>
  <c r="C160" i="3"/>
  <c r="D160" i="3"/>
  <c r="B180" i="3"/>
  <c r="F180" i="3"/>
  <c r="C180" i="3"/>
  <c r="H180" i="3"/>
  <c r="D180" i="3"/>
  <c r="I180" i="3"/>
  <c r="E180" i="3"/>
  <c r="G180" i="3"/>
  <c r="E200" i="3"/>
  <c r="I200" i="3"/>
  <c r="B200" i="3"/>
  <c r="F200" i="3"/>
  <c r="C200" i="3"/>
  <c r="D200" i="3"/>
  <c r="G200" i="3"/>
  <c r="H200" i="3"/>
  <c r="E216" i="3"/>
  <c r="I216" i="3"/>
  <c r="B216" i="3"/>
  <c r="F216" i="3"/>
  <c r="C216" i="3"/>
  <c r="D216" i="3"/>
  <c r="G216" i="3"/>
  <c r="H216" i="3"/>
  <c r="E240" i="3"/>
  <c r="I240" i="3"/>
  <c r="B240" i="3"/>
  <c r="F240" i="3"/>
  <c r="C240" i="3"/>
  <c r="D240" i="3"/>
  <c r="G240" i="3"/>
  <c r="H240" i="3"/>
  <c r="E256" i="3"/>
  <c r="I256" i="3"/>
  <c r="B256" i="3"/>
  <c r="F256" i="3"/>
  <c r="C256" i="3"/>
  <c r="D256" i="3"/>
  <c r="G256" i="3"/>
  <c r="H256" i="3"/>
  <c r="E276" i="3"/>
  <c r="I276" i="3"/>
  <c r="B276" i="3"/>
  <c r="F276" i="3"/>
  <c r="C276" i="3"/>
  <c r="D276" i="3"/>
  <c r="G276" i="3"/>
  <c r="H276" i="3"/>
  <c r="B296" i="3"/>
  <c r="F296" i="3"/>
  <c r="C296" i="3"/>
  <c r="H296" i="3"/>
  <c r="D296" i="3"/>
  <c r="I296" i="3"/>
  <c r="E296" i="3"/>
  <c r="G296" i="3"/>
  <c r="E312" i="3"/>
  <c r="I312" i="3"/>
  <c r="B312" i="3"/>
  <c r="F312" i="3"/>
  <c r="C312" i="3"/>
  <c r="D312" i="3"/>
  <c r="G312" i="3"/>
  <c r="H312" i="3"/>
  <c r="E332" i="3"/>
  <c r="I332" i="3"/>
  <c r="B332" i="3"/>
  <c r="F332" i="3"/>
  <c r="C332" i="3"/>
  <c r="D332" i="3"/>
  <c r="G332" i="3"/>
  <c r="H332" i="3"/>
  <c r="E352" i="3"/>
  <c r="I352" i="3"/>
  <c r="B352" i="3"/>
  <c r="F352" i="3"/>
  <c r="C352" i="3"/>
  <c r="D352" i="3"/>
  <c r="G352" i="3"/>
  <c r="H352" i="3"/>
  <c r="E368" i="3"/>
  <c r="I368" i="3"/>
  <c r="B368" i="3"/>
  <c r="F368" i="3"/>
  <c r="C368" i="3"/>
  <c r="D368" i="3"/>
  <c r="G368" i="3"/>
  <c r="H368" i="3"/>
  <c r="E384" i="3"/>
  <c r="I384" i="3"/>
  <c r="B384" i="3"/>
  <c r="F384" i="3"/>
  <c r="C384" i="3"/>
  <c r="D384" i="3"/>
  <c r="G384" i="3"/>
  <c r="H384" i="3"/>
  <c r="D404" i="3"/>
  <c r="H404" i="3"/>
  <c r="E404" i="3"/>
  <c r="I404" i="3"/>
  <c r="F404" i="3"/>
  <c r="G404" i="3"/>
  <c r="B404" i="3"/>
  <c r="C404" i="3"/>
  <c r="D420" i="3"/>
  <c r="H420" i="3"/>
  <c r="E420" i="3"/>
  <c r="I420" i="3"/>
  <c r="F420" i="3"/>
  <c r="G420" i="3"/>
  <c r="B420" i="3"/>
  <c r="C420" i="3"/>
  <c r="D476" i="3"/>
  <c r="H476" i="3"/>
  <c r="E476" i="3"/>
  <c r="I476" i="3"/>
  <c r="F476" i="3"/>
  <c r="G476" i="3"/>
  <c r="C476" i="3"/>
  <c r="B476" i="3"/>
  <c r="D508" i="3"/>
  <c r="H508" i="3"/>
  <c r="E508" i="3"/>
  <c r="I508" i="3"/>
  <c r="F508" i="3"/>
  <c r="G508" i="3"/>
  <c r="C508" i="3"/>
  <c r="B508" i="3"/>
  <c r="D536" i="3"/>
  <c r="H536" i="3"/>
  <c r="E536" i="3"/>
  <c r="I536" i="3"/>
  <c r="F536" i="3"/>
  <c r="G536" i="3"/>
  <c r="C536" i="3"/>
  <c r="B536" i="3"/>
  <c r="D552" i="3"/>
  <c r="H552" i="3"/>
  <c r="E552" i="3"/>
  <c r="I552" i="3"/>
  <c r="F552" i="3"/>
  <c r="G552" i="3"/>
  <c r="C552" i="3"/>
  <c r="B552" i="3"/>
  <c r="D584" i="3"/>
  <c r="H584" i="3"/>
  <c r="E584" i="3"/>
  <c r="I584" i="3"/>
  <c r="F584" i="3"/>
  <c r="G584" i="3"/>
  <c r="C584" i="3"/>
  <c r="B584" i="3"/>
  <c r="D600" i="3"/>
  <c r="H600" i="3"/>
  <c r="E600" i="3"/>
  <c r="I600" i="3"/>
  <c r="F600" i="3"/>
  <c r="G600" i="3"/>
  <c r="C600" i="3"/>
  <c r="B600" i="3"/>
  <c r="D616" i="3"/>
  <c r="H616" i="3"/>
  <c r="E616" i="3"/>
  <c r="I616" i="3"/>
  <c r="F616" i="3"/>
  <c r="G616" i="3"/>
  <c r="C616" i="3"/>
  <c r="B616" i="3"/>
  <c r="D636" i="3"/>
  <c r="H636" i="3"/>
  <c r="E636" i="3"/>
  <c r="I636" i="3"/>
  <c r="F636" i="3"/>
  <c r="G636" i="3"/>
  <c r="C636" i="3"/>
  <c r="B636" i="3"/>
  <c r="C110" i="3"/>
  <c r="G110" i="3"/>
  <c r="F110" i="3"/>
  <c r="B110" i="3"/>
  <c r="H110" i="3"/>
  <c r="D110" i="3"/>
  <c r="E110" i="3"/>
  <c r="I110" i="3"/>
  <c r="D610" i="3"/>
  <c r="H610" i="3"/>
  <c r="E610" i="3"/>
  <c r="I610" i="3"/>
  <c r="F610" i="3"/>
  <c r="G610" i="3"/>
  <c r="C610" i="3"/>
  <c r="B610" i="3"/>
  <c r="D678" i="3"/>
  <c r="H678" i="3"/>
  <c r="E678" i="3"/>
  <c r="I678" i="3"/>
  <c r="F678" i="3"/>
  <c r="C678" i="3"/>
  <c r="G678" i="3"/>
  <c r="B678" i="3"/>
  <c r="D706" i="3"/>
  <c r="H706" i="3"/>
  <c r="E706" i="3"/>
  <c r="I706" i="3"/>
  <c r="F706" i="3"/>
  <c r="C706" i="3"/>
  <c r="G706" i="3"/>
  <c r="B706" i="3"/>
  <c r="E367" i="3"/>
  <c r="I367" i="3"/>
  <c r="B367" i="3"/>
  <c r="F367" i="3"/>
  <c r="C367" i="3"/>
  <c r="D367" i="3"/>
  <c r="G367" i="3"/>
  <c r="H367" i="3"/>
  <c r="E213" i="3"/>
  <c r="I213" i="3"/>
  <c r="B213" i="3"/>
  <c r="F213" i="3"/>
  <c r="C213" i="3"/>
  <c r="D213" i="3"/>
  <c r="G213" i="3"/>
  <c r="H213" i="3"/>
  <c r="E229" i="3"/>
  <c r="I229" i="3"/>
  <c r="B229" i="3"/>
  <c r="F229" i="3"/>
  <c r="C229" i="3"/>
  <c r="D229" i="3"/>
  <c r="G229" i="3"/>
  <c r="H229" i="3"/>
  <c r="E245" i="3"/>
  <c r="I245" i="3"/>
  <c r="B245" i="3"/>
  <c r="F245" i="3"/>
  <c r="C245" i="3"/>
  <c r="D245" i="3"/>
  <c r="G245" i="3"/>
  <c r="H245" i="3"/>
  <c r="E261" i="3"/>
  <c r="I261" i="3"/>
  <c r="B261" i="3"/>
  <c r="F261" i="3"/>
  <c r="C261" i="3"/>
  <c r="D261" i="3"/>
  <c r="G261" i="3"/>
  <c r="H261" i="3"/>
  <c r="E277" i="3"/>
  <c r="I277" i="3"/>
  <c r="B277" i="3"/>
  <c r="F277" i="3"/>
  <c r="C277" i="3"/>
  <c r="D277" i="3"/>
  <c r="G277" i="3"/>
  <c r="H277" i="3"/>
  <c r="E293" i="3"/>
  <c r="I293" i="3"/>
  <c r="B293" i="3"/>
  <c r="F293" i="3"/>
  <c r="C293" i="3"/>
  <c r="D293" i="3"/>
  <c r="G293" i="3"/>
  <c r="H293" i="3"/>
  <c r="E341" i="3"/>
  <c r="I341" i="3"/>
  <c r="B341" i="3"/>
  <c r="F341" i="3"/>
  <c r="C341" i="3"/>
  <c r="D341" i="3"/>
  <c r="G341" i="3"/>
  <c r="H341" i="3"/>
  <c r="E357" i="3"/>
  <c r="I357" i="3"/>
  <c r="B357" i="3"/>
  <c r="F357" i="3"/>
  <c r="C357" i="3"/>
  <c r="D357" i="3"/>
  <c r="G357" i="3"/>
  <c r="H357" i="3"/>
  <c r="E377" i="3"/>
  <c r="I377" i="3"/>
  <c r="B377" i="3"/>
  <c r="F377" i="3"/>
  <c r="C377" i="3"/>
  <c r="D377" i="3"/>
  <c r="G377" i="3"/>
  <c r="H377" i="3"/>
  <c r="D397" i="3"/>
  <c r="H397" i="3"/>
  <c r="E397" i="3"/>
  <c r="I397" i="3"/>
  <c r="F397" i="3"/>
  <c r="G397" i="3"/>
  <c r="B397" i="3"/>
  <c r="C397" i="3"/>
  <c r="D417" i="3"/>
  <c r="H417" i="3"/>
  <c r="E417" i="3"/>
  <c r="I417" i="3"/>
  <c r="F417" i="3"/>
  <c r="G417" i="3"/>
  <c r="B417" i="3"/>
  <c r="C417" i="3"/>
  <c r="D437" i="3"/>
  <c r="H437" i="3"/>
  <c r="E437" i="3"/>
  <c r="I437" i="3"/>
  <c r="F437" i="3"/>
  <c r="G437" i="3"/>
  <c r="B437" i="3"/>
  <c r="C437" i="3"/>
  <c r="D529" i="3"/>
  <c r="H529" i="3"/>
  <c r="E529" i="3"/>
  <c r="I529" i="3"/>
  <c r="F529" i="3"/>
  <c r="G529" i="3"/>
  <c r="B529" i="3"/>
  <c r="C529" i="3"/>
  <c r="D545" i="3"/>
  <c r="H545" i="3"/>
  <c r="E545" i="3"/>
  <c r="I545" i="3"/>
  <c r="F545" i="3"/>
  <c r="G545" i="3"/>
  <c r="B545" i="3"/>
  <c r="C545" i="3"/>
  <c r="D561" i="3"/>
  <c r="H561" i="3"/>
  <c r="E561" i="3"/>
  <c r="I561" i="3"/>
  <c r="F561" i="3"/>
  <c r="G561" i="3"/>
  <c r="B561" i="3"/>
  <c r="C561" i="3"/>
  <c r="D597" i="3"/>
  <c r="H597" i="3"/>
  <c r="E597" i="3"/>
  <c r="I597" i="3"/>
  <c r="F597" i="3"/>
  <c r="G597" i="3"/>
  <c r="B597" i="3"/>
  <c r="C597" i="3"/>
  <c r="D653" i="3"/>
  <c r="H653" i="3"/>
  <c r="E653" i="3"/>
  <c r="I653" i="3"/>
  <c r="F653" i="3"/>
  <c r="C653" i="3"/>
  <c r="G653" i="3"/>
  <c r="B653" i="3"/>
  <c r="D669" i="3"/>
  <c r="H669" i="3"/>
  <c r="E669" i="3"/>
  <c r="I669" i="3"/>
  <c r="F669" i="3"/>
  <c r="C669" i="3"/>
  <c r="G669" i="3"/>
  <c r="B669" i="3"/>
  <c r="D685" i="3"/>
  <c r="H685" i="3"/>
  <c r="E685" i="3"/>
  <c r="I685" i="3"/>
  <c r="F685" i="3"/>
  <c r="C685" i="3"/>
  <c r="G685" i="3"/>
  <c r="B685" i="3"/>
  <c r="D701" i="3"/>
  <c r="H701" i="3"/>
  <c r="E701" i="3"/>
  <c r="I701" i="3"/>
  <c r="F701" i="3"/>
  <c r="C701" i="3"/>
  <c r="G701" i="3"/>
  <c r="B701" i="3"/>
  <c r="E350" i="3"/>
  <c r="I350" i="3"/>
  <c r="B350" i="3"/>
  <c r="F350" i="3"/>
  <c r="C350" i="3"/>
  <c r="D350" i="3"/>
  <c r="G350" i="3"/>
  <c r="H350" i="3"/>
  <c r="D590" i="3"/>
  <c r="H590" i="3"/>
  <c r="E590" i="3"/>
  <c r="I590" i="3"/>
  <c r="F590" i="3"/>
  <c r="G590" i="3"/>
  <c r="C590" i="3"/>
  <c r="B590" i="3"/>
  <c r="D654" i="3"/>
  <c r="H654" i="3"/>
  <c r="E654" i="3"/>
  <c r="I654" i="3"/>
  <c r="F654" i="3"/>
  <c r="C654" i="3"/>
  <c r="G654" i="3"/>
  <c r="B654" i="3"/>
  <c r="D694" i="3"/>
  <c r="H694" i="3"/>
  <c r="E694" i="3"/>
  <c r="I694" i="3"/>
  <c r="F694" i="3"/>
  <c r="C694" i="3"/>
  <c r="G694" i="3"/>
  <c r="B694" i="3"/>
  <c r="E351" i="3"/>
  <c r="I351" i="3"/>
  <c r="B351" i="3"/>
  <c r="F351" i="3"/>
  <c r="C351" i="3"/>
  <c r="D351" i="3"/>
  <c r="G351" i="3"/>
  <c r="H351" i="3"/>
  <c r="D623" i="3"/>
  <c r="H623" i="3"/>
  <c r="E623" i="3"/>
  <c r="I623" i="3"/>
  <c r="F623" i="3"/>
  <c r="G623" i="3"/>
  <c r="B623" i="3"/>
  <c r="C623" i="3"/>
  <c r="B31" i="3"/>
  <c r="F31" i="3"/>
  <c r="C31" i="3"/>
  <c r="G31" i="3"/>
  <c r="D31" i="3"/>
  <c r="H31" i="3"/>
  <c r="E31" i="3"/>
  <c r="I31" i="3"/>
  <c r="D607" i="3"/>
  <c r="H607" i="3"/>
  <c r="E607" i="3"/>
  <c r="I607" i="3"/>
  <c r="F607" i="3"/>
  <c r="G607" i="3"/>
  <c r="B607" i="3"/>
  <c r="C607" i="3"/>
  <c r="B19" i="3"/>
  <c r="F19" i="3"/>
  <c r="C19" i="3"/>
  <c r="G19" i="3"/>
  <c r="D19" i="3"/>
  <c r="H19" i="3"/>
  <c r="E19" i="3"/>
  <c r="I19" i="3"/>
  <c r="B55" i="3"/>
  <c r="F55" i="3"/>
  <c r="C55" i="3"/>
  <c r="G55" i="3"/>
  <c r="D55" i="3"/>
  <c r="E55" i="3"/>
  <c r="H55" i="3"/>
  <c r="I55" i="3"/>
  <c r="E375" i="3"/>
  <c r="I375" i="3"/>
  <c r="B375" i="3"/>
  <c r="F375" i="3"/>
  <c r="C375" i="3"/>
  <c r="D375" i="3"/>
  <c r="G375" i="3"/>
  <c r="H375" i="3"/>
  <c r="D391" i="3"/>
  <c r="H391" i="3"/>
  <c r="E391" i="3"/>
  <c r="I391" i="3"/>
  <c r="F391" i="3"/>
  <c r="G391" i="3"/>
  <c r="B391" i="3"/>
  <c r="C391" i="3"/>
  <c r="D411" i="3"/>
  <c r="H411" i="3"/>
  <c r="E411" i="3"/>
  <c r="I411" i="3"/>
  <c r="F411" i="3"/>
  <c r="G411" i="3"/>
  <c r="B411" i="3"/>
  <c r="C411" i="3"/>
  <c r="D451" i="3"/>
  <c r="H451" i="3"/>
  <c r="E451" i="3"/>
  <c r="I451" i="3"/>
  <c r="F451" i="3"/>
  <c r="G451" i="3"/>
  <c r="B451" i="3"/>
  <c r="C451" i="3"/>
  <c r="D507" i="3"/>
  <c r="H507" i="3"/>
  <c r="E507" i="3"/>
  <c r="I507" i="3"/>
  <c r="F507" i="3"/>
  <c r="G507" i="3"/>
  <c r="B507" i="3"/>
  <c r="C507" i="3"/>
  <c r="D591" i="3"/>
  <c r="H591" i="3"/>
  <c r="E591" i="3"/>
  <c r="I591" i="3"/>
  <c r="F591" i="3"/>
  <c r="G591" i="3"/>
  <c r="B591" i="3"/>
  <c r="C591" i="3"/>
  <c r="D643" i="3"/>
  <c r="H643" i="3"/>
  <c r="E643" i="3"/>
  <c r="I643" i="3"/>
  <c r="F643" i="3"/>
  <c r="C643" i="3"/>
  <c r="G643" i="3"/>
  <c r="B643" i="3"/>
  <c r="D667" i="3"/>
  <c r="H667" i="3"/>
  <c r="E667" i="3"/>
  <c r="I667" i="3"/>
  <c r="F667" i="3"/>
  <c r="C667" i="3"/>
  <c r="G667" i="3"/>
  <c r="B667" i="3"/>
  <c r="D683" i="3"/>
  <c r="H683" i="3"/>
  <c r="E683" i="3"/>
  <c r="I683" i="3"/>
  <c r="F683" i="3"/>
  <c r="C683" i="3"/>
  <c r="G683" i="3"/>
  <c r="B683" i="3"/>
  <c r="D699" i="3"/>
  <c r="H699" i="3"/>
  <c r="E699" i="3"/>
  <c r="I699" i="3"/>
  <c r="F699" i="3"/>
  <c r="C699" i="3"/>
  <c r="G699" i="3"/>
  <c r="B699" i="3"/>
  <c r="E196" i="3"/>
  <c r="I196" i="3"/>
  <c r="B196" i="3"/>
  <c r="F196" i="3"/>
  <c r="C196" i="3"/>
  <c r="D196" i="3"/>
  <c r="G196" i="3"/>
  <c r="H196" i="3"/>
  <c r="D462" i="3"/>
  <c r="H462" i="3"/>
  <c r="E462" i="3"/>
  <c r="I462" i="3"/>
  <c r="F462" i="3"/>
  <c r="G462" i="3"/>
  <c r="B462" i="3"/>
  <c r="C462" i="3"/>
  <c r="E305" i="3"/>
  <c r="I305" i="3"/>
  <c r="B305" i="3"/>
  <c r="F305" i="3"/>
  <c r="C305" i="3"/>
  <c r="D305" i="3"/>
  <c r="G305" i="3"/>
  <c r="H305" i="3"/>
  <c r="E321" i="3"/>
  <c r="I321" i="3"/>
  <c r="B321" i="3"/>
  <c r="F321" i="3"/>
  <c r="C321" i="3"/>
  <c r="D321" i="3"/>
  <c r="G321" i="3"/>
  <c r="H321" i="3"/>
  <c r="C78" i="3"/>
  <c r="G78" i="3"/>
  <c r="F78" i="3"/>
  <c r="B78" i="3"/>
  <c r="H78" i="3"/>
  <c r="I78" i="3"/>
  <c r="D78" i="3"/>
  <c r="E78" i="3"/>
  <c r="E228" i="3"/>
  <c r="I228" i="3"/>
  <c r="B228" i="3"/>
  <c r="F228" i="3"/>
  <c r="C228" i="3"/>
  <c r="D228" i="3"/>
  <c r="G228" i="3"/>
  <c r="H228" i="3"/>
  <c r="P687" i="3"/>
  <c r="E687" i="3" s="1"/>
  <c r="P455" i="3"/>
  <c r="D455" i="3" s="1"/>
  <c r="P539" i="3"/>
  <c r="H539" i="3" s="1"/>
  <c r="P563" i="3"/>
  <c r="H563" i="3" s="1"/>
  <c r="P79" i="3"/>
  <c r="D79" i="3" s="1"/>
  <c r="P87" i="3"/>
  <c r="D87" i="3" s="1"/>
  <c r="P101" i="3"/>
  <c r="I101" i="3" s="1"/>
  <c r="P477" i="3"/>
  <c r="P567" i="3"/>
  <c r="I567" i="3" s="1"/>
  <c r="P124" i="3"/>
  <c r="E124" i="3" s="1"/>
  <c r="P541" i="3"/>
  <c r="D541" i="3" s="1"/>
  <c r="P488" i="3"/>
  <c r="H488" i="3" s="1"/>
  <c r="P365" i="3"/>
  <c r="F365" i="3" s="1"/>
  <c r="P493" i="3"/>
  <c r="P494" i="3"/>
  <c r="P72" i="3"/>
  <c r="C72" i="3" s="1"/>
  <c r="P105" i="3"/>
  <c r="E105" i="3" s="1"/>
  <c r="P429" i="3"/>
  <c r="E429" i="3" s="1"/>
  <c r="P554" i="3"/>
  <c r="D554" i="3" s="1"/>
  <c r="P4" i="3"/>
  <c r="P519" i="3"/>
  <c r="P506" i="3"/>
  <c r="P480" i="3"/>
  <c r="I480" i="3" s="1"/>
  <c r="Q562" i="3"/>
  <c r="P562" i="3" s="1"/>
  <c r="E562" i="3" s="1"/>
  <c r="Q10" i="3"/>
  <c r="P10" i="3" s="1"/>
  <c r="Q75" i="3"/>
  <c r="P75" i="3" s="1"/>
  <c r="D75" i="3" s="1"/>
  <c r="Q125" i="3"/>
  <c r="P125" i="3" s="1"/>
  <c r="F125" i="3" s="1"/>
  <c r="Q402" i="3"/>
  <c r="P402" i="3" s="1"/>
  <c r="I402" i="3" s="1"/>
  <c r="Q427" i="3"/>
  <c r="P427" i="3" s="1"/>
  <c r="Q715" i="3"/>
  <c r="P715" i="3" s="1"/>
  <c r="D715" i="3" s="1"/>
  <c r="Q551" i="3"/>
  <c r="P551" i="3" s="1"/>
  <c r="D551" i="3" s="1"/>
  <c r="Q50" i="3"/>
  <c r="P50" i="3" s="1"/>
  <c r="F50" i="3" s="1"/>
  <c r="Q534" i="3"/>
  <c r="P534" i="3" s="1"/>
  <c r="H534" i="3" s="1"/>
  <c r="Q129" i="3"/>
  <c r="P129" i="3" s="1"/>
  <c r="I129" i="3" s="1"/>
  <c r="Q14" i="3"/>
  <c r="P14" i="3" s="1"/>
  <c r="Q35" i="3"/>
  <c r="P35" i="3" s="1"/>
  <c r="F35" i="3" s="1"/>
  <c r="Q49" i="3"/>
  <c r="P49" i="3" s="1"/>
  <c r="B49" i="3" s="1"/>
  <c r="Q558" i="3"/>
  <c r="P558" i="3" s="1"/>
  <c r="E558" i="3" s="1"/>
  <c r="Q58" i="3"/>
  <c r="P58" i="3" s="1"/>
  <c r="C58" i="3" s="1"/>
  <c r="Q95" i="3"/>
  <c r="P95" i="3" s="1"/>
  <c r="I95" i="3" s="1"/>
  <c r="A219" i="3" l="1"/>
  <c r="A271" i="3"/>
  <c r="A331" i="3"/>
  <c r="I63" i="3"/>
  <c r="A151" i="3"/>
  <c r="G63" i="3"/>
  <c r="H63" i="3"/>
  <c r="E63" i="3"/>
  <c r="F63" i="3"/>
  <c r="F647" i="3"/>
  <c r="A107" i="3"/>
  <c r="A159" i="3"/>
  <c r="A226" i="3"/>
  <c r="A450" i="3"/>
  <c r="A247" i="3"/>
  <c r="A315" i="3"/>
  <c r="A355" i="3"/>
  <c r="A631" i="3"/>
  <c r="A127" i="3"/>
  <c r="A267" i="3"/>
  <c r="A191" i="3"/>
  <c r="A155" i="3"/>
  <c r="A207" i="3"/>
  <c r="A275" i="3"/>
  <c r="A235" i="3"/>
  <c r="A215" i="3"/>
  <c r="A183" i="3"/>
  <c r="C63" i="3"/>
  <c r="D63" i="3"/>
  <c r="D647" i="3"/>
  <c r="A123" i="3"/>
  <c r="A260" i="3"/>
  <c r="A459" i="3"/>
  <c r="A118" i="3"/>
  <c r="A223" i="3"/>
  <c r="A347" i="3"/>
  <c r="F523" i="3"/>
  <c r="D523" i="3"/>
  <c r="A251" i="3"/>
  <c r="A186" i="3"/>
  <c r="A203" i="3"/>
  <c r="A143" i="3"/>
  <c r="A179" i="3"/>
  <c r="A283" i="3"/>
  <c r="A171" i="3"/>
  <c r="A187" i="3"/>
  <c r="A635" i="3"/>
  <c r="A214" i="3"/>
  <c r="A419" i="3"/>
  <c r="A611" i="3"/>
  <c r="A106" i="3"/>
  <c r="A603" i="3"/>
  <c r="A255" i="3"/>
  <c r="A182" i="3"/>
  <c r="A475" i="3"/>
  <c r="A330" i="3"/>
  <c r="A175" i="3"/>
  <c r="A323" i="3"/>
  <c r="B647" i="3"/>
  <c r="I647" i="3"/>
  <c r="C523" i="3"/>
  <c r="I523" i="3"/>
  <c r="G647" i="3"/>
  <c r="E647" i="3"/>
  <c r="B523" i="3"/>
  <c r="E523" i="3"/>
  <c r="A195" i="3"/>
  <c r="C647" i="3"/>
  <c r="G523" i="3"/>
  <c r="H523" i="3"/>
  <c r="A199" i="3"/>
  <c r="A239" i="3"/>
  <c r="A163" i="3"/>
  <c r="A227" i="3"/>
  <c r="A259" i="3"/>
  <c r="F429" i="3"/>
  <c r="C75" i="3"/>
  <c r="C105" i="3"/>
  <c r="A307" i="3"/>
  <c r="A147" i="3"/>
  <c r="A210" i="3"/>
  <c r="A211" i="3"/>
  <c r="A311" i="3"/>
  <c r="A303" i="3"/>
  <c r="A299" i="3"/>
  <c r="A103" i="3"/>
  <c r="A310" i="3"/>
  <c r="A135" i="3"/>
  <c r="H429" i="3"/>
  <c r="A513" i="3"/>
  <c r="A444" i="3"/>
  <c r="B75" i="3"/>
  <c r="A569" i="3"/>
  <c r="A425" i="3"/>
  <c r="A27" i="3"/>
  <c r="A644" i="3"/>
  <c r="A564" i="3"/>
  <c r="A716" i="3"/>
  <c r="A684" i="3"/>
  <c r="A668" i="3"/>
  <c r="A652" i="3"/>
  <c r="A626" i="3"/>
  <c r="A602" i="3"/>
  <c r="A474" i="3"/>
  <c r="A119" i="3"/>
  <c r="F72" i="3"/>
  <c r="F95" i="3"/>
  <c r="A131" i="3"/>
  <c r="E75" i="3"/>
  <c r="B95" i="3"/>
  <c r="A286" i="3"/>
  <c r="A295" i="3"/>
  <c r="A287" i="3"/>
  <c r="A167" i="3"/>
  <c r="D429" i="3"/>
  <c r="I75" i="3"/>
  <c r="D95" i="3"/>
  <c r="G567" i="3"/>
  <c r="A258" i="3"/>
  <c r="G429" i="3"/>
  <c r="H75" i="3"/>
  <c r="G75" i="3"/>
  <c r="E72" i="3"/>
  <c r="G95" i="3"/>
  <c r="I105" i="3"/>
  <c r="H567" i="3"/>
  <c r="E427" i="3"/>
  <c r="B427" i="3"/>
  <c r="F427" i="3"/>
  <c r="C427" i="3"/>
  <c r="I427" i="3"/>
  <c r="D427" i="3"/>
  <c r="H427" i="3"/>
  <c r="G427" i="3"/>
  <c r="B715" i="3"/>
  <c r="I715" i="3"/>
  <c r="I72" i="3"/>
  <c r="B72" i="3"/>
  <c r="E49" i="3"/>
  <c r="G49" i="3"/>
  <c r="B554" i="3"/>
  <c r="I554" i="3"/>
  <c r="F534" i="3"/>
  <c r="D534" i="3"/>
  <c r="C541" i="3"/>
  <c r="I541" i="3"/>
  <c r="E58" i="3"/>
  <c r="F58" i="3"/>
  <c r="G129" i="3"/>
  <c r="E129" i="3"/>
  <c r="D105" i="3"/>
  <c r="G105" i="3"/>
  <c r="B567" i="3"/>
  <c r="E567" i="3"/>
  <c r="C551" i="3"/>
  <c r="I551" i="3"/>
  <c r="F539" i="3"/>
  <c r="D539" i="3"/>
  <c r="C480" i="3"/>
  <c r="E480" i="3"/>
  <c r="D124" i="3"/>
  <c r="F124" i="3"/>
  <c r="F488" i="3"/>
  <c r="D488" i="3"/>
  <c r="G558" i="3"/>
  <c r="H558" i="3"/>
  <c r="D35" i="3"/>
  <c r="B35" i="3"/>
  <c r="B402" i="3"/>
  <c r="E402" i="3"/>
  <c r="G365" i="3"/>
  <c r="B365" i="3"/>
  <c r="C455" i="3"/>
  <c r="I455" i="3"/>
  <c r="H50" i="3"/>
  <c r="B50" i="3"/>
  <c r="C125" i="3"/>
  <c r="B125" i="3"/>
  <c r="H101" i="3"/>
  <c r="D101" i="3"/>
  <c r="F563" i="3"/>
  <c r="D563" i="3"/>
  <c r="G562" i="3"/>
  <c r="H562" i="3"/>
  <c r="B79" i="3"/>
  <c r="G79" i="3"/>
  <c r="B87" i="3"/>
  <c r="G87" i="3"/>
  <c r="C687" i="3"/>
  <c r="H687" i="3"/>
  <c r="A319" i="3"/>
  <c r="A279" i="3"/>
  <c r="A139" i="3"/>
  <c r="A363" i="3"/>
  <c r="A291" i="3"/>
  <c r="D49" i="3"/>
  <c r="C49" i="3"/>
  <c r="C554" i="3"/>
  <c r="E554" i="3"/>
  <c r="B534" i="3"/>
  <c r="I534" i="3"/>
  <c r="B541" i="3"/>
  <c r="E541" i="3"/>
  <c r="D58" i="3"/>
  <c r="B58" i="3"/>
  <c r="D129" i="3"/>
  <c r="F129" i="3"/>
  <c r="B551" i="3"/>
  <c r="E551" i="3"/>
  <c r="C539" i="3"/>
  <c r="I539" i="3"/>
  <c r="G480" i="3"/>
  <c r="H480" i="3"/>
  <c r="C124" i="3"/>
  <c r="B124" i="3"/>
  <c r="B488" i="3"/>
  <c r="I488" i="3"/>
  <c r="F558" i="3"/>
  <c r="D558" i="3"/>
  <c r="I35" i="3"/>
  <c r="G35" i="3"/>
  <c r="G402" i="3"/>
  <c r="H402" i="3"/>
  <c r="D365" i="3"/>
  <c r="I365" i="3"/>
  <c r="B455" i="3"/>
  <c r="E455" i="3"/>
  <c r="E50" i="3"/>
  <c r="G50" i="3"/>
  <c r="H125" i="3"/>
  <c r="I125" i="3"/>
  <c r="F101" i="3"/>
  <c r="G101" i="3"/>
  <c r="C563" i="3"/>
  <c r="I563" i="3"/>
  <c r="F562" i="3"/>
  <c r="D562" i="3"/>
  <c r="E79" i="3"/>
  <c r="C79" i="3"/>
  <c r="E87" i="3"/>
  <c r="C87" i="3"/>
  <c r="F687" i="3"/>
  <c r="D687" i="3"/>
  <c r="G715" i="3"/>
  <c r="E715" i="3"/>
  <c r="C429" i="3"/>
  <c r="I429" i="3"/>
  <c r="C715" i="3"/>
  <c r="H715" i="3"/>
  <c r="D72" i="3"/>
  <c r="G72" i="3"/>
  <c r="E95" i="3"/>
  <c r="C95" i="3"/>
  <c r="I49" i="3"/>
  <c r="F49" i="3"/>
  <c r="G554" i="3"/>
  <c r="H554" i="3"/>
  <c r="C534" i="3"/>
  <c r="E534" i="3"/>
  <c r="G541" i="3"/>
  <c r="H541" i="3"/>
  <c r="I58" i="3"/>
  <c r="G58" i="3"/>
  <c r="C129" i="3"/>
  <c r="B129" i="3"/>
  <c r="H105" i="3"/>
  <c r="B105" i="3"/>
  <c r="F567" i="3"/>
  <c r="D567" i="3"/>
  <c r="G551" i="3"/>
  <c r="H551" i="3"/>
  <c r="B539" i="3"/>
  <c r="E539" i="3"/>
  <c r="F480" i="3"/>
  <c r="D480" i="3"/>
  <c r="H124" i="3"/>
  <c r="I124" i="3"/>
  <c r="C488" i="3"/>
  <c r="E488" i="3"/>
  <c r="B558" i="3"/>
  <c r="I558" i="3"/>
  <c r="E35" i="3"/>
  <c r="C35" i="3"/>
  <c r="F402" i="3"/>
  <c r="D402" i="3"/>
  <c r="C365" i="3"/>
  <c r="E365" i="3"/>
  <c r="G455" i="3"/>
  <c r="H455" i="3"/>
  <c r="D50" i="3"/>
  <c r="C50" i="3"/>
  <c r="G125" i="3"/>
  <c r="E125" i="3"/>
  <c r="E101" i="3"/>
  <c r="C101" i="3"/>
  <c r="B563" i="3"/>
  <c r="E563" i="3"/>
  <c r="B562" i="3"/>
  <c r="I562" i="3"/>
  <c r="H79" i="3"/>
  <c r="I79" i="3"/>
  <c r="H87" i="3"/>
  <c r="I87" i="3"/>
  <c r="B687" i="3"/>
  <c r="I687" i="3"/>
  <c r="A243" i="3"/>
  <c r="A302" i="3"/>
  <c r="D519" i="3"/>
  <c r="F519" i="3"/>
  <c r="E519" i="3"/>
  <c r="B519" i="3"/>
  <c r="H519" i="3"/>
  <c r="G519" i="3"/>
  <c r="I519" i="3"/>
  <c r="C519" i="3"/>
  <c r="B429" i="3"/>
  <c r="F715" i="3"/>
  <c r="F75" i="3"/>
  <c r="H72" i="3"/>
  <c r="H95" i="3"/>
  <c r="H49" i="3"/>
  <c r="F554" i="3"/>
  <c r="G534" i="3"/>
  <c r="F541" i="3"/>
  <c r="H58" i="3"/>
  <c r="H129" i="3"/>
  <c r="F105" i="3"/>
  <c r="C567" i="3"/>
  <c r="F551" i="3"/>
  <c r="G539" i="3"/>
  <c r="B480" i="3"/>
  <c r="G124" i="3"/>
  <c r="G488" i="3"/>
  <c r="C558" i="3"/>
  <c r="H35" i="3"/>
  <c r="C402" i="3"/>
  <c r="H365" i="3"/>
  <c r="F455" i="3"/>
  <c r="I50" i="3"/>
  <c r="D125" i="3"/>
  <c r="B101" i="3"/>
  <c r="G563" i="3"/>
  <c r="C562" i="3"/>
  <c r="F79" i="3"/>
  <c r="F87" i="3"/>
  <c r="G687" i="3"/>
  <c r="A126" i="3"/>
  <c r="A270" i="3"/>
  <c r="C468" i="3"/>
  <c r="I468" i="3"/>
  <c r="A231" i="3"/>
  <c r="B468" i="3"/>
  <c r="E468" i="3"/>
  <c r="A24" i="3"/>
  <c r="A99" i="3"/>
  <c r="A533" i="3"/>
  <c r="A439" i="3"/>
  <c r="G468" i="3"/>
  <c r="A327" i="3"/>
  <c r="A263" i="3"/>
  <c r="A391" i="3"/>
  <c r="A561" i="3"/>
  <c r="A610" i="3"/>
  <c r="A508" i="3"/>
  <c r="A404" i="3"/>
  <c r="A84" i="3"/>
  <c r="A117" i="3"/>
  <c r="A570" i="3"/>
  <c r="A512" i="3"/>
  <c r="A44" i="3"/>
  <c r="A59" i="3"/>
  <c r="A556" i="3"/>
  <c r="A97" i="3"/>
  <c r="A5" i="3"/>
  <c r="A637" i="3"/>
  <c r="A581" i="3"/>
  <c r="A413" i="3"/>
  <c r="A389" i="3"/>
  <c r="A568" i="3"/>
  <c r="A472" i="3"/>
  <c r="A89" i="3"/>
  <c r="A60" i="3"/>
  <c r="A633" i="3"/>
  <c r="A625" i="3"/>
  <c r="A605" i="3"/>
  <c r="A585" i="3"/>
  <c r="A650" i="3"/>
  <c r="A702" i="3"/>
  <c r="A711" i="3"/>
  <c r="A714" i="3"/>
  <c r="A689" i="3"/>
  <c r="A577" i="3"/>
  <c r="A6" i="3"/>
  <c r="A473" i="3"/>
  <c r="A624" i="3"/>
  <c r="A321" i="3"/>
  <c r="A196" i="3"/>
  <c r="A591" i="3"/>
  <c r="A607" i="3"/>
  <c r="A417" i="3"/>
  <c r="A261" i="3"/>
  <c r="A245" i="3"/>
  <c r="A110" i="3"/>
  <c r="A517" i="3"/>
  <c r="A36" i="3"/>
  <c r="A121" i="3"/>
  <c r="A122" i="3"/>
  <c r="A70" i="3"/>
  <c r="A586" i="3"/>
  <c r="A707" i="3"/>
  <c r="A691" i="3"/>
  <c r="A67" i="3"/>
  <c r="A674" i="3"/>
  <c r="A693" i="3"/>
  <c r="A677" i="3"/>
  <c r="A661" i="3"/>
  <c r="C113" i="3"/>
  <c r="G113" i="3"/>
  <c r="D113" i="3"/>
  <c r="I113" i="3"/>
  <c r="E113" i="3"/>
  <c r="B113" i="3"/>
  <c r="F113" i="3"/>
  <c r="H113" i="3"/>
  <c r="E336" i="3"/>
  <c r="I336" i="3"/>
  <c r="B336" i="3"/>
  <c r="F336" i="3"/>
  <c r="C336" i="3"/>
  <c r="D336" i="3"/>
  <c r="G336" i="3"/>
  <c r="H336" i="3"/>
  <c r="A411" i="3"/>
  <c r="B33" i="3"/>
  <c r="F33" i="3"/>
  <c r="C33" i="3"/>
  <c r="G33" i="3"/>
  <c r="D33" i="3"/>
  <c r="H33" i="3"/>
  <c r="E33" i="3"/>
  <c r="I33" i="3"/>
  <c r="D441" i="3"/>
  <c r="H441" i="3"/>
  <c r="E441" i="3"/>
  <c r="I441" i="3"/>
  <c r="F441" i="3"/>
  <c r="G441" i="3"/>
  <c r="B441" i="3"/>
  <c r="C441" i="3"/>
  <c r="D494" i="3"/>
  <c r="H494" i="3"/>
  <c r="E494" i="3"/>
  <c r="I494" i="3"/>
  <c r="F494" i="3"/>
  <c r="G494" i="3"/>
  <c r="C494" i="3"/>
  <c r="B494" i="3"/>
  <c r="D449" i="3"/>
  <c r="H449" i="3"/>
  <c r="E449" i="3"/>
  <c r="I449" i="3"/>
  <c r="F449" i="3"/>
  <c r="G449" i="3"/>
  <c r="B449" i="3"/>
  <c r="C449" i="3"/>
  <c r="D484" i="3"/>
  <c r="H484" i="3"/>
  <c r="E484" i="3"/>
  <c r="I484" i="3"/>
  <c r="F484" i="3"/>
  <c r="G484" i="3"/>
  <c r="C484" i="3"/>
  <c r="B484" i="3"/>
  <c r="C86" i="3"/>
  <c r="G86" i="3"/>
  <c r="F86" i="3"/>
  <c r="B86" i="3"/>
  <c r="H86" i="3"/>
  <c r="I86" i="3"/>
  <c r="D86" i="3"/>
  <c r="E86" i="3"/>
  <c r="D482" i="3"/>
  <c r="H482" i="3"/>
  <c r="E482" i="3"/>
  <c r="I482" i="3"/>
  <c r="F482" i="3"/>
  <c r="G482" i="3"/>
  <c r="C482" i="3"/>
  <c r="B482" i="3"/>
  <c r="A683" i="3"/>
  <c r="A667" i="3"/>
  <c r="A643" i="3"/>
  <c r="A507" i="3"/>
  <c r="A375" i="3"/>
  <c r="A623" i="3"/>
  <c r="A654" i="3"/>
  <c r="A590" i="3"/>
  <c r="A350" i="3"/>
  <c r="A653" i="3"/>
  <c r="A529" i="3"/>
  <c r="A377" i="3"/>
  <c r="A357" i="3"/>
  <c r="A706" i="3"/>
  <c r="A600" i="3"/>
  <c r="A584" i="3"/>
  <c r="A552" i="3"/>
  <c r="A332" i="3"/>
  <c r="A312" i="3"/>
  <c r="A256" i="3"/>
  <c r="A240" i="3"/>
  <c r="A180" i="3"/>
  <c r="A144" i="3"/>
  <c r="A165" i="3"/>
  <c r="A149" i="3"/>
  <c r="A133" i="3"/>
  <c r="A93" i="3"/>
  <c r="A104" i="3"/>
  <c r="A708" i="3"/>
  <c r="A692" i="3"/>
  <c r="A676" i="3"/>
  <c r="A660" i="3"/>
  <c r="A528" i="3"/>
  <c r="A555" i="3"/>
  <c r="A527" i="3"/>
  <c r="A550" i="3"/>
  <c r="A530" i="3"/>
  <c r="A406" i="3"/>
  <c r="A246" i="3"/>
  <c r="A146" i="3"/>
  <c r="A575" i="3"/>
  <c r="A466" i="3"/>
  <c r="A410" i="3"/>
  <c r="A573" i="3"/>
  <c r="A489" i="3"/>
  <c r="A85" i="3"/>
  <c r="A452" i="3"/>
  <c r="A309" i="3"/>
  <c r="A703" i="3"/>
  <c r="A549" i="3"/>
  <c r="A436" i="3"/>
  <c r="A388" i="3"/>
  <c r="A356" i="3"/>
  <c r="A244" i="3"/>
  <c r="A224" i="3"/>
  <c r="A96" i="3"/>
  <c r="A40" i="3"/>
  <c r="A298" i="3"/>
  <c r="A132" i="3"/>
  <c r="D464" i="3"/>
  <c r="H464" i="3"/>
  <c r="E464" i="3"/>
  <c r="I464" i="3"/>
  <c r="F464" i="3"/>
  <c r="G464" i="3"/>
  <c r="B464" i="3"/>
  <c r="C464" i="3"/>
  <c r="C66" i="3"/>
  <c r="G66" i="3"/>
  <c r="F66" i="3"/>
  <c r="B66" i="3"/>
  <c r="H66" i="3"/>
  <c r="I66" i="3"/>
  <c r="D66" i="3"/>
  <c r="E66" i="3"/>
  <c r="D619" i="3"/>
  <c r="H619" i="3"/>
  <c r="E619" i="3"/>
  <c r="I619" i="3"/>
  <c r="F619" i="3"/>
  <c r="G619" i="3"/>
  <c r="B619" i="3"/>
  <c r="C619" i="3"/>
  <c r="C81" i="3"/>
  <c r="G81" i="3"/>
  <c r="D81" i="3"/>
  <c r="I81" i="3"/>
  <c r="E81" i="3"/>
  <c r="F81" i="3"/>
  <c r="H81" i="3"/>
  <c r="B81" i="3"/>
  <c r="B46" i="3"/>
  <c r="F46" i="3"/>
  <c r="C46" i="3"/>
  <c r="G46" i="3"/>
  <c r="H46" i="3"/>
  <c r="I46" i="3"/>
  <c r="D46" i="3"/>
  <c r="E46" i="3"/>
  <c r="E369" i="3"/>
  <c r="I369" i="3"/>
  <c r="B369" i="3"/>
  <c r="F369" i="3"/>
  <c r="C369" i="3"/>
  <c r="D369" i="3"/>
  <c r="G369" i="3"/>
  <c r="H369" i="3"/>
  <c r="D501" i="3"/>
  <c r="H501" i="3"/>
  <c r="E501" i="3"/>
  <c r="I501" i="3"/>
  <c r="F501" i="3"/>
  <c r="G501" i="3"/>
  <c r="B501" i="3"/>
  <c r="C501" i="3"/>
  <c r="B53" i="3"/>
  <c r="F53" i="3"/>
  <c r="C53" i="3"/>
  <c r="G53" i="3"/>
  <c r="D53" i="3"/>
  <c r="E53" i="3"/>
  <c r="H53" i="3"/>
  <c r="I53" i="3"/>
  <c r="B14" i="3"/>
  <c r="F14" i="3"/>
  <c r="C14" i="3"/>
  <c r="G14" i="3"/>
  <c r="D14" i="3"/>
  <c r="H14" i="3"/>
  <c r="E14" i="3"/>
  <c r="I14" i="3"/>
  <c r="D493" i="3"/>
  <c r="H493" i="3"/>
  <c r="E493" i="3"/>
  <c r="I493" i="3"/>
  <c r="F493" i="3"/>
  <c r="G493" i="3"/>
  <c r="B493" i="3"/>
  <c r="C493" i="3"/>
  <c r="C109" i="3"/>
  <c r="G109" i="3"/>
  <c r="D109" i="3"/>
  <c r="I109" i="3"/>
  <c r="E109" i="3"/>
  <c r="B109" i="3"/>
  <c r="F109" i="3"/>
  <c r="H109" i="3"/>
  <c r="D453" i="3"/>
  <c r="H453" i="3"/>
  <c r="E453" i="3"/>
  <c r="I453" i="3"/>
  <c r="F453" i="3"/>
  <c r="G453" i="3"/>
  <c r="B453" i="3"/>
  <c r="C453" i="3"/>
  <c r="D394" i="3"/>
  <c r="H394" i="3"/>
  <c r="E394" i="3"/>
  <c r="I394" i="3"/>
  <c r="F394" i="3"/>
  <c r="G394" i="3"/>
  <c r="B394" i="3"/>
  <c r="C394" i="3"/>
  <c r="D448" i="3"/>
  <c r="H448" i="3"/>
  <c r="E448" i="3"/>
  <c r="I448" i="3"/>
  <c r="F448" i="3"/>
  <c r="G448" i="3"/>
  <c r="B448" i="3"/>
  <c r="C448" i="3"/>
  <c r="C108" i="3"/>
  <c r="G108" i="3"/>
  <c r="F108" i="3"/>
  <c r="B108" i="3"/>
  <c r="H108" i="3"/>
  <c r="I108" i="3"/>
  <c r="D108" i="3"/>
  <c r="E108" i="3"/>
  <c r="C74" i="3"/>
  <c r="G74" i="3"/>
  <c r="F74" i="3"/>
  <c r="B74" i="3"/>
  <c r="H74" i="3"/>
  <c r="I74" i="3"/>
  <c r="D74" i="3"/>
  <c r="E74" i="3"/>
  <c r="D418" i="3"/>
  <c r="H418" i="3"/>
  <c r="E418" i="3"/>
  <c r="I418" i="3"/>
  <c r="F418" i="3"/>
  <c r="G418" i="3"/>
  <c r="B418" i="3"/>
  <c r="C418" i="3"/>
  <c r="D497" i="3"/>
  <c r="H497" i="3"/>
  <c r="E497" i="3"/>
  <c r="I497" i="3"/>
  <c r="F497" i="3"/>
  <c r="G497" i="3"/>
  <c r="B497" i="3"/>
  <c r="C497" i="3"/>
  <c r="D506" i="3"/>
  <c r="H506" i="3"/>
  <c r="E506" i="3"/>
  <c r="I506" i="3"/>
  <c r="F506" i="3"/>
  <c r="G506" i="3"/>
  <c r="C506" i="3"/>
  <c r="B506" i="3"/>
  <c r="A216" i="3"/>
  <c r="A160" i="3"/>
  <c r="A181" i="3"/>
  <c r="A17" i="3"/>
  <c r="A220" i="3"/>
  <c r="A510" i="3"/>
  <c r="A478" i="3"/>
  <c r="A470" i="3"/>
  <c r="A314" i="3"/>
  <c r="A274" i="3"/>
  <c r="A82" i="3"/>
  <c r="A22" i="3"/>
  <c r="A483" i="3"/>
  <c r="A47" i="3"/>
  <c r="A249" i="3"/>
  <c r="A280" i="3"/>
  <c r="A184" i="3"/>
  <c r="A169" i="3"/>
  <c r="A374" i="3"/>
  <c r="A290" i="3"/>
  <c r="A138" i="3"/>
  <c r="A71" i="3"/>
  <c r="A15" i="3"/>
  <c r="A343" i="3"/>
  <c r="A433" i="3"/>
  <c r="A373" i="3"/>
  <c r="A454" i="3"/>
  <c r="A348" i="3"/>
  <c r="A328" i="3"/>
  <c r="A288" i="3"/>
  <c r="A236" i="3"/>
  <c r="A192" i="3"/>
  <c r="A209" i="3"/>
  <c r="A13" i="3"/>
  <c r="A518" i="3"/>
  <c r="A390" i="3"/>
  <c r="A306" i="3"/>
  <c r="A162" i="3"/>
  <c r="A39" i="3"/>
  <c r="A515" i="3"/>
  <c r="A297" i="3"/>
  <c r="A340" i="3"/>
  <c r="A204" i="3"/>
  <c r="A168" i="3"/>
  <c r="A76" i="3"/>
  <c r="A587" i="3"/>
  <c r="A158" i="3"/>
  <c r="A30" i="3"/>
  <c r="A334" i="3"/>
  <c r="A313" i="3"/>
  <c r="A479" i="3"/>
  <c r="A339" i="3"/>
  <c r="D645" i="3"/>
  <c r="H645" i="3"/>
  <c r="E645" i="3"/>
  <c r="I645" i="3"/>
  <c r="F645" i="3"/>
  <c r="C645" i="3"/>
  <c r="G645" i="3"/>
  <c r="B645" i="3"/>
  <c r="C90" i="3"/>
  <c r="G90" i="3"/>
  <c r="F90" i="3"/>
  <c r="B90" i="3"/>
  <c r="H90" i="3"/>
  <c r="I90" i="3"/>
  <c r="D90" i="3"/>
  <c r="E90" i="3"/>
  <c r="B45" i="3"/>
  <c r="F45" i="3"/>
  <c r="C45" i="3"/>
  <c r="G45" i="3"/>
  <c r="H45" i="3"/>
  <c r="I45" i="3"/>
  <c r="D45" i="3"/>
  <c r="E45" i="3"/>
  <c r="D477" i="3"/>
  <c r="H477" i="3"/>
  <c r="E477" i="3"/>
  <c r="I477" i="3"/>
  <c r="F477" i="3"/>
  <c r="G477" i="3"/>
  <c r="B477" i="3"/>
  <c r="C477" i="3"/>
  <c r="D393" i="3"/>
  <c r="H393" i="3"/>
  <c r="E393" i="3"/>
  <c r="I393" i="3"/>
  <c r="F393" i="3"/>
  <c r="G393" i="3"/>
  <c r="B393" i="3"/>
  <c r="C393" i="3"/>
  <c r="B65" i="3"/>
  <c r="C65" i="3"/>
  <c r="G65" i="3"/>
  <c r="D65" i="3"/>
  <c r="I65" i="3"/>
  <c r="E65" i="3"/>
  <c r="F65" i="3"/>
  <c r="H65" i="3"/>
  <c r="B10" i="3"/>
  <c r="F10" i="3"/>
  <c r="C10" i="3"/>
  <c r="G10" i="3"/>
  <c r="D10" i="3"/>
  <c r="H10" i="3"/>
  <c r="E10" i="3"/>
  <c r="I10" i="3"/>
  <c r="E4" i="3"/>
  <c r="I4" i="3"/>
  <c r="F4" i="3"/>
  <c r="B4" i="3"/>
  <c r="C4" i="3"/>
  <c r="H4" i="3"/>
  <c r="D4" i="3"/>
  <c r="G4" i="3"/>
  <c r="B62" i="3"/>
  <c r="F62" i="3"/>
  <c r="C62" i="3"/>
  <c r="G62" i="3"/>
  <c r="D62" i="3"/>
  <c r="E62" i="3"/>
  <c r="H62" i="3"/>
  <c r="I62" i="3"/>
  <c r="D445" i="3"/>
  <c r="H445" i="3"/>
  <c r="E445" i="3"/>
  <c r="I445" i="3"/>
  <c r="F445" i="3"/>
  <c r="G445" i="3"/>
  <c r="B445" i="3"/>
  <c r="C445" i="3"/>
  <c r="D438" i="3"/>
  <c r="H438" i="3"/>
  <c r="E438" i="3"/>
  <c r="I438" i="3"/>
  <c r="F438" i="3"/>
  <c r="G438" i="3"/>
  <c r="B438" i="3"/>
  <c r="C438" i="3"/>
  <c r="D502" i="3"/>
  <c r="H502" i="3"/>
  <c r="E502" i="3"/>
  <c r="I502" i="3"/>
  <c r="F502" i="3"/>
  <c r="G502" i="3"/>
  <c r="C502" i="3"/>
  <c r="B502" i="3"/>
  <c r="A228" i="3"/>
  <c r="A305" i="3"/>
  <c r="A462" i="3"/>
  <c r="A699" i="3"/>
  <c r="A55" i="3"/>
  <c r="A19" i="3"/>
  <c r="A31" i="3"/>
  <c r="A694" i="3"/>
  <c r="A701" i="3"/>
  <c r="A685" i="3"/>
  <c r="A669" i="3"/>
  <c r="A545" i="3"/>
  <c r="A397" i="3"/>
  <c r="A229" i="3"/>
  <c r="A213" i="3"/>
  <c r="A678" i="3"/>
  <c r="A636" i="3"/>
  <c r="A616" i="3"/>
  <c r="A476" i="3"/>
  <c r="A384" i="3"/>
  <c r="A368" i="3"/>
  <c r="A352" i="3"/>
  <c r="A296" i="3"/>
  <c r="A276" i="3"/>
  <c r="A200" i="3"/>
  <c r="A197" i="3"/>
  <c r="A41" i="3"/>
  <c r="A28" i="3"/>
  <c r="A579" i="3"/>
  <c r="A543" i="3"/>
  <c r="A630" i="3"/>
  <c r="A622" i="3"/>
  <c r="A382" i="3"/>
  <c r="A366" i="3"/>
  <c r="A222" i="3"/>
  <c r="A134" i="3"/>
  <c r="A578" i="3"/>
  <c r="A317" i="3"/>
  <c r="A164" i="3"/>
  <c r="A407" i="3"/>
  <c r="A387" i="3"/>
  <c r="A111" i="3"/>
  <c r="A423" i="3"/>
  <c r="A686" i="3"/>
  <c r="A697" i="3"/>
  <c r="A681" i="3"/>
  <c r="A665" i="3"/>
  <c r="A649" i="3"/>
  <c r="A257" i="3"/>
  <c r="A532" i="3"/>
  <c r="A400" i="3"/>
  <c r="A176" i="3"/>
  <c r="A156" i="3"/>
  <c r="A116" i="3"/>
  <c r="A145" i="3"/>
  <c r="A428" i="3"/>
  <c r="A566" i="3"/>
  <c r="A434" i="3"/>
  <c r="A346" i="3"/>
  <c r="A234" i="3"/>
  <c r="A202" i="3"/>
  <c r="A142" i="3"/>
  <c r="A114" i="3"/>
  <c r="A463" i="3"/>
  <c r="A83" i="3"/>
  <c r="A574" i="3"/>
  <c r="A446" i="3"/>
  <c r="A465" i="3"/>
  <c r="A576" i="3"/>
  <c r="A671" i="3"/>
  <c r="A233" i="3"/>
  <c r="A588" i="3"/>
  <c r="A540" i="3"/>
  <c r="A372" i="3"/>
  <c r="A201" i="3"/>
  <c r="A153" i="3"/>
  <c r="A21" i="3"/>
  <c r="A560" i="3"/>
  <c r="A531" i="3"/>
  <c r="A115" i="3"/>
  <c r="A34" i="3"/>
  <c r="A401" i="3"/>
  <c r="A52" i="3"/>
  <c r="A617" i="3"/>
  <c r="A571" i="3"/>
  <c r="A435" i="3"/>
  <c r="A403" i="3"/>
  <c r="A710" i="3"/>
  <c r="A385" i="3"/>
  <c r="A285" i="3"/>
  <c r="A690" i="3"/>
  <c r="A422" i="3"/>
  <c r="A376" i="3"/>
  <c r="A360" i="3"/>
  <c r="A320" i="3"/>
  <c r="A248" i="3"/>
  <c r="A152" i="3"/>
  <c r="A189" i="3"/>
  <c r="A615" i="3"/>
  <c r="A627" i="3"/>
  <c r="A386" i="3"/>
  <c r="A318" i="3"/>
  <c r="A218" i="3"/>
  <c r="A370" i="3"/>
  <c r="A655" i="3"/>
  <c r="A217" i="3"/>
  <c r="A338" i="3"/>
  <c r="A326" i="3"/>
  <c r="A262" i="3"/>
  <c r="A174" i="3"/>
  <c r="A166" i="3"/>
  <c r="A361" i="3"/>
  <c r="A78" i="3"/>
  <c r="A451" i="3"/>
  <c r="A351" i="3"/>
  <c r="A597" i="3"/>
  <c r="A437" i="3"/>
  <c r="A341" i="3"/>
  <c r="A293" i="3"/>
  <c r="A277" i="3"/>
  <c r="A367" i="3"/>
  <c r="A536" i="3"/>
  <c r="A420" i="3"/>
  <c r="A120" i="3"/>
  <c r="A16" i="3"/>
  <c r="A69" i="3"/>
  <c r="A282" i="3"/>
  <c r="A94" i="3"/>
  <c r="A651" i="3"/>
  <c r="A395" i="3"/>
  <c r="A469" i="3"/>
  <c r="A580" i="3"/>
  <c r="A432" i="3"/>
  <c r="A595" i="3"/>
  <c r="A415" i="3"/>
  <c r="A98" i="3"/>
  <c r="A26" i="3"/>
  <c r="A345" i="3"/>
  <c r="A620" i="3"/>
  <c r="A316" i="3"/>
  <c r="A148" i="3"/>
  <c r="A185" i="3"/>
  <c r="A68" i="3"/>
  <c r="A582" i="3"/>
  <c r="A679" i="3"/>
  <c r="A663" i="3"/>
  <c r="A639" i="3"/>
  <c r="A583" i="3"/>
  <c r="A43" i="3"/>
  <c r="A713" i="3"/>
  <c r="A525" i="3"/>
  <c r="A241" i="3"/>
  <c r="A225" i="3"/>
  <c r="A698" i="3"/>
  <c r="A666" i="3"/>
  <c r="A632" i="3"/>
  <c r="A612" i="3"/>
  <c r="A596" i="3"/>
  <c r="A504" i="3"/>
  <c r="A380" i="3"/>
  <c r="A364" i="3"/>
  <c r="A308" i="3"/>
  <c r="A272" i="3"/>
  <c r="A252" i="3"/>
  <c r="A212" i="3"/>
  <c r="A136" i="3"/>
  <c r="A177" i="3"/>
  <c r="A61" i="3"/>
  <c r="A29" i="3"/>
  <c r="A704" i="3"/>
  <c r="A688" i="3"/>
  <c r="A672" i="3"/>
  <c r="A656" i="3"/>
  <c r="A140" i="3"/>
  <c r="A642" i="3"/>
  <c r="A542" i="3"/>
  <c r="A426" i="3"/>
  <c r="A322" i="3"/>
  <c r="A194" i="3"/>
  <c r="A170" i="3"/>
  <c r="A499" i="3"/>
  <c r="A613" i="3"/>
  <c r="A500" i="3"/>
  <c r="A526" i="3"/>
  <c r="A379" i="3"/>
  <c r="A264" i="3"/>
  <c r="A73" i="3"/>
  <c r="A559" i="3"/>
  <c r="A629" i="3"/>
  <c r="A621" i="3"/>
  <c r="A593" i="3"/>
  <c r="A414" i="3"/>
  <c r="A440" i="3"/>
  <c r="A329" i="3"/>
  <c r="A324" i="3"/>
  <c r="A599" i="3"/>
  <c r="A11" i="3"/>
  <c r="A670" i="3"/>
  <c r="A553" i="3"/>
  <c r="A409" i="3"/>
  <c r="A269" i="3"/>
  <c r="A253" i="3"/>
  <c r="A628" i="3"/>
  <c r="A544" i="3"/>
  <c r="A456" i="3"/>
  <c r="A344" i="3"/>
  <c r="A304" i="3"/>
  <c r="A232" i="3"/>
  <c r="A112" i="3"/>
  <c r="A57" i="3"/>
  <c r="A25" i="3"/>
  <c r="A9" i="3"/>
  <c r="A700" i="3"/>
  <c r="A535" i="3"/>
  <c r="A442" i="3"/>
  <c r="A250" i="3"/>
  <c r="A130" i="3"/>
  <c r="A102" i="3"/>
  <c r="A54" i="3"/>
  <c r="A522" i="3"/>
  <c r="A38" i="3"/>
  <c r="A481" i="3"/>
  <c r="A37" i="3"/>
  <c r="A396" i="3"/>
  <c r="A521" i="3"/>
  <c r="A7" i="3"/>
  <c r="A662" i="3"/>
  <c r="A358" i="3"/>
  <c r="A609" i="3"/>
  <c r="A430" i="3"/>
  <c r="A206" i="3"/>
  <c r="A516" i="3"/>
  <c r="A399" i="3"/>
  <c r="A23" i="3"/>
  <c r="A598" i="3"/>
  <c r="A705" i="3"/>
  <c r="A565" i="3"/>
  <c r="A281" i="3"/>
  <c r="A537" i="3"/>
  <c r="A301" i="3"/>
  <c r="A237" i="3"/>
  <c r="A608" i="3"/>
  <c r="A524" i="3"/>
  <c r="A412" i="3"/>
  <c r="A208" i="3"/>
  <c r="A188" i="3"/>
  <c r="A48" i="3"/>
  <c r="A157" i="3"/>
  <c r="A141" i="3"/>
  <c r="A77" i="3"/>
  <c r="A547" i="3"/>
  <c r="A538" i="3"/>
  <c r="A398" i="3"/>
  <c r="A266" i="3"/>
  <c r="A150" i="3"/>
  <c r="A495" i="3"/>
  <c r="A638" i="3"/>
  <c r="A461" i="3"/>
  <c r="A572" i="3"/>
  <c r="A496" i="3"/>
  <c r="A80" i="3"/>
  <c r="A32" i="3"/>
  <c r="A467" i="3"/>
  <c r="A359" i="3"/>
  <c r="A457" i="3"/>
  <c r="A20" i="3"/>
  <c r="A230" i="3"/>
  <c r="A198" i="3"/>
  <c r="A190" i="3"/>
  <c r="A618" i="3"/>
  <c r="A18" i="3"/>
  <c r="A673" i="3"/>
  <c r="A520" i="3"/>
  <c r="A137" i="3"/>
  <c r="A664" i="3"/>
  <c r="A333" i="3"/>
  <c r="A695" i="3"/>
  <c r="A491" i="3"/>
  <c r="A443" i="3"/>
  <c r="A511" i="3"/>
  <c r="A646" i="3"/>
  <c r="A490" i="3"/>
  <c r="A342" i="3"/>
  <c r="A557" i="3"/>
  <c r="A353" i="3"/>
  <c r="A337" i="3"/>
  <c r="A289" i="3"/>
  <c r="A273" i="3"/>
  <c r="A471" i="3"/>
  <c r="A548" i="3"/>
  <c r="A416" i="3"/>
  <c r="A64" i="3"/>
  <c r="A193" i="3"/>
  <c r="A161" i="3"/>
  <c r="A92" i="3"/>
  <c r="A12" i="3"/>
  <c r="A614" i="3"/>
  <c r="A486" i="3"/>
  <c r="A458" i="3"/>
  <c r="A378" i="3"/>
  <c r="A294" i="3"/>
  <c r="A254" i="3"/>
  <c r="A242" i="3"/>
  <c r="A178" i="3"/>
  <c r="A154" i="3"/>
  <c r="A371" i="3"/>
  <c r="A498" i="3"/>
  <c r="A485" i="3"/>
  <c r="A100" i="3"/>
  <c r="A657" i="3"/>
  <c r="A640" i="3"/>
  <c r="A604" i="3"/>
  <c r="A408" i="3"/>
  <c r="A300" i="3"/>
  <c r="A648" i="3"/>
  <c r="A487" i="3"/>
  <c r="A51" i="3"/>
  <c r="A509" i="3"/>
  <c r="A675" i="3"/>
  <c r="A659" i="3"/>
  <c r="A383" i="3"/>
  <c r="A91" i="3"/>
  <c r="A503" i="3"/>
  <c r="A606" i="3"/>
  <c r="A42" i="3"/>
  <c r="A709" i="3"/>
  <c r="A641" i="3"/>
  <c r="A505" i="3"/>
  <c r="A349" i="3"/>
  <c r="A221" i="3"/>
  <c r="A658" i="3"/>
  <c r="A592" i="3"/>
  <c r="A492" i="3"/>
  <c r="A392" i="3"/>
  <c r="A284" i="3"/>
  <c r="A268" i="3"/>
  <c r="A172" i="3"/>
  <c r="A128" i="3"/>
  <c r="A205" i="3"/>
  <c r="A173" i="3"/>
  <c r="A88" i="3"/>
  <c r="A56" i="3"/>
  <c r="A8" i="3"/>
  <c r="A424" i="3"/>
  <c r="A634" i="3"/>
  <c r="A514" i="3"/>
  <c r="A362" i="3"/>
  <c r="A278" i="3"/>
  <c r="A447" i="3"/>
  <c r="A335" i="3"/>
  <c r="A601" i="3"/>
  <c r="A292" i="3"/>
  <c r="A421" i="3"/>
  <c r="A381" i="3"/>
  <c r="A265" i="3"/>
  <c r="A682" i="3"/>
  <c r="A712" i="3"/>
  <c r="A696" i="3"/>
  <c r="A680" i="3"/>
  <c r="A594" i="3"/>
  <c r="A354" i="3"/>
  <c r="A238" i="3"/>
  <c r="A431" i="3"/>
  <c r="A589" i="3"/>
  <c r="A460" i="3"/>
  <c r="A325" i="3"/>
  <c r="A546" i="3"/>
  <c r="A405" i="3"/>
  <c r="A63" i="3" l="1"/>
  <c r="A95" i="3"/>
  <c r="A647" i="3"/>
  <c r="A523" i="3"/>
  <c r="A567" i="3"/>
  <c r="A455" i="3"/>
  <c r="A129" i="3"/>
  <c r="A87" i="3"/>
  <c r="A58" i="3"/>
  <c r="A75" i="3"/>
  <c r="A562" i="3"/>
  <c r="A480" i="3"/>
  <c r="A101" i="3"/>
  <c r="A365" i="3"/>
  <c r="A488" i="3"/>
  <c r="A563" i="3"/>
  <c r="A125" i="3"/>
  <c r="A402" i="3"/>
  <c r="A50" i="3"/>
  <c r="A35" i="3"/>
  <c r="A105" i="3"/>
  <c r="A534" i="3"/>
  <c r="A687" i="3"/>
  <c r="A558" i="3"/>
  <c r="A124" i="3"/>
  <c r="A539" i="3"/>
  <c r="A541" i="3"/>
  <c r="A554" i="3"/>
  <c r="A551" i="3"/>
  <c r="A49" i="3"/>
  <c r="A715" i="3"/>
  <c r="A72" i="3"/>
  <c r="A464" i="3"/>
  <c r="A429" i="3"/>
  <c r="A519" i="3"/>
  <c r="A427" i="3"/>
  <c r="A468" i="3"/>
  <c r="A79" i="3"/>
  <c r="A493" i="3"/>
  <c r="A336" i="3"/>
  <c r="A445" i="3"/>
  <c r="A393" i="3"/>
  <c r="A477" i="3"/>
  <c r="A645" i="3"/>
  <c r="A74" i="3"/>
  <c r="A394" i="3"/>
  <c r="A501" i="3"/>
  <c r="A619" i="3"/>
  <c r="A66" i="3"/>
  <c r="A484" i="3"/>
  <c r="A441" i="3"/>
  <c r="A502" i="3"/>
  <c r="A438" i="3"/>
  <c r="A10" i="3"/>
  <c r="A506" i="3"/>
  <c r="A108" i="3"/>
  <c r="A453" i="3"/>
  <c r="A14" i="3"/>
  <c r="A369" i="3"/>
  <c r="A81" i="3"/>
  <c r="A33" i="3"/>
  <c r="A4" i="3"/>
  <c r="A65" i="3"/>
  <c r="A53" i="3"/>
  <c r="A482" i="3"/>
  <c r="A449" i="3"/>
  <c r="A113" i="3"/>
  <c r="A62" i="3"/>
  <c r="A45" i="3"/>
  <c r="A90" i="3"/>
  <c r="A497" i="3"/>
  <c r="A418" i="3"/>
  <c r="A448" i="3"/>
  <c r="A109" i="3"/>
  <c r="A46" i="3"/>
  <c r="A86" i="3"/>
  <c r="A494" i="3"/>
</calcChain>
</file>

<file path=xl/sharedStrings.xml><?xml version="1.0" encoding="utf-8"?>
<sst xmlns="http://schemas.openxmlformats.org/spreadsheetml/2006/main" count="8166" uniqueCount="1168">
  <si>
    <t>account</t>
  </si>
  <si>
    <t>None</t>
  </si>
  <si>
    <t>Done</t>
  </si>
  <si>
    <t>(Model: 11, Field: 269, XML: 134)</t>
  </si>
  <si>
    <t>account_check_printing</t>
  </si>
  <si>
    <t>Nothing to do No DB layout changes.</t>
  </si>
  <si>
    <t>account_debit_note</t>
  </si>
  <si>
    <t>To analyse(0:10)</t>
  </si>
  <si>
    <t>(XML: 1)</t>
  </si>
  <si>
    <t>account_edi</t>
  </si>
  <si>
    <t>(XML: 2)</t>
  </si>
  <si>
    <t>account_edi_proxy_client</t>
  </si>
  <si>
    <t>To analyse(0:25)</t>
  </si>
  <si>
    <t>(Field: 3, XML: 3)</t>
  </si>
  <si>
    <t>account_edi_ubl_cii</t>
  </si>
  <si>
    <t>(Field: 5, XML: 32)</t>
  </si>
  <si>
    <t>account_edi_ubl_cii_tax_extension</t>
  </si>
  <si>
    <t>No DB layout changes.</t>
  </si>
  <si>
    <t>account_fleet</t>
  </si>
  <si>
    <t>account_lock</t>
  </si>
  <si>
    <t>account_payment</t>
  </si>
  <si>
    <t>(XML: 13)</t>
  </si>
  <si>
    <t>account_payment_invoice_online_payment_patch</t>
  </si>
  <si>
    <t>Merged into account_payment</t>
  </si>
  <si>
    <t>account_qr_code_sepa</t>
  </si>
  <si>
    <t>Nothing to do</t>
  </si>
  <si>
    <t>account_sequence</t>
  </si>
  <si>
    <t>Merged into account</t>
  </si>
  <si>
    <t>account_tax_python</t>
  </si>
  <si>
    <t>(Field: 3)</t>
  </si>
  <si>
    <t>account_test</t>
  </si>
  <si>
    <t>account_update_tax_tags</t>
  </si>
  <si>
    <t>analytic</t>
  </si>
  <si>
    <t>(Field: 9, XML: 3)</t>
  </si>
  <si>
    <t>association</t>
  </si>
  <si>
    <t>Merged into membership</t>
  </si>
  <si>
    <t>attachment_indexation</t>
  </si>
  <si>
    <t>auth_ldap</t>
  </si>
  <si>
    <t>auth_oauth</t>
  </si>
  <si>
    <t>auth_password_policy</t>
  </si>
  <si>
    <t>auth_password_policy_portal</t>
  </si>
  <si>
    <t>auth_password_policy_signup</t>
  </si>
  <si>
    <t>auth_signup</t>
  </si>
  <si>
    <t>(XML: 3)</t>
  </si>
  <si>
    <t>auth_totp</t>
  </si>
  <si>
    <t>auth_totp_mail</t>
  </si>
  <si>
    <t>auth_totp_mail_enforce</t>
  </si>
  <si>
    <t>auth_totp_portal</t>
  </si>
  <si>
    <t>barcodes</t>
  </si>
  <si>
    <t>barcodes_gs1_nomenclature</t>
  </si>
  <si>
    <t>base_address_extended</t>
  </si>
  <si>
    <t>base_automation</t>
  </si>
  <si>
    <t>To analyse(1:35)</t>
  </si>
  <si>
    <t>(Field: 17, XML: 2)</t>
  </si>
  <si>
    <t>base_geolocalize</t>
  </si>
  <si>
    <t>base_iban</t>
  </si>
  <si>
    <t>base_import</t>
  </si>
  <si>
    <t>(Model: 15, Field: 26, XML: 15)</t>
  </si>
  <si>
    <t>base_import_module</t>
  </si>
  <si>
    <t>(Field: 1, XML: 4)</t>
  </si>
  <si>
    <t>base_install_request</t>
  </si>
  <si>
    <t>base_setup</t>
  </si>
  <si>
    <t>base_sparse_field</t>
  </si>
  <si>
    <t>base_vat</t>
  </si>
  <si>
    <t>(Field: 2)</t>
  </si>
  <si>
    <t>board</t>
  </si>
  <si>
    <t>bus</t>
  </si>
  <si>
    <t>calendar</t>
  </si>
  <si>
    <t>(Model: 1, Field: 4, XML: 11)</t>
  </si>
  <si>
    <t>calendar_sms</t>
  </si>
  <si>
    <t>(Field: 1)</t>
  </si>
  <si>
    <t>contacts</t>
  </si>
  <si>
    <t>crm</t>
  </si>
  <si>
    <t>(Field: 8, XML: 10)</t>
  </si>
  <si>
    <t>crm_iap_enrich</t>
  </si>
  <si>
    <t>crm_iap_mine</t>
  </si>
  <si>
    <t>crm_livechat</t>
  </si>
  <si>
    <t>crm_mail_plugin</t>
  </si>
  <si>
    <t>crm_sms</t>
  </si>
  <si>
    <t>data_recycle</t>
  </si>
  <si>
    <t>delivery</t>
  </si>
  <si>
    <t>(Model: 1, Field: 33, XML: 35)</t>
  </si>
  <si>
    <t>delivery_mondialrelay</t>
  </si>
  <si>
    <t>delivery_stock_picking_batch</t>
  </si>
  <si>
    <t>digest</t>
  </si>
  <si>
    <t>(XML: 5)</t>
  </si>
  <si>
    <t>event</t>
  </si>
  <si>
    <t>(Field: 24, XML: 26)</t>
  </si>
  <si>
    <t>event_booth</t>
  </si>
  <si>
    <t>To analyse(0:35)</t>
  </si>
  <si>
    <t>(Field: 5)</t>
  </si>
  <si>
    <t>event_booth_sale</t>
  </si>
  <si>
    <t>event_crm</t>
  </si>
  <si>
    <t>event_crm_sale</t>
  </si>
  <si>
    <t>event_sale</t>
  </si>
  <si>
    <t>(Field: 7, XML: 2)</t>
  </si>
  <si>
    <t>event_sms</t>
  </si>
  <si>
    <t>fleet</t>
  </si>
  <si>
    <t>(Field: 23, XML: 3)</t>
  </si>
  <si>
    <t>gamification</t>
  </si>
  <si>
    <t>(Field: 9, XML: 8)</t>
  </si>
  <si>
    <t>gamification_sale_crm</t>
  </si>
  <si>
    <t>google_account</t>
  </si>
  <si>
    <t>google_calendar</t>
  </si>
  <si>
    <t>google_gmail</t>
  </si>
  <si>
    <t>google_recaptcha</t>
  </si>
  <si>
    <t>hr</t>
  </si>
  <si>
    <t>(Model: 3, Field: 43, XML: 61)</t>
  </si>
  <si>
    <t>hr_attendance</t>
  </si>
  <si>
    <t>(Model: 1, Field: 24, XML: 44)</t>
  </si>
  <si>
    <t>hr_contract</t>
  </si>
  <si>
    <t>(Field: 8, XML: 8)</t>
  </si>
  <si>
    <t>hr_expense</t>
  </si>
  <si>
    <t>(Field: 41, XML: 6)</t>
  </si>
  <si>
    <t>hr_fleet</t>
  </si>
  <si>
    <t>To analyse(0:15)</t>
  </si>
  <si>
    <t>(Field: 1, XML: 1)</t>
  </si>
  <si>
    <t>hr_gamification</t>
  </si>
  <si>
    <t>hr_holidays</t>
  </si>
  <si>
    <t>(Model: 2, Field: 49, XML: 37)</t>
  </si>
  <si>
    <t>hr_holidays_attendance</t>
  </si>
  <si>
    <t>(Field: 1, XML: 2)</t>
  </si>
  <si>
    <t>hr_hourly_cost</t>
  </si>
  <si>
    <t>hr_maintenance</t>
  </si>
  <si>
    <t>hr_org_chart</t>
  </si>
  <si>
    <t>hr_presence</t>
  </si>
  <si>
    <t>hr_recruitment</t>
  </si>
  <si>
    <t>(Field: 15, XML: 12)</t>
  </si>
  <si>
    <t>hr_recruitment_skills</t>
  </si>
  <si>
    <t>hr_recruitment_survey</t>
  </si>
  <si>
    <t>(Field: 3, XML: 2)</t>
  </si>
  <si>
    <t>hr_skills</t>
  </si>
  <si>
    <t>To analyse(0:31)</t>
  </si>
  <si>
    <t>(Model: 2, XML: 12)</t>
  </si>
  <si>
    <t>hr_skills_slides</t>
  </si>
  <si>
    <t>hr_skills_survey</t>
  </si>
  <si>
    <t>To analyse(0:20)</t>
  </si>
  <si>
    <t>(Field: 2, XML: 4)</t>
  </si>
  <si>
    <t>hr_timesheet</t>
  </si>
  <si>
    <t>(Model: 1, Field: 7, XML: 18)</t>
  </si>
  <si>
    <t>hr_timesheet_attendance</t>
  </si>
  <si>
    <t>hr_work_entry</t>
  </si>
  <si>
    <t>hr_work_entry_contract</t>
  </si>
  <si>
    <t>hr_work_entry_holidays</t>
  </si>
  <si>
    <t>http_routing</t>
  </si>
  <si>
    <t>hw_drivers</t>
  </si>
  <si>
    <t>hw_escpos</t>
  </si>
  <si>
    <t>hw_posbox_homepage</t>
  </si>
  <si>
    <t>iap</t>
  </si>
  <si>
    <t>(Model: 1, Field: 3, XML: 2)</t>
  </si>
  <si>
    <t>iap_crm</t>
  </si>
  <si>
    <t>iap_mail</t>
  </si>
  <si>
    <t>im_livechat</t>
  </si>
  <si>
    <t>(Field: 8, XML: 40)</t>
  </si>
  <si>
    <t>im_livechat_mail_bot</t>
  </si>
  <si>
    <t>l10n_account_edi_ubl_cii_tests</t>
  </si>
  <si>
    <t>l10n_ae</t>
  </si>
  <si>
    <t>To analyse(0:30)</t>
  </si>
  <si>
    <t>(XML: 202)</t>
  </si>
  <si>
    <t>l10n_ae_pos</t>
  </si>
  <si>
    <t>Module lost(1:00)</t>
  </si>
  <si>
    <t>l10n_ar</t>
  </si>
  <si>
    <t>To analyse(1:10)</t>
  </si>
  <si>
    <t>(Field: 2, XML: 498)</t>
  </si>
  <si>
    <t>l10n_ar_website_sale</t>
  </si>
  <si>
    <t>l10n_at</t>
  </si>
  <si>
    <t>To analyse(2:13)</t>
  </si>
  <si>
    <t>(XML: 1233)</t>
  </si>
  <si>
    <t>l10n_au</t>
  </si>
  <si>
    <t>To analyse(0:32)</t>
  </si>
  <si>
    <t>(Field: 1, XML: 167)</t>
  </si>
  <si>
    <t>l10n_be</t>
  </si>
  <si>
    <t>To analyse(1:42)</t>
  </si>
  <si>
    <t>(XML: 925)</t>
  </si>
  <si>
    <t>l10n_be_pos_sale</t>
  </si>
  <si>
    <t>l10n_bg</t>
  </si>
  <si>
    <t>To analyse(0:55)</t>
  </si>
  <si>
    <t>(XML: 447)</t>
  </si>
  <si>
    <t>l10n_bo</t>
  </si>
  <si>
    <t>(XML: 211)</t>
  </si>
  <si>
    <t>l10n_br</t>
  </si>
  <si>
    <t>To analyse(2:39)</t>
  </si>
  <si>
    <t>(Field: 6, XML: 1189)</t>
  </si>
  <si>
    <t>l10n_ca</t>
  </si>
  <si>
    <t>To analyse(0:54)</t>
  </si>
  <si>
    <t>(XML: 436)</t>
  </si>
  <si>
    <t>l10n_ch</t>
  </si>
  <si>
    <t>To analyse(1:06)</t>
  </si>
  <si>
    <t>(Field: 6, XML: 256)</t>
  </si>
  <si>
    <t>l10n_ch_pos</t>
  </si>
  <si>
    <t>l10n_cl</t>
  </si>
  <si>
    <t>To analyse(0:45)</t>
  </si>
  <si>
    <t>(Field: 2, XML: 250)</t>
  </si>
  <si>
    <t>l10n_cn</t>
  </si>
  <si>
    <t>To analyse(0:19)</t>
  </si>
  <si>
    <t>(XML: 89)</t>
  </si>
  <si>
    <t>l10n_cn_city</t>
  </si>
  <si>
    <t>l10n_co</t>
  </si>
  <si>
    <t>To analyse(0:57)</t>
  </si>
  <si>
    <t>(XML: 470)</t>
  </si>
  <si>
    <t>l10n_co_pos</t>
  </si>
  <si>
    <t>l10n_cr</t>
  </si>
  <si>
    <t>(XML: 102)</t>
  </si>
  <si>
    <t>l10n_cz</t>
  </si>
  <si>
    <t>To analyse(1:36)</t>
  </si>
  <si>
    <t>(Field: 2, XML: 758)</t>
  </si>
  <si>
    <t>l10n_de</t>
  </si>
  <si>
    <t>To analyse(4:45)</t>
  </si>
  <si>
    <t>(Field: 1, XML: 2700)</t>
  </si>
  <si>
    <t>l10n_de_skr03</t>
  </si>
  <si>
    <t>Merged into l10n_de</t>
  </si>
  <si>
    <t>l10n_de_skr04</t>
  </si>
  <si>
    <t>l10n_din5008</t>
  </si>
  <si>
    <t>l10n_din5008_purchase</t>
  </si>
  <si>
    <t>l10n_din5008_repair</t>
  </si>
  <si>
    <t>l10n_din5008_sale</t>
  </si>
  <si>
    <t>l10n_din5008_stock</t>
  </si>
  <si>
    <t>l10n_dk</t>
  </si>
  <si>
    <t>To analyse(1:07)</t>
  </si>
  <si>
    <t>(XML: 566)</t>
  </si>
  <si>
    <t>l10n_do</t>
  </si>
  <si>
    <t>To analyse(1:15)</t>
  </si>
  <si>
    <t>(XML: 646)</t>
  </si>
  <si>
    <t>l10n_dz</t>
  </si>
  <si>
    <t>To analyse(2:11)</t>
  </si>
  <si>
    <t>(Field: 3, XML: 1056)</t>
  </si>
  <si>
    <t>l10n_ec</t>
  </si>
  <si>
    <t>To analyse(2:03)</t>
  </si>
  <si>
    <t>(Field: 7, XML: 781)</t>
  </si>
  <si>
    <t>l10n_ec_stock</t>
  </si>
  <si>
    <t>l10n_ee</t>
  </si>
  <si>
    <t>(Field: 1, XML: 423)</t>
  </si>
  <si>
    <t>l10n_eg</t>
  </si>
  <si>
    <t>To analyse(0:47)</t>
  </si>
  <si>
    <t>(Model: 1, Field: 1, XML: 221)</t>
  </si>
  <si>
    <t>l10n_eg_edi_eta</t>
  </si>
  <si>
    <t>l10n_es</t>
  </si>
  <si>
    <t>(Field: 4, XML: 3895)</t>
  </si>
  <si>
    <t>l10n_es_edi_sii</t>
  </si>
  <si>
    <t>(Model: 1, Field: 7, XML: 2)</t>
  </si>
  <si>
    <t>l10n_es_edi_tbai</t>
  </si>
  <si>
    <t>l10n_et</t>
  </si>
  <si>
    <t>To analyse(0:22)</t>
  </si>
  <si>
    <t>(XML: 119)</t>
  </si>
  <si>
    <t>l10n_eu_oss</t>
  </si>
  <si>
    <t>l10n_fi</t>
  </si>
  <si>
    <t>(XML: 349)</t>
  </si>
  <si>
    <t>l10n_fi_sale</t>
  </si>
  <si>
    <t>l10n_fr</t>
  </si>
  <si>
    <t>To analyse(1:58)</t>
  </si>
  <si>
    <t>(Field: 2, XML: 977)</t>
  </si>
  <si>
    <t>l10n_fr_facturx_chorus_pro</t>
  </si>
  <si>
    <t>l10n_fr_fec</t>
  </si>
  <si>
    <t>l10n_fr_invoice_addr</t>
  </si>
  <si>
    <t>l10n_fr_pos_cert</t>
  </si>
  <si>
    <t>l10n_gcc_invoice</t>
  </si>
  <si>
    <t>l10n_gcc_invoice_stock_account</t>
  </si>
  <si>
    <t>l10n_gcc_pos</t>
  </si>
  <si>
    <t>l10n_generic_coa</t>
  </si>
  <si>
    <t>l10n_gr</t>
  </si>
  <si>
    <t>To analyse(2:23)</t>
  </si>
  <si>
    <t>(XML: 1334)</t>
  </si>
  <si>
    <t>l10n_gt</t>
  </si>
  <si>
    <t>To analyse(0:14)</t>
  </si>
  <si>
    <t>(XML: 36)</t>
  </si>
  <si>
    <t>l10n_hk</t>
  </si>
  <si>
    <t>(Field: 1, XML: 74)</t>
  </si>
  <si>
    <t>l10n_hn</t>
  </si>
  <si>
    <t>(XML: 38)</t>
  </si>
  <si>
    <t>l10n_hr</t>
  </si>
  <si>
    <t>To analyse(4:55)</t>
  </si>
  <si>
    <t>(XML: 2848)</t>
  </si>
  <si>
    <t>l10n_hr_euro</t>
  </si>
  <si>
    <t>Merged into l10n_hr</t>
  </si>
  <si>
    <t>l10n_hu</t>
  </si>
  <si>
    <t>To analyse(1:02)</t>
  </si>
  <si>
    <t>(XML: 521)</t>
  </si>
  <si>
    <t>l10n_id</t>
  </si>
  <si>
    <t>(XML: 118)</t>
  </si>
  <si>
    <t>l10n_id_efaktur</t>
  </si>
  <si>
    <t>l10n_ie</t>
  </si>
  <si>
    <t>To analyse(0:24)</t>
  </si>
  <si>
    <t>(XML: 139)</t>
  </si>
  <si>
    <t>l10n_il</t>
  </si>
  <si>
    <t>To analyse(0:23)</t>
  </si>
  <si>
    <t>(XML: 131)</t>
  </si>
  <si>
    <t>l10n_in</t>
  </si>
  <si>
    <t>(Field: 2, XML: 497)</t>
  </si>
  <si>
    <t>l10n_in_edi</t>
  </si>
  <si>
    <t>l10n_in_edi_ewaybill</t>
  </si>
  <si>
    <t>l10n_in_pos</t>
  </si>
  <si>
    <t>l10n_in_purchase</t>
  </si>
  <si>
    <t>l10n_in_purchase_stock</t>
  </si>
  <si>
    <t>l10n_in_sale</t>
  </si>
  <si>
    <t>l10n_in_sale_stock</t>
  </si>
  <si>
    <t>l10n_in_stock</t>
  </si>
  <si>
    <t>l10n_in_tcs_tds</t>
  </si>
  <si>
    <t>Merged into l10n_in</t>
  </si>
  <si>
    <t>l10n_in_upi</t>
  </si>
  <si>
    <t>l10n_it</t>
  </si>
  <si>
    <t>To analyse(1:25)</t>
  </si>
  <si>
    <t>(Field: 2, XML: 647)</t>
  </si>
  <si>
    <t>l10n_it_edi</t>
  </si>
  <si>
    <t>To analyse(2:31)</t>
  </si>
  <si>
    <t>(Field: 28, XML: 10)</t>
  </si>
  <si>
    <t>l10n_it_edi_doi</t>
  </si>
  <si>
    <t>To analyse(0:26)</t>
  </si>
  <si>
    <t>(Field: 3, XML: 6)</t>
  </si>
  <si>
    <t>l10n_it_edi_pa</t>
  </si>
  <si>
    <t>l10n_it_edi_website_sale</t>
  </si>
  <si>
    <t>l10n_it_edi_withholding</t>
  </si>
  <si>
    <t>To analyse(0:27)</t>
  </si>
  <si>
    <t>(Field: 3, XML: 17)</t>
  </si>
  <si>
    <t>l10n_it_stock_ddt</t>
  </si>
  <si>
    <t>l10n_jp</t>
  </si>
  <si>
    <t>(XML: 168)</t>
  </si>
  <si>
    <t>l10n_ke</t>
  </si>
  <si>
    <t>To analyse(1:24)</t>
  </si>
  <si>
    <t>(Model: 1, Field: 4, XML: 436)</t>
  </si>
  <si>
    <t>l10n_ke_edi_tremol</t>
  </si>
  <si>
    <t>(Field: 2, XML: 3)</t>
  </si>
  <si>
    <t>l10n_latam_account_sequence</t>
  </si>
  <si>
    <t>Merged into l10n_latam_invoice_document</t>
  </si>
  <si>
    <t>l10n_latam_base</t>
  </si>
  <si>
    <t>l10n_latam_check</t>
  </si>
  <si>
    <t>l10n_latam_invoice_document</t>
  </si>
  <si>
    <t>To analyse(0:16)</t>
  </si>
  <si>
    <t>(Field: 1, XML: 6)</t>
  </si>
  <si>
    <t>l10n_lt</t>
  </si>
  <si>
    <t>(XML: 218)</t>
  </si>
  <si>
    <t>l10n_lu</t>
  </si>
  <si>
    <t>To analyse(3:42)</t>
  </si>
  <si>
    <t>(XML: 2118)</t>
  </si>
  <si>
    <t>l10n_lu_peppol_id</t>
  </si>
  <si>
    <t>l10n_lv</t>
  </si>
  <si>
    <t>To analyse(0:46)</t>
  </si>
  <si>
    <t>(XML: 363)</t>
  </si>
  <si>
    <t>l10n_ma</t>
  </si>
  <si>
    <t>To analyse(1:55)</t>
  </si>
  <si>
    <t>(XML: 1046)</t>
  </si>
  <si>
    <t>l10n_mn</t>
  </si>
  <si>
    <t>To analyse(1:13)</t>
  </si>
  <si>
    <t>(XML: 629)</t>
  </si>
  <si>
    <t>l10n_multilang</t>
  </si>
  <si>
    <t>l10n_mx</t>
  </si>
  <si>
    <t>To analyse(2:24)</t>
  </si>
  <si>
    <t>(Field: 3, XML: 1192)</t>
  </si>
  <si>
    <t>l10n_mx_hr</t>
  </si>
  <si>
    <t>l10n_my</t>
  </si>
  <si>
    <t>To analyse(0:21)</t>
  </si>
  <si>
    <t>(XML: 106)</t>
  </si>
  <si>
    <t>l10n_mz</t>
  </si>
  <si>
    <t>(XML: 435)</t>
  </si>
  <si>
    <t>l10n_nl</t>
  </si>
  <si>
    <t>To analyse(1:08)</t>
  </si>
  <si>
    <t>(Field: 2, XML: 478)</t>
  </si>
  <si>
    <t>l10n_no</t>
  </si>
  <si>
    <t>To analyse(1:01)</t>
  </si>
  <si>
    <t>(XML: 508)</t>
  </si>
  <si>
    <t>l10n_nz</t>
  </si>
  <si>
    <t>(XML: 120)</t>
  </si>
  <si>
    <t>l10n_pa</t>
  </si>
  <si>
    <t>(XML: 117)</t>
  </si>
  <si>
    <t>l10n_pe</t>
  </si>
  <si>
    <t>To analyse(2:41)</t>
  </si>
  <si>
    <t>(Field: 3, XML: 1362)</t>
  </si>
  <si>
    <t>l10n_ph</t>
  </si>
  <si>
    <t>To analyse(0:39)</t>
  </si>
  <si>
    <t>(Field: 1, XML: 239)</t>
  </si>
  <si>
    <t>l10n_pk</t>
  </si>
  <si>
    <t>To analyse(0:48)</t>
  </si>
  <si>
    <t>(XML: 385)</t>
  </si>
  <si>
    <t>l10n_pl</t>
  </si>
  <si>
    <t>To analyse(3:05)</t>
  </si>
  <si>
    <t>(Model: 1, Field: 16, XML: 854)</t>
  </si>
  <si>
    <t>l10n_pl_jpk</t>
  </si>
  <si>
    <t>l10n_pl_sale_stock</t>
  </si>
  <si>
    <t>Module lost</t>
  </si>
  <si>
    <t>l10n_pt</t>
  </si>
  <si>
    <t>To analyse(1:14)</t>
  </si>
  <si>
    <t>(Field: 1, XML: 593)</t>
  </si>
  <si>
    <t>l10n_ro</t>
  </si>
  <si>
    <t>To analyse(1:34)</t>
  </si>
  <si>
    <t>(XML: 837)</t>
  </si>
  <si>
    <t>l10n_rs</t>
  </si>
  <si>
    <t>To analyse(1:03)</t>
  </si>
  <si>
    <t>(XML: 531)</t>
  </si>
  <si>
    <t>l10n_sa</t>
  </si>
  <si>
    <t>To analyse(0:34)</t>
  </si>
  <si>
    <t>(Field: 1, XML: 188)</t>
  </si>
  <si>
    <t>l10n_sa_edi</t>
  </si>
  <si>
    <t>l10n_sa_edi_pos</t>
  </si>
  <si>
    <t>l10n_sa_pos</t>
  </si>
  <si>
    <t>l10n_se</t>
  </si>
  <si>
    <t>To analyse(2:19)</t>
  </si>
  <si>
    <t>(XML: 1288)</t>
  </si>
  <si>
    <t>l10n_sg</t>
  </si>
  <si>
    <t>To analyse(0:37)</t>
  </si>
  <si>
    <t>(Field: 1, XML: 216)</t>
  </si>
  <si>
    <t>l10n_si</t>
  </si>
  <si>
    <t>To analyse(1:21)</t>
  </si>
  <si>
    <t>(XML: 711)</t>
  </si>
  <si>
    <t>l10n_sk</t>
  </si>
  <si>
    <t>To analyse(1:12)</t>
  </si>
  <si>
    <t>(Field: 1, XML: 573)</t>
  </si>
  <si>
    <t>l10n_syscohada</t>
  </si>
  <si>
    <t>To analyse(2:04)</t>
  </si>
  <si>
    <t>(XML: 1140)</t>
  </si>
  <si>
    <t>l10n_th</t>
  </si>
  <si>
    <t>(Field: 1, XML: 52)</t>
  </si>
  <si>
    <t>l10n_tr</t>
  </si>
  <si>
    <t>To analyse(0:52)</t>
  </si>
  <si>
    <t>(XML: 423)</t>
  </si>
  <si>
    <t>l10n_tw</t>
  </si>
  <si>
    <t>(XML: 130)</t>
  </si>
  <si>
    <t>l10n_ua</t>
  </si>
  <si>
    <t>(XML: 467)</t>
  </si>
  <si>
    <t>l10n_uk</t>
  </si>
  <si>
    <t>(XML: 116)</t>
  </si>
  <si>
    <t>l10n_us</t>
  </si>
  <si>
    <t>l10n_uy</t>
  </si>
  <si>
    <t>To analyse(0:42)</t>
  </si>
  <si>
    <t>(Field: 2, XML: 222)</t>
  </si>
  <si>
    <t>l10n_ve</t>
  </si>
  <si>
    <t>To analyse(0:38)</t>
  </si>
  <si>
    <t>(XML: 279)</t>
  </si>
  <si>
    <t>l10n_vn</t>
  </si>
  <si>
    <t>To analyse(0:36)</t>
  </si>
  <si>
    <t>(Field: 1, XML: 206)</t>
  </si>
  <si>
    <t>l10n_za</t>
  </si>
  <si>
    <t>link_tracker</t>
  </si>
  <si>
    <t>loyalty</t>
  </si>
  <si>
    <t>(Field: 4, XML: 4)</t>
  </si>
  <si>
    <t>loyalty_delivery</t>
  </si>
  <si>
    <t>Merged into sale_loyalty_delivery</t>
  </si>
  <si>
    <t>lunch</t>
  </si>
  <si>
    <t>(Field: 4)</t>
  </si>
  <si>
    <t>mail</t>
  </si>
  <si>
    <t>(Model: 19, Field: 111, XML: 167)</t>
  </si>
  <si>
    <t>mail_bot</t>
  </si>
  <si>
    <t>mail_bot_hr</t>
  </si>
  <si>
    <t>mail_group</t>
  </si>
  <si>
    <t>To analyse(0:11)</t>
  </si>
  <si>
    <t>(XML: 6)</t>
  </si>
  <si>
    <t>mail_plugin</t>
  </si>
  <si>
    <t>maintenance</t>
  </si>
  <si>
    <t>(Model: 1, Field: 21, XML: 6)</t>
  </si>
  <si>
    <t>mass_mailing</t>
  </si>
  <si>
    <t>To analyse(3:49)</t>
  </si>
  <si>
    <t>(Model: 3, Field: 37, XML: 44)</t>
  </si>
  <si>
    <t>mass_mailing_crm</t>
  </si>
  <si>
    <t>mass_mailing_crm_sms</t>
  </si>
  <si>
    <t>mass_mailing_event</t>
  </si>
  <si>
    <t>mass_mailing_event_sms</t>
  </si>
  <si>
    <t>mass_mailing_event_track</t>
  </si>
  <si>
    <t>mass_mailing_event_track_sms</t>
  </si>
  <si>
    <t>mass_mailing_sale</t>
  </si>
  <si>
    <t>mass_mailing_sale_sms</t>
  </si>
  <si>
    <t>mass_mailing_slides</t>
  </si>
  <si>
    <t>mass_mailing_sms</t>
  </si>
  <si>
    <t>To analyse(0:40)</t>
  </si>
  <si>
    <t>(Field: 6, XML: 1)</t>
  </si>
  <si>
    <t>mass_mailing_themes</t>
  </si>
  <si>
    <t>To analyse(0:12)</t>
  </si>
  <si>
    <t>(XML: 15)</t>
  </si>
  <si>
    <t>membership</t>
  </si>
  <si>
    <t>microsoft_account</t>
  </si>
  <si>
    <t>microsoft_calendar</t>
  </si>
  <si>
    <t>(Model: 1, Field: 9, XML: 6)</t>
  </si>
  <si>
    <t>microsoft_outlook</t>
  </si>
  <si>
    <t>mrp</t>
  </si>
  <si>
    <t>(Model: 3, Field: 43, XML: 21)</t>
  </si>
  <si>
    <t>mrp_account</t>
  </si>
  <si>
    <t>(Field: 27, XML: 3)</t>
  </si>
  <si>
    <t>mrp_landed_costs</t>
  </si>
  <si>
    <t>mrp_product_expiry</t>
  </si>
  <si>
    <t>mrp_repair</t>
  </si>
  <si>
    <t>mrp_subcontracting</t>
  </si>
  <si>
    <t>mrp_subcontracting_account</t>
  </si>
  <si>
    <t>mrp_subcontracting_dropshipping</t>
  </si>
  <si>
    <t>mrp_subcontracting_purchase</t>
  </si>
  <si>
    <t>mrp_subcontracting_repair</t>
  </si>
  <si>
    <t>mrp_subonctracting_landed_costs</t>
  </si>
  <si>
    <t>note</t>
  </si>
  <si>
    <t>Renamed into project_todo</t>
  </si>
  <si>
    <t>onboarding</t>
  </si>
  <si>
    <t>(Field: 18, XML: 3)</t>
  </si>
  <si>
    <t>partner_autocomplete</t>
  </si>
  <si>
    <t>payment</t>
  </si>
  <si>
    <t>(Model: 3, Field: 30, XML: 268)</t>
  </si>
  <si>
    <t>payment_adyen</t>
  </si>
  <si>
    <t>payment_alipay</t>
  </si>
  <si>
    <t>payment_aps</t>
  </si>
  <si>
    <t>payment_asiapay</t>
  </si>
  <si>
    <t>payment_authorize</t>
  </si>
  <si>
    <t>payment_buckaroo</t>
  </si>
  <si>
    <t>payment_custom</t>
  </si>
  <si>
    <t>payment_demo</t>
  </si>
  <si>
    <t>(XML: 7)</t>
  </si>
  <si>
    <t>payment_flutterwave</t>
  </si>
  <si>
    <t>payment_mercado_pago</t>
  </si>
  <si>
    <t>payment_mollie</t>
  </si>
  <si>
    <t>payment_ogone</t>
  </si>
  <si>
    <t>payment_paypal</t>
  </si>
  <si>
    <t>(Field: 2, XML: 1)</t>
  </si>
  <si>
    <t>payment_payulatam</t>
  </si>
  <si>
    <t>payment_payumoney</t>
  </si>
  <si>
    <t>payment_razorpay</t>
  </si>
  <si>
    <t>payment_sips</t>
  </si>
  <si>
    <t>payment_stripe</t>
  </si>
  <si>
    <t>phone_validation</t>
  </si>
  <si>
    <t>point_of_sale</t>
  </si>
  <si>
    <t>(Model: 5, Field: 58, XML: 44)</t>
  </si>
  <si>
    <t>portal</t>
  </si>
  <si>
    <t>(Field: 5, XML: 3)</t>
  </si>
  <si>
    <t>portal_rating</t>
  </si>
  <si>
    <t>pos_adyen</t>
  </si>
  <si>
    <t>pos_cache</t>
  </si>
  <si>
    <t>Merged into point_of_sale</t>
  </si>
  <si>
    <t>pos_daily_sales_reports</t>
  </si>
  <si>
    <t>pos_discount</t>
  </si>
  <si>
    <t>pos_epson_printer</t>
  </si>
  <si>
    <t>pos_epson_printer_restaurant</t>
  </si>
  <si>
    <t>pos_hr</t>
  </si>
  <si>
    <t>pos_hr_restaurant</t>
  </si>
  <si>
    <t>pos_loyalty</t>
  </si>
  <si>
    <t>pos_mercury</t>
  </si>
  <si>
    <t>pos_mrp</t>
  </si>
  <si>
    <t>pos_restaurant</t>
  </si>
  <si>
    <t>To analyse(1:51)</t>
  </si>
  <si>
    <t>(Model: 1, Field: 18, XML: 7)</t>
  </si>
  <si>
    <t>pos_restaurant_adyen</t>
  </si>
  <si>
    <t>pos_restaurant_stripe</t>
  </si>
  <si>
    <t>pos_sale</t>
  </si>
  <si>
    <t>pos_sale_loyalty</t>
  </si>
  <si>
    <t>pos_sale_margin</t>
  </si>
  <si>
    <t>pos_sale_product_configurator</t>
  </si>
  <si>
    <t>pos_six</t>
  </si>
  <si>
    <t>pos_stripe</t>
  </si>
  <si>
    <t>privacy_lookup</t>
  </si>
  <si>
    <t>product</t>
  </si>
  <si>
    <t>(Model: 7, Field: 26, XML: 24)</t>
  </si>
  <si>
    <t>product_email_template</t>
  </si>
  <si>
    <t>product_expiry</t>
  </si>
  <si>
    <t>product_images</t>
  </si>
  <si>
    <t>product_margin</t>
  </si>
  <si>
    <t>product_matrix</t>
  </si>
  <si>
    <t>project</t>
  </si>
  <si>
    <t>(Model: 1, Field: 85, XML: 75)</t>
  </si>
  <si>
    <t>project_hr_expense</t>
  </si>
  <si>
    <t>project_mail_plugin</t>
  </si>
  <si>
    <t>project_mrp</t>
  </si>
  <si>
    <t>project_purchase</t>
  </si>
  <si>
    <t>project_sale_expense</t>
  </si>
  <si>
    <t>project_sms</t>
  </si>
  <si>
    <t>project_timesheet_holidays</t>
  </si>
  <si>
    <t>project_todo</t>
  </si>
  <si>
    <t>Done Renamed from note.</t>
  </si>
  <si>
    <t>(Model: 4, Field: 21, XML: 54)</t>
  </si>
  <si>
    <t>purchase</t>
  </si>
  <si>
    <t>(Field: 6, XML: 5)</t>
  </si>
  <si>
    <t>purchase_mrp</t>
  </si>
  <si>
    <t>purchase_price_diff</t>
  </si>
  <si>
    <t>Merged into purchase_stock</t>
  </si>
  <si>
    <t>purchase_product_matrix</t>
  </si>
  <si>
    <t>purchase_requisition</t>
  </si>
  <si>
    <t>(Field: 4, XML: 1)</t>
  </si>
  <si>
    <t>purchase_requisition_stock</t>
  </si>
  <si>
    <t>purchase_stock</t>
  </si>
  <si>
    <t>(Field: 4, XML: 8)</t>
  </si>
  <si>
    <t>rating</t>
  </si>
  <si>
    <t>(Field: 18)</t>
  </si>
  <si>
    <t>repair</t>
  </si>
  <si>
    <t>To analyse(7:12)</t>
  </si>
  <si>
    <t>(Model: 4, Field: 76, XML: 22)</t>
  </si>
  <si>
    <t>resource</t>
  </si>
  <si>
    <t>(Field: 4, XML: 3)</t>
  </si>
  <si>
    <t>sale</t>
  </si>
  <si>
    <t>(Model: 2, Field: 21, XML: 55)</t>
  </si>
  <si>
    <t>sale_crm</t>
  </si>
  <si>
    <t>sale_expense</t>
  </si>
  <si>
    <t>sale_expense_margin</t>
  </si>
  <si>
    <t>sale_loyalty</t>
  </si>
  <si>
    <t>sale_loyalty_delivery</t>
  </si>
  <si>
    <t>(XML: 4)</t>
  </si>
  <si>
    <t>sale_management</t>
  </si>
  <si>
    <t>(Field: 2, XML: 6)</t>
  </si>
  <si>
    <t>sale_margin</t>
  </si>
  <si>
    <t>sale_mrp</t>
  </si>
  <si>
    <t>sale_mrp_margin</t>
  </si>
  <si>
    <t>sale_pdf_quote_builder</t>
  </si>
  <si>
    <t>To analyse(1:31)</t>
  </si>
  <si>
    <t>(Field: 16, XML: 10)</t>
  </si>
  <si>
    <t>sale_product_configurator</t>
  </si>
  <si>
    <t>sale_product_matrix</t>
  </si>
  <si>
    <t>sale_project</t>
  </si>
  <si>
    <t>(Field: 5, XML: 8)</t>
  </si>
  <si>
    <t>sale_project_stock</t>
  </si>
  <si>
    <t>sale_purchase</t>
  </si>
  <si>
    <t>sale_purchase_stock</t>
  </si>
  <si>
    <t>sale_quotation_builder</t>
  </si>
  <si>
    <t>Merged into sale_pdf_quote_builder</t>
  </si>
  <si>
    <t>sale_sms</t>
  </si>
  <si>
    <t>sale_stock</t>
  </si>
  <si>
    <t>sale_stock_margin</t>
  </si>
  <si>
    <t>sale_timesheet</t>
  </si>
  <si>
    <t>(Field: 4, XML: 6)</t>
  </si>
  <si>
    <t>sale_timesheet_margin</t>
  </si>
  <si>
    <t>sales_team</t>
  </si>
  <si>
    <t>sms</t>
  </si>
  <si>
    <t>(Model: 2, Field: 16, XML: 4)</t>
  </si>
  <si>
    <t>snailmail</t>
  </si>
  <si>
    <t>(Model: 1, Field: 3, XML: 1)</t>
  </si>
  <si>
    <t>snailmail_account</t>
  </si>
  <si>
    <t>(Model: 1, XML: 3)</t>
  </si>
  <si>
    <t>social_media</t>
  </si>
  <si>
    <t>spreadsheet</t>
  </si>
  <si>
    <t>(Model: 1, XML: 1)</t>
  </si>
  <si>
    <t>spreadsheet_account</t>
  </si>
  <si>
    <t>spreadsheet_dashboard</t>
  </si>
  <si>
    <t>(Model: 1, Field: 7, XML: 5)</t>
  </si>
  <si>
    <t>spreadsheet_dashboard_account</t>
  </si>
  <si>
    <t>spreadsheet_dashboard_event_sale</t>
  </si>
  <si>
    <t>spreadsheet_dashboard_hr_expense</t>
  </si>
  <si>
    <t>spreadsheet_dashboard_hr_timesheet</t>
  </si>
  <si>
    <t>spreadsheet_dashboard_im_livechat</t>
  </si>
  <si>
    <t>spreadsheet_dashboard_pos_hr</t>
  </si>
  <si>
    <t>spreadsheet_dashboard_purchase</t>
  </si>
  <si>
    <t>spreadsheet_dashboard_purchase_stock</t>
  </si>
  <si>
    <t>spreadsheet_dashboard_sale</t>
  </si>
  <si>
    <t>spreadsheet_dashboard_sale_expense</t>
  </si>
  <si>
    <t>Merged into spreadsheet_dashboard_hr_expense</t>
  </si>
  <si>
    <t>spreadsheet_dashboard_sale_timesheet</t>
  </si>
  <si>
    <t>spreadsheet_dashboard_stock_account</t>
  </si>
  <si>
    <t>spreadsheet_dashboard_website_sale_slides</t>
  </si>
  <si>
    <t>stock</t>
  </si>
  <si>
    <t>(Model: 7, Field: 60, XML: 42)</t>
  </si>
  <si>
    <t>stock_account</t>
  </si>
  <si>
    <t>(Field: 4, XML: 9)</t>
  </si>
  <si>
    <t>stock_dropshipping</t>
  </si>
  <si>
    <t>(Field: 1, XML: 3)</t>
  </si>
  <si>
    <t>stock_landed_costs</t>
  </si>
  <si>
    <t>stock_picking_batch</t>
  </si>
  <si>
    <t>(Field: 4, XML: 2)</t>
  </si>
  <si>
    <t>stock_sms</t>
  </si>
  <si>
    <t>survey</t>
  </si>
  <si>
    <t>(Field: 16, XML: 7)</t>
  </si>
  <si>
    <t>test_base_automation</t>
  </si>
  <si>
    <t>test_crm_full</t>
  </si>
  <si>
    <t>test_discuss_full</t>
  </si>
  <si>
    <t>test_event_full</t>
  </si>
  <si>
    <t>test_mail</t>
  </si>
  <si>
    <t>test_mail_full</t>
  </si>
  <si>
    <t>test_mail_sms</t>
  </si>
  <si>
    <t>test_mass_mailing</t>
  </si>
  <si>
    <t>test_resource</t>
  </si>
  <si>
    <t>test_sale_product_configurators</t>
  </si>
  <si>
    <t>test_website</t>
  </si>
  <si>
    <t>test_website_modules</t>
  </si>
  <si>
    <t>test_website_slides_full</t>
  </si>
  <si>
    <t>test_xlsx_export</t>
  </si>
  <si>
    <t>theme_default</t>
  </si>
  <si>
    <t>transifex</t>
  </si>
  <si>
    <t>uom</t>
  </si>
  <si>
    <t>utm</t>
  </si>
  <si>
    <t>web</t>
  </si>
  <si>
    <t>web_editor</t>
  </si>
  <si>
    <t>(Model: 1, XML: 2)</t>
  </si>
  <si>
    <t>web_kanban_gauge</t>
  </si>
  <si>
    <t>Merged into web</t>
  </si>
  <si>
    <t>web_tour</t>
  </si>
  <si>
    <t>web_unsplash</t>
  </si>
  <si>
    <t>website</t>
  </si>
  <si>
    <t>(Model: 1, Field: 15, XML: 338)</t>
  </si>
  <si>
    <t>website_blog</t>
  </si>
  <si>
    <t>(Field: 4, XML: 16)</t>
  </si>
  <si>
    <t>website_crm</t>
  </si>
  <si>
    <t>website_crm_iap_reveal</t>
  </si>
  <si>
    <t>website_crm_livechat</t>
  </si>
  <si>
    <t>website_crm_partner_assign</t>
  </si>
  <si>
    <t>website_crm_sms</t>
  </si>
  <si>
    <t>website_customer</t>
  </si>
  <si>
    <t>website_event</t>
  </si>
  <si>
    <t>(Field: 7, XML: 75)</t>
  </si>
  <si>
    <t>website_event_booth</t>
  </si>
  <si>
    <t>website_event_booth_exhibitor</t>
  </si>
  <si>
    <t>website_event_booth_sale</t>
  </si>
  <si>
    <t>website_event_booth_sale_exhibitor</t>
  </si>
  <si>
    <t>website_event_crm</t>
  </si>
  <si>
    <t>website_event_crm_questions</t>
  </si>
  <si>
    <t>Merged into website_event_crm</t>
  </si>
  <si>
    <t>website_event_exhibitor</t>
  </si>
  <si>
    <t>website_event_jitsi</t>
  </si>
  <si>
    <t>website_event_meet</t>
  </si>
  <si>
    <t>website_event_meet_quiz</t>
  </si>
  <si>
    <t>website_event_questions</t>
  </si>
  <si>
    <t>Merged into website_event</t>
  </si>
  <si>
    <t>website_event_sale</t>
  </si>
  <si>
    <t>website_event_track</t>
  </si>
  <si>
    <t>(Field: 4, XML: 14)</t>
  </si>
  <si>
    <t>website_event_track_live</t>
  </si>
  <si>
    <t>website_event_track_live_quiz</t>
  </si>
  <si>
    <t>website_event_track_quiz</t>
  </si>
  <si>
    <t>website_form_project</t>
  </si>
  <si>
    <t>website_forum</t>
  </si>
  <si>
    <t>(Field: 15, XML: 51)</t>
  </si>
  <si>
    <t>website_google_map</t>
  </si>
  <si>
    <t>website_hr_recruitment</t>
  </si>
  <si>
    <t>(Field: 1, XML: 8)</t>
  </si>
  <si>
    <t>website_jitsi</t>
  </si>
  <si>
    <t>website_links</t>
  </si>
  <si>
    <t>website_livechat</t>
  </si>
  <si>
    <t>website_mail</t>
  </si>
  <si>
    <t>website_mail_group</t>
  </si>
  <si>
    <t>website_mass_mailing</t>
  </si>
  <si>
    <t>website_mass_mailing_sms</t>
  </si>
  <si>
    <t>website_membership</t>
  </si>
  <si>
    <t>website_partner</t>
  </si>
  <si>
    <t>website_payment</t>
  </si>
  <si>
    <t>website_payment_authorize</t>
  </si>
  <si>
    <t>website_payment_paypal</t>
  </si>
  <si>
    <t>website_profile</t>
  </si>
  <si>
    <t>website_sale</t>
  </si>
  <si>
    <t>(Field: 18, XML: 127)</t>
  </si>
  <si>
    <t>website_sale_autocomplete</t>
  </si>
  <si>
    <t>website_sale_comparison</t>
  </si>
  <si>
    <t>website_sale_comparison_wishlist</t>
  </si>
  <si>
    <t>website_sale_delivery</t>
  </si>
  <si>
    <t>Merged into website_sale</t>
  </si>
  <si>
    <t>website_sale_delivery_mondialrelay</t>
  </si>
  <si>
    <t>Renamed into website_sale_mondialrelay</t>
  </si>
  <si>
    <t>website_sale_digital</t>
  </si>
  <si>
    <t>website_sale_loyalty</t>
  </si>
  <si>
    <t>website_sale_loyalty_delivery</t>
  </si>
  <si>
    <t>Merged into website_sale_loyalty</t>
  </si>
  <si>
    <t>website_sale_mondialrelay</t>
  </si>
  <si>
    <t>Renamed from website_sale_delivery_mondialrelay.(0:11)</t>
  </si>
  <si>
    <t>(XML: 9)</t>
  </si>
  <si>
    <t>website_sale_picking</t>
  </si>
  <si>
    <t>website_sale_product_configurator</t>
  </si>
  <si>
    <t>(XML: 8)</t>
  </si>
  <si>
    <t>website_sale_slides</t>
  </si>
  <si>
    <t>website_sale_stock</t>
  </si>
  <si>
    <t>website_sale_stock_product_configurator</t>
  </si>
  <si>
    <t>Merged into website_sale_product_configurator</t>
  </si>
  <si>
    <t>website_sale_stock_wishlist</t>
  </si>
  <si>
    <t>website_sale_wishlist</t>
  </si>
  <si>
    <t>website_slides</t>
  </si>
  <si>
    <t>(Field: 21, XML: 42)</t>
  </si>
  <si>
    <t>website_slides_forum</t>
  </si>
  <si>
    <t>website_slides_survey</t>
  </si>
  <si>
    <t>website_sms</t>
  </si>
  <si>
    <t>website_twitter</t>
  </si>
  <si>
    <t>16-17</t>
  </si>
  <si>
    <t>App</t>
  </si>
  <si>
    <t>Hours</t>
  </si>
  <si>
    <t>Mig</t>
  </si>
  <si>
    <t>Kolonneetiketter</t>
  </si>
  <si>
    <t>(tom)</t>
  </si>
  <si>
    <t>Totalsum</t>
  </si>
  <si>
    <t>Radetiketter</t>
  </si>
  <si>
    <t>Minutes</t>
  </si>
  <si>
    <t>Summer av Minutes</t>
  </si>
  <si>
    <t>To analyse(13:20)</t>
  </si>
  <si>
    <t>(Model: 11, Field: 134, XML: 99)</t>
  </si>
  <si>
    <t>account_audit_trail</t>
  </si>
  <si>
    <t>To analyse(0:41)</t>
  </si>
  <si>
    <t>(Field: 6, XML: 9)</t>
  </si>
  <si>
    <t>(Field: 3, XML: 1)</t>
  </si>
  <si>
    <t>account_payment_term</t>
  </si>
  <si>
    <t>account_peppol</t>
  </si>
  <si>
    <t>To analyse(1:26)</t>
  </si>
  <si>
    <t>(Model: 3, Field: 9, XML: 9)</t>
  </si>
  <si>
    <t>account_qr_code_emv</t>
  </si>
  <si>
    <t>(Model: 1, Field: 4)</t>
  </si>
  <si>
    <t>base</t>
  </si>
  <si>
    <t>(Model: 7, Field: 74, XML: 81)</t>
  </si>
  <si>
    <t>(Model: 1)</t>
  </si>
  <si>
    <t>(Field: 1, XML: 5)</t>
  </si>
  <si>
    <t>To analyse(0:50)</t>
  </si>
  <si>
    <t>(Field: 8)</t>
  </si>
  <si>
    <t>To analyse(3:52)</t>
  </si>
  <si>
    <t>(Model: 3, Field: 38, XML: 19)</t>
  </si>
  <si>
    <t>(Model: 1, Field: 2, XML: 3)</t>
  </si>
  <si>
    <t>(Field: 17, XML: 9)</t>
  </si>
  <si>
    <t>To analyse(1:00)</t>
  </si>
  <si>
    <t>(Model: 1, Field: 7, XML: 49)</t>
  </si>
  <si>
    <t>(Model: 1, Field: 14, XML: 6)</t>
  </si>
  <si>
    <t>To analyse(2:33)</t>
  </si>
  <si>
    <t>(Model: 1, Field: 26, XML: 30)</t>
  </si>
  <si>
    <t>(Field: 11, XML: 14)</t>
  </si>
  <si>
    <t>To analyse(4:27)</t>
  </si>
  <si>
    <t>(Model: 2, Field: 47, XML: 23)</t>
  </si>
  <si>
    <t>hr_homeworking</t>
  </si>
  <si>
    <t>(Model: 1, Field: 1, XML: 5)</t>
  </si>
  <si>
    <t>hr_livechat</t>
  </si>
  <si>
    <t>(Field: 2, XML: 10)</t>
  </si>
  <si>
    <t>To analyse(7:14)</t>
  </si>
  <si>
    <t>(Model: 3, Field: 78, XML: 43)</t>
  </si>
  <si>
    <t>(Model: 2, Field: 10, XML: 9)</t>
  </si>
  <si>
    <t>(Field: 2, XML: 31)</t>
  </si>
  <si>
    <t>(Field: 3, XML: 57)</t>
  </si>
  <si>
    <t>(Field: 3, XML: 22)</t>
  </si>
  <si>
    <t>To analyse(1:56)</t>
  </si>
  <si>
    <t>(Model: 2, Field: 17, XML: 5)</t>
  </si>
  <si>
    <t>Merged into mail_bot</t>
  </si>
  <si>
    <t>(XML: 174)</t>
  </si>
  <si>
    <t>l10n_anz_ubl_pint</t>
  </si>
  <si>
    <t>l10n_ar_pos</t>
  </si>
  <si>
    <t>l10n_ar_withholding</t>
  </si>
  <si>
    <t>To analyse(2:28)</t>
  </si>
  <si>
    <t>(Model: 3, Field: 21, XML: 32)</t>
  </si>
  <si>
    <t>(XML: 23)</t>
  </si>
  <si>
    <t>l10n_bd</t>
  </si>
  <si>
    <t>l10n_bf</t>
  </si>
  <si>
    <t>l10n_bh</t>
  </si>
  <si>
    <t>l10n_bj</t>
  </si>
  <si>
    <t>To analyse(19:15)</t>
  </si>
  <si>
    <t>(Model: 1, Field: 4, XML: 11151)</t>
  </si>
  <si>
    <t>l10n_br_pix</t>
  </si>
  <si>
    <t>Merged into l10n_br</t>
  </si>
  <si>
    <t>l10n_br_sales</t>
  </si>
  <si>
    <t>l10n_br_website_sale</t>
  </si>
  <si>
    <t>l10n_cd</t>
  </si>
  <si>
    <t>l10n_cf</t>
  </si>
  <si>
    <t>l10n_cg</t>
  </si>
  <si>
    <t>l10n_ci</t>
  </si>
  <si>
    <t>l10n_cm</t>
  </si>
  <si>
    <t>l10n_cy</t>
  </si>
  <si>
    <t>l10n_de_audit_trail</t>
  </si>
  <si>
    <t>To analyse(0:13)</t>
  </si>
  <si>
    <t>(XML: 30)</t>
  </si>
  <si>
    <t>l10n_dk_audit_trail</t>
  </si>
  <si>
    <t>Merged into l10n_dk</t>
  </si>
  <si>
    <t>l10n_dk_bookkeeping</t>
  </si>
  <si>
    <t>l10n_dk_oioubl</t>
  </si>
  <si>
    <t>l10n_ec_website_sale</t>
  </si>
  <si>
    <t>(Field: 1, XML: 69)</t>
  </si>
  <si>
    <t>l10n_es_edi_facturae</t>
  </si>
  <si>
    <t>To analyse(1:59)</t>
  </si>
  <si>
    <t>(Model: 3, Field: 15, XML: 39)</t>
  </si>
  <si>
    <t>l10n_es_edi_facturae_adm_centers</t>
  </si>
  <si>
    <t>Merged into l10n_es_edi_facturae</t>
  </si>
  <si>
    <t>l10n_es_edi_facturae_invoice_period</t>
  </si>
  <si>
    <t>(Model: 1, Field: 14, XML: 12)</t>
  </si>
  <si>
    <t>(Model: 1, Field: 18, XML: 13)</t>
  </si>
  <si>
    <t>l10n_es_edi_tbai_multi_refund</t>
  </si>
  <si>
    <t>Merged into l10n_es_edi_tbai</t>
  </si>
  <si>
    <t>l10n_es_edi_tbai_pos</t>
  </si>
  <si>
    <t>Renamed from l10n_es_pos_tbai.(0:20)</t>
  </si>
  <si>
    <t>l10n_es_modelo130</t>
  </si>
  <si>
    <t>l10n_es_pos</t>
  </si>
  <si>
    <t>l10n_es_pos_tbai</t>
  </si>
  <si>
    <t>Renamed into l10n_es_edi_tbai_pos</t>
  </si>
  <si>
    <t>To analyse(0:56)</t>
  </si>
  <si>
    <t>(Model: 1, Field: 2, XML: 264)</t>
  </si>
  <si>
    <t>l10n_fr_account</t>
  </si>
  <si>
    <t>To analyse(5:36)</t>
  </si>
  <si>
    <t>(Model: 1, Field: 2, XML: 3061)</t>
  </si>
  <si>
    <t>Merged into l10n_fr</t>
  </si>
  <si>
    <t>l10n_fr_hr_holidays</t>
  </si>
  <si>
    <t>l10n_fr_hr_work_entry_holidays</t>
  </si>
  <si>
    <t>Merged into l10n_fr_account</t>
  </si>
  <si>
    <t>l10n_ga</t>
  </si>
  <si>
    <t>l10n_gn</t>
  </si>
  <si>
    <t>l10n_gq</t>
  </si>
  <si>
    <t>l10n_gw</t>
  </si>
  <si>
    <t>l10n_hr_kuna</t>
  </si>
  <si>
    <t>l10n_hu_edi</t>
  </si>
  <si>
    <t>(Model: 1, Field: 11, XML: 4)</t>
  </si>
  <si>
    <t>(Model: 1, Field: 18, XML: 6)</t>
  </si>
  <si>
    <t>l10n_id_efaktur_coretax</t>
  </si>
  <si>
    <t>(Field: 5, XML: 105)</t>
  </si>
  <si>
    <t>l10n_in_ewaybill_stock</t>
  </si>
  <si>
    <t>l10n_in_withholding</t>
  </si>
  <si>
    <t>To analyse(1:30)</t>
  </si>
  <si>
    <t>(Model: 1, Field: 11, XML: 152)</t>
  </si>
  <si>
    <t>l10n_iq</t>
  </si>
  <si>
    <t>l10n_it_edi_ndd</t>
  </si>
  <si>
    <t>l10n_it_edi_sale</t>
  </si>
  <si>
    <t>l10n_jo</t>
  </si>
  <si>
    <t>l10n_jo_edi</t>
  </si>
  <si>
    <t>l10n_jp_ubl_pint</t>
  </si>
  <si>
    <t>(Field: 2, XML: 45)</t>
  </si>
  <si>
    <t>l10n_km</t>
  </si>
  <si>
    <t>l10n_kw</t>
  </si>
  <si>
    <t>l10n_kz</t>
  </si>
  <si>
    <t>To analyse(2:51)</t>
  </si>
  <si>
    <t>(Model: 2, Field: 28, XML: 8)</t>
  </si>
  <si>
    <t>l10n_lb_account</t>
  </si>
  <si>
    <t>(XML: 28)</t>
  </si>
  <si>
    <t>(XML: 31)</t>
  </si>
  <si>
    <t>l10n_ml</t>
  </si>
  <si>
    <t>l10n_mt</t>
  </si>
  <si>
    <t>l10n_mt_pos</t>
  </si>
  <si>
    <t>l10n_mu_account</t>
  </si>
  <si>
    <t>l10n_my_edi</t>
  </si>
  <si>
    <t>l10n_my_edi_extended</t>
  </si>
  <si>
    <t>l10n_my_ubl_pint</t>
  </si>
  <si>
    <t>l10n_ne</t>
  </si>
  <si>
    <t>l10n_ng</t>
  </si>
  <si>
    <t>l10n_pe_pos</t>
  </si>
  <si>
    <t>l10n_pe_website_sale</t>
  </si>
  <si>
    <t>l10n_qa</t>
  </si>
  <si>
    <t>l10n_ro_edi</t>
  </si>
  <si>
    <t>(Field: 5, XML: 21)</t>
  </si>
  <si>
    <t>l10n_ro_edi_stock</t>
  </si>
  <si>
    <t>l10n_ro_edi_stock_batch</t>
  </si>
  <si>
    <t>l10n_ro_efactura</t>
  </si>
  <si>
    <t>Merged into l10n_ro_edi</t>
  </si>
  <si>
    <t>l10n_rw</t>
  </si>
  <si>
    <t>(Field: 7)</t>
  </si>
  <si>
    <t>l10n_sg_ubl_pint</t>
  </si>
  <si>
    <t>l10n_sn</t>
  </si>
  <si>
    <t>l10n_td</t>
  </si>
  <si>
    <t>l10n_tg</t>
  </si>
  <si>
    <t>l10n_tn</t>
  </si>
  <si>
    <t>l10n_tr_nilvera</t>
  </si>
  <si>
    <t>l10n_tr_nilvera_einvoice</t>
  </si>
  <si>
    <t>l10n_tz_account</t>
  </si>
  <si>
    <t>l10n_ug</t>
  </si>
  <si>
    <t>(Field: 1, XML: 39)</t>
  </si>
  <si>
    <t>l10n_vn_edi_viettel</t>
  </si>
  <si>
    <t>l10n_zm_account</t>
  </si>
  <si>
    <t>(Model: 2, Field: 12, XML: 8)</t>
  </si>
  <si>
    <t>(Model: 7, Field: 34, XML: 52)</t>
  </si>
  <si>
    <t>(Field: 2, XML: 11)</t>
  </si>
  <si>
    <t>(Model: 1, Field: 12, XML: 6)</t>
  </si>
  <si>
    <t>To analyse(2:38)</t>
  </si>
  <si>
    <t>(Model: 2, Field: 25, XML: 26)</t>
  </si>
  <si>
    <t>(Model: 2, Field: 13, XML: 9)</t>
  </si>
  <si>
    <t>mrp_subcontracting_landed_costs</t>
  </si>
  <si>
    <t>Renamed from mrp_subonctracting_landed_costs.(0:10)</t>
  </si>
  <si>
    <t>Renamed into mrp_subcontracting_landed_costs</t>
  </si>
  <si>
    <t>(Field: 10, XML: 26)</t>
  </si>
  <si>
    <t>Merged into payment_worldline</t>
  </si>
  <si>
    <t>(Field: 7, XML: 3)</t>
  </si>
  <si>
    <t>payment_razorpay_oauth</t>
  </si>
  <si>
    <t>payment_worldline</t>
  </si>
  <si>
    <t>(Field: 12, XML: 4)</t>
  </si>
  <si>
    <t>payment_xendit</t>
  </si>
  <si>
    <t>To analyse(7:34)</t>
  </si>
  <si>
    <t>(Model: 5, Field: 78, XML: 45)</t>
  </si>
  <si>
    <t>(Model: 2, Field: 3, XML: 5)</t>
  </si>
  <si>
    <t>pos_mercado_pago</t>
  </si>
  <si>
    <t>pos_online_payment</t>
  </si>
  <si>
    <t>pos_online_payment_self_order</t>
  </si>
  <si>
    <t>pos_paytm</t>
  </si>
  <si>
    <t>pos_razorpay</t>
  </si>
  <si>
    <t>(Field: 7, XML: 1)</t>
  </si>
  <si>
    <t>(Field: 10, XML: 1)</t>
  </si>
  <si>
    <t>pos_restaurant_loyalty</t>
  </si>
  <si>
    <t>Merged into pos_sale</t>
  </si>
  <si>
    <t>pos_self_order</t>
  </si>
  <si>
    <t>(Field: 8, XML: 3)</t>
  </si>
  <si>
    <t>pos_self_order_adyen</t>
  </si>
  <si>
    <t>pos_self_order_epson_printer</t>
  </si>
  <si>
    <t>pos_self_order_sale</t>
  </si>
  <si>
    <t>pos_self_order_stripe</t>
  </si>
  <si>
    <t>pos_viva_wallet</t>
  </si>
  <si>
    <t>To analyse(4:07)</t>
  </si>
  <si>
    <t>(Model: 3, Field: 41, XML: 18)</t>
  </si>
  <si>
    <t>To analyse(0:59)</t>
  </si>
  <si>
    <t>(Model: 1, Field: 7, XML: 43)</t>
  </si>
  <si>
    <t>project_account</t>
  </si>
  <si>
    <t>To analyse(1:22)</t>
  </si>
  <si>
    <t>(Model: 2, Field: 10, XML: 16)</t>
  </si>
  <si>
    <t>(Model: 1, Field: 19, XML: 10)</t>
  </si>
  <si>
    <t>purchase_requisition_sale</t>
  </si>
  <si>
    <t>(Field: 6, XML: 2)</t>
  </si>
  <si>
    <t>(Model: 1, Field: 8, XML: 9)</t>
  </si>
  <si>
    <t>To analyse(1:38)</t>
  </si>
  <si>
    <t>(Field: 17, XML: 32)</t>
  </si>
  <si>
    <t>sale_async_emails</t>
  </si>
  <si>
    <t>To analyse(2:47)</t>
  </si>
  <si>
    <t>(Model: 2, Field: 27, XML: 17)</t>
  </si>
  <si>
    <t>Merged into sale</t>
  </si>
  <si>
    <t>(Field: 9, XML: 23)</t>
  </si>
  <si>
    <t>sale_service</t>
  </si>
  <si>
    <t>(Model: 2, XML: 20)</t>
  </si>
  <si>
    <t>(Model: 3, Field: 5, XML: 8)</t>
  </si>
  <si>
    <t>spreadsheet_dashboard_website_sale</t>
  </si>
  <si>
    <t>To analyse(4:19)</t>
  </si>
  <si>
    <t>(Model: 5, Field: 39, XML: 40)</t>
  </si>
  <si>
    <t>To analyse(1:11)</t>
  </si>
  <si>
    <t>(Field: 12, XML: 8)</t>
  </si>
  <si>
    <t>stock_delivery</t>
  </si>
  <si>
    <t>stock_landed_costs_company</t>
  </si>
  <si>
    <t>Merged into stock_landed_costs</t>
  </si>
  <si>
    <t>(Field: 9, XML: 7)</t>
  </si>
  <si>
    <t>(Field: 11, XML: 24)</t>
  </si>
  <si>
    <t>test_access_rights</t>
  </si>
  <si>
    <t>test_action_bindings</t>
  </si>
  <si>
    <t>test_apikeys</t>
  </si>
  <si>
    <t>test_assetsbundle</t>
  </si>
  <si>
    <t>test_auth_custom</t>
  </si>
  <si>
    <t>test_base_import</t>
  </si>
  <si>
    <t>test_convert</t>
  </si>
  <si>
    <t>test_converter</t>
  </si>
  <si>
    <t>test_data_module</t>
  </si>
  <si>
    <t>test_data_module_install</t>
  </si>
  <si>
    <t>test_exceptions</t>
  </si>
  <si>
    <t>test_html_field_history</t>
  </si>
  <si>
    <t>test_http</t>
  </si>
  <si>
    <t>test_impex</t>
  </si>
  <si>
    <t>test_inherit</t>
  </si>
  <si>
    <t>test_inherit_depends</t>
  </si>
  <si>
    <t>test_inherits</t>
  </si>
  <si>
    <t>test_inherits_depends</t>
  </si>
  <si>
    <t>test_limits</t>
  </si>
  <si>
    <t>test_lint</t>
  </si>
  <si>
    <t>test_main_flows</t>
  </si>
  <si>
    <t>test_mimetypes</t>
  </si>
  <si>
    <t>test_new_api</t>
  </si>
  <si>
    <t>test_performance</t>
  </si>
  <si>
    <t>test_populate</t>
  </si>
  <si>
    <t>test_read_group</t>
  </si>
  <si>
    <t>test_rpc</t>
  </si>
  <si>
    <t>test_search_panel</t>
  </si>
  <si>
    <t>test_spreadsheet</t>
  </si>
  <si>
    <t>test_testing_utilities</t>
  </si>
  <si>
    <t>test_translation_import</t>
  </si>
  <si>
    <t>test_uninstall</t>
  </si>
  <si>
    <t>(Field: 5, XML: 1)</t>
  </si>
  <si>
    <t>web_hierarchy</t>
  </si>
  <si>
    <t>(Model: 1, Field: 14, XML: 16)</t>
  </si>
  <si>
    <t>To analyse(1:57)</t>
  </si>
  <si>
    <t>(Model: 3, Field: 12, XML: 173)</t>
  </si>
  <si>
    <t>website_cf_turnstile</t>
  </si>
  <si>
    <t>To analyse(3:27)</t>
  </si>
  <si>
    <t>(Model: 3, Field: 33, XML: 21)</t>
  </si>
  <si>
    <t>Renamed into website_project</t>
  </si>
  <si>
    <t>website_project</t>
  </si>
  <si>
    <t>Renamed from website_form_project.(0:31)</t>
  </si>
  <si>
    <t>(Field: 16, XML: 42)</t>
  </si>
  <si>
    <t>website_sale_collect</t>
  </si>
  <si>
    <t>Renamed from website_sale_picking.(0:37)</t>
  </si>
  <si>
    <t>Renamed into website_sale_collect</t>
  </si>
  <si>
    <t>17-18</t>
  </si>
  <si>
    <t>Weight</t>
  </si>
  <si>
    <t>Units</t>
  </si>
  <si>
    <t>Weight (EUR/minute)</t>
  </si>
  <si>
    <t>html_editor</t>
  </si>
  <si>
    <t>resource_mail</t>
  </si>
  <si>
    <t>calendar,contact,hr,sale_management</t>
  </si>
  <si>
    <t>hr_calendar</t>
  </si>
  <si>
    <t>sale_edi_ubl</t>
  </si>
  <si>
    <t>apps in use</t>
  </si>
  <si>
    <t>Technical Name</t>
  </si>
  <si>
    <t>event_product</t>
  </si>
  <si>
    <t>hr_holidays_contract</t>
  </si>
  <si>
    <t>pos_event</t>
  </si>
  <si>
    <t>pos_sms</t>
  </si>
  <si>
    <t>project_hr_skills</t>
  </si>
  <si>
    <t>project_purchase_stock</t>
  </si>
  <si>
    <t>project_stock</t>
  </si>
  <si>
    <t>project_stock_account</t>
  </si>
  <si>
    <t>purchase_edi_ubl_bis3</t>
  </si>
  <si>
    <t>sale_project_stock_account</t>
  </si>
  <si>
    <t>sale_purchase_project</t>
  </si>
  <si>
    <t>base.group_user</t>
  </si>
  <si>
    <t>User Group</t>
  </si>
  <si>
    <t>marketing_card</t>
  </si>
  <si>
    <t>project_mrp_account</t>
  </si>
  <si>
    <t>project_mrp_sale</t>
  </si>
  <si>
    <t>purchase_repair</t>
  </si>
  <si>
    <t>spreadsheet_dashboard_pos_restaurant</t>
  </si>
  <si>
    <t>website_sale_mass_mailing</t>
  </si>
  <si>
    <t>apps</t>
  </si>
  <si>
    <t>mrp_workorder</t>
  </si>
  <si>
    <t>accountant</t>
  </si>
  <si>
    <t>knowledge</t>
  </si>
  <si>
    <t>timesheet_grid</t>
  </si>
  <si>
    <t>web_studio</t>
  </si>
  <si>
    <t>industry_fsm</t>
  </si>
  <si>
    <t>sign</t>
  </si>
  <si>
    <t>helpdesk</t>
  </si>
  <si>
    <t>sale_subscription</t>
  </si>
  <si>
    <t>quality_control</t>
  </si>
  <si>
    <t>planning</t>
  </si>
  <si>
    <t>mrp_plm</t>
  </si>
  <si>
    <t>social</t>
  </si>
  <si>
    <t>hr_appraisal</t>
  </si>
  <si>
    <t>marketing_automation</t>
  </si>
  <si>
    <t>pos_pine_labs</t>
  </si>
  <si>
    <t>auth_passkey</t>
  </si>
  <si>
    <t>certificate</t>
  </si>
  <si>
    <t>cloud_storage</t>
  </si>
  <si>
    <t>cloud_storage_azure</t>
  </si>
  <si>
    <t>cloud_storage_google</t>
  </si>
  <si>
    <t>hr_homeworking_calendar</t>
  </si>
  <si>
    <t>l10n_be_pos_restaurant</t>
  </si>
  <si>
    <t>l10n_bg_ledger</t>
  </si>
  <si>
    <t>l10n_id_pos</t>
  </si>
  <si>
    <t>l10n_in_gstin_status</t>
  </si>
  <si>
    <t>l10n_in_hr_holidays</t>
  </si>
  <si>
    <t>l10n_in_withholding_payment</t>
  </si>
  <si>
    <t>l10n_kr</t>
  </si>
  <si>
    <t>l10n_mc</t>
  </si>
  <si>
    <t>l10n_rs_edi</t>
  </si>
  <si>
    <t>l10n_us_account</t>
  </si>
  <si>
    <t>pos_account_tax_python</t>
  </si>
  <si>
    <t>pos_self_order_razorpay</t>
  </si>
  <si>
    <t>project_mrp_stock_landed_costs</t>
  </si>
  <si>
    <t>project_stock_landed_costs</t>
  </si>
  <si>
    <t>sale_gelato</t>
  </si>
  <si>
    <t>sale_gelato_stock</t>
  </si>
  <si>
    <t>stock_fleet</t>
  </si>
  <si>
    <t>test_hr_contract_calendar</t>
  </si>
  <si>
    <t>test_sale_purchase_edi_ubl</t>
  </si>
  <si>
    <t>website_sale_gelato</t>
  </si>
  <si>
    <t>payment_nuvei</t>
  </si>
  <si>
    <t>test_import_export</t>
  </si>
  <si>
    <t>l10n_test_pos_qr_payment</t>
  </si>
  <si>
    <t>    Add a line break between numbers and letters in the given text.</t>
  </si>
  <si>
    <t>    """</t>
  </si>
  <si>
    <t>    Convert each line of the output text to CSV format.</t>
  </si>
  <si>
    <t># Example usage</t>
  </si>
  <si>
    <t>import re</t>
  </si>
  <si>
    <t>def add_line_breaks(text):</t>
  </si>
  <si>
    <t>    return re.sub(r'(\d)([a-zA-Z])', r'\1\n\2', text)</t>
  </si>
  <si>
    <t>def convert_to_csv(output_text):</t>
  </si>
  <si>
    <t>    lines = output_text.strip().split("\n")</t>
  </si>
  <si>
    <t>    csv_lines = []</t>
  </si>
  <si>
    <t>    for line in lines:</t>
  </si>
  <si>
    <t>        parts = re.split(r'\s{2,}', line.strip())</t>
  </si>
  <si>
    <t>        csv_lines.append(",".join(parts))</t>
  </si>
  <si>
    <t>    return "\n".join(csv_lines)</t>
  </si>
  <si>
    <t>if __name__ == "__main__":</t>
  </si>
  <si>
    <t>    output_text = add_line_breaks(input_text)</t>
  </si>
  <si>
    <t>    csv_output = convert_to_csv(output_text)</t>
  </si>
  <si>
    <t>    print(csv_output)</t>
  </si>
  <si>
    <t>    input_text = """Odoo cloc                                                  Line   Other    Code-------------------------------------------------------------------------------account                                                   49806   13020   36786"""</t>
  </si>
  <si>
    <t>Odoo cloc</t>
  </si>
  <si>
    <t>Line</t>
  </si>
  <si>
    <t>Other</t>
  </si>
  <si>
    <t>Code</t>
  </si>
  <si>
    <t>base_app</t>
  </si>
  <si>
    <t>Data - Text to Columns</t>
  </si>
  <si>
    <t>Python</t>
  </si>
  <si>
    <t>python odoo-bin cloc -c ../odoo.conf -d o18-mini2</t>
  </si>
  <si>
    <t>base_display_name</t>
  </si>
  <si>
    <t>base_unique_code</t>
  </si>
  <si>
    <t>crm_unique_code</t>
  </si>
  <si>
    <t>dms</t>
  </si>
  <si>
    <t>dms_attachment_link</t>
  </si>
  <si>
    <t>dms_user_role</t>
  </si>
  <si>
    <t>product_unique_code</t>
  </si>
  <si>
    <t>project_parent</t>
  </si>
  <si>
    <t>project_role</t>
  </si>
  <si>
    <t>project_sequence</t>
  </si>
  <si>
    <t>project_tag_hierarchy</t>
  </si>
  <si>
    <t>project_tag_multicompany</t>
  </si>
  <si>
    <t>project_task_default_stage</t>
  </si>
  <si>
    <t>project_task_stage_state</t>
  </si>
  <si>
    <t>project_timesheet_time_control</t>
  </si>
  <si>
    <t>project_type</t>
  </si>
  <si>
    <t>project_unique_code</t>
  </si>
  <si>
    <t>sequence_choice</t>
  </si>
  <si>
    <t>Exists in Apps</t>
  </si>
  <si>
    <t>odoo</t>
  </si>
  <si>
    <t>OCA</t>
  </si>
  <si>
    <t>EUR</t>
  </si>
  <si>
    <t>EUR (analysis)</t>
  </si>
  <si>
    <t>EUR (cloc)</t>
  </si>
  <si>
    <t>EUR/Unit</t>
  </si>
  <si>
    <t>EUR (manual)</t>
  </si>
  <si>
    <t>Weight (EUR/minute) - not in 16-17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</si>
</sst>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20" fontId="3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0" fontId="5" fillId="0" borderId="0" xfId="0" applyFont="1"/>
    <xf numFmtId="0" fontId="0" fillId="6" borderId="0" xfId="0" applyFill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20" fontId="3" fillId="0" borderId="2" xfId="0" applyNumberFormat="1" applyFont="1" applyBorder="1" applyAlignment="1">
      <alignment vertical="center" wrapText="1"/>
    </xf>
    <xf numFmtId="20" fontId="3" fillId="0" borderId="3" xfId="0" applyNumberFormat="1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Font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0" fillId="7" borderId="0" xfId="0" applyFill="1" applyAlignment="1">
      <alignment wrapText="1"/>
    </xf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k Norlin" refreshedDate="45777.523508564816" createdVersion="8" refreshedVersion="8" minRefreshableVersion="3" recordCount="1539" xr:uid="{8E9DE025-CE1C-470A-8CD4-885076F1AEA7}">
  <cacheSource type="worksheet">
    <worksheetSource ref="A1:D1048576" sheet="Analysis"/>
  </cacheSource>
  <cacheFields count="4">
    <cacheField name="Mig" numFmtId="0">
      <sharedItems containsBlank="1" count="3">
        <s v="16-17"/>
        <m/>
        <s v="17-18"/>
      </sharedItems>
    </cacheField>
    <cacheField name="Minutes" numFmtId="0">
      <sharedItems containsString="0" containsBlank="1" containsNumber="1" minValue="0" maxValue="1155"/>
    </cacheField>
    <cacheField name="App" numFmtId="0">
      <sharedItems containsBlank="1" count="629">
        <s v="account"/>
        <m/>
        <s v="account_check_printing"/>
        <s v="account_debit_note"/>
        <s v="account_edi"/>
        <s v="account_edi_proxy_client"/>
        <s v="account_edi_ubl_cii"/>
        <s v="account_edi_ubl_cii_tax_extension"/>
        <s v="account_fleet"/>
        <s v="account_lock"/>
        <s v="account_payment"/>
        <s v="account_payment_invoice_online_payment_patch"/>
        <s v="account_qr_code_sepa"/>
        <s v="account_sequence"/>
        <s v="account_tax_python"/>
        <s v="account_test"/>
        <s v="account_update_tax_tags"/>
        <s v="analytic"/>
        <s v="association"/>
        <s v="attachment_indexation"/>
        <s v="auth_ldap"/>
        <s v="auth_oauth"/>
        <s v="auth_password_policy"/>
        <s v="auth_password_policy_portal"/>
        <s v="auth_password_policy_signup"/>
        <s v="auth_signup"/>
        <s v="auth_totp"/>
        <s v="auth_totp_mail"/>
        <s v="auth_totp_mail_enforce"/>
        <s v="auth_totp_portal"/>
        <s v="barcodes"/>
        <s v="barcodes_gs1_nomenclature"/>
        <s v="base_address_extended"/>
        <s v="base_automation"/>
        <s v="base_geolocalize"/>
        <s v="base_iban"/>
        <s v="base_import"/>
        <s v="base_import_module"/>
        <s v="base_install_request"/>
        <s v="base_setup"/>
        <s v="base_sparse_field"/>
        <s v="base_vat"/>
        <s v="board"/>
        <s v="bus"/>
        <s v="calendar"/>
        <s v="calendar_sms"/>
        <s v="contacts"/>
        <s v="crm"/>
        <s v="crm_iap_enrich"/>
        <s v="crm_iap_mine"/>
        <s v="crm_livechat"/>
        <s v="crm_mail_plugin"/>
        <s v="crm_sms"/>
        <s v="data_recycle"/>
        <s v="delivery"/>
        <s v="delivery_mondialrelay"/>
        <s v="delivery_stock_picking_batch"/>
        <s v="digest"/>
        <s v="event"/>
        <s v="event_booth"/>
        <s v="event_booth_sale"/>
        <s v="event_crm"/>
        <s v="event_crm_sale"/>
        <s v="event_sale"/>
        <s v="event_sms"/>
        <s v="fleet"/>
        <s v="gamification"/>
        <s v="gamification_sale_crm"/>
        <s v="google_account"/>
        <s v="google_calendar"/>
        <s v="google_gmail"/>
        <s v="google_recaptcha"/>
        <s v="hr"/>
        <s v="hr_attendance"/>
        <s v="hr_contract"/>
        <s v="hr_expense"/>
        <s v="hr_fleet"/>
        <s v="hr_gamification"/>
        <s v="hr_holidays"/>
        <s v="hr_holidays_attendance"/>
        <s v="hr_hourly_cost"/>
        <s v="hr_maintenance"/>
        <s v="hr_org_chart"/>
        <s v="hr_presence"/>
        <s v="hr_recruitment"/>
        <s v="hr_recruitment_skills"/>
        <s v="hr_recruitment_survey"/>
        <s v="hr_skills"/>
        <s v="hr_skills_slides"/>
        <s v="hr_skills_survey"/>
        <s v="hr_timesheet"/>
        <s v="hr_timesheet_attendance"/>
        <s v="hr_work_entry"/>
        <s v="hr_work_entry_contract"/>
        <s v="hr_work_entry_holidays"/>
        <s v="http_routing"/>
        <s v="hw_drivers"/>
        <s v="hw_escpos"/>
        <s v="hw_posbox_homepage"/>
        <s v="iap"/>
        <s v="iap_crm"/>
        <s v="iap_mail"/>
        <s v="im_livechat"/>
        <s v="im_livechat_mail_bot"/>
        <s v="l10n_account_edi_ubl_cii_tests"/>
        <s v="l10n_ae"/>
        <s v="l10n_ae_pos"/>
        <s v="l10n_ar"/>
        <s v="l10n_ar_website_sale"/>
        <s v="l10n_at"/>
        <s v="l10n_au"/>
        <s v="l10n_be"/>
        <s v="l10n_be_pos_sale"/>
        <s v="l10n_bg"/>
        <s v="l10n_bo"/>
        <s v="l10n_br"/>
        <s v="l10n_ca"/>
        <s v="l10n_ch"/>
        <s v="l10n_ch_pos"/>
        <s v="l10n_cl"/>
        <s v="l10n_cn"/>
        <s v="l10n_cn_city"/>
        <s v="l10n_co"/>
        <s v="l10n_co_pos"/>
        <s v="l10n_cr"/>
        <s v="l10n_cz"/>
        <s v="l10n_de"/>
        <s v="l10n_de_skr03"/>
        <s v="l10n_de_skr04"/>
        <s v="l10n_din5008"/>
        <s v="l10n_din5008_purchase"/>
        <s v="l10n_din5008_repair"/>
        <s v="l10n_din5008_sale"/>
        <s v="l10n_din5008_stock"/>
        <s v="l10n_dk"/>
        <s v="l10n_do"/>
        <s v="l10n_dz"/>
        <s v="l10n_ec"/>
        <s v="l10n_ec_stock"/>
        <s v="l10n_ee"/>
        <s v="l10n_eg"/>
        <s v="l10n_eg_edi_eta"/>
        <s v="l10n_es"/>
        <s v="l10n_es_edi_sii"/>
        <s v="l10n_es_edi_tbai"/>
        <s v="l10n_et"/>
        <s v="l10n_eu_oss"/>
        <s v="l10n_fi"/>
        <s v="l10n_fi_sale"/>
        <s v="l10n_fr"/>
        <s v="l10n_fr_facturx_chorus_pro"/>
        <s v="l10n_fr_fec"/>
        <s v="l10n_fr_invoice_addr"/>
        <s v="l10n_fr_pos_cert"/>
        <s v="l10n_gcc_invoice"/>
        <s v="l10n_gcc_invoice_stock_account"/>
        <s v="l10n_gcc_pos"/>
        <s v="l10n_generic_coa"/>
        <s v="l10n_gr"/>
        <s v="l10n_gt"/>
        <s v="l10n_hk"/>
        <s v="l10n_hn"/>
        <s v="l10n_hr"/>
        <s v="l10n_hr_euro"/>
        <s v="l10n_hu"/>
        <s v="l10n_id"/>
        <s v="l10n_id_efaktur"/>
        <s v="l10n_ie"/>
        <s v="l10n_il"/>
        <s v="l10n_in"/>
        <s v="l10n_in_edi"/>
        <s v="l10n_in_edi_ewaybill"/>
        <s v="l10n_in_pos"/>
        <s v="l10n_in_purchase"/>
        <s v="l10n_in_purchase_stock"/>
        <s v="l10n_in_sale"/>
        <s v="l10n_in_sale_stock"/>
        <s v="l10n_in_stock"/>
        <s v="l10n_in_tcs_tds"/>
        <s v="l10n_in_upi"/>
        <s v="l10n_it"/>
        <s v="l10n_it_edi"/>
        <s v="l10n_it_edi_doi"/>
        <s v="l10n_it_edi_pa"/>
        <s v="l10n_it_edi_website_sale"/>
        <s v="l10n_it_edi_withholding"/>
        <s v="l10n_it_stock_ddt"/>
        <s v="l10n_jp"/>
        <s v="l10n_ke"/>
        <s v="l10n_ke_edi_tremol"/>
        <s v="l10n_latam_account_sequence"/>
        <s v="l10n_latam_base"/>
        <s v="l10n_latam_check"/>
        <s v="l10n_latam_invoice_document"/>
        <s v="l10n_lt"/>
        <s v="l10n_lu"/>
        <s v="l10n_lu_peppol_id"/>
        <s v="l10n_lv"/>
        <s v="l10n_ma"/>
        <s v="l10n_mn"/>
        <s v="l10n_multilang"/>
        <s v="l10n_mx"/>
        <s v="l10n_mx_hr"/>
        <s v="l10n_my"/>
        <s v="l10n_mz"/>
        <s v="l10n_nl"/>
        <s v="l10n_no"/>
        <s v="l10n_nz"/>
        <s v="l10n_pa"/>
        <s v="l10n_pe"/>
        <s v="l10n_ph"/>
        <s v="l10n_pk"/>
        <s v="l10n_pl"/>
        <s v="l10n_pl_jpk"/>
        <s v="l10n_pl_sale_stock"/>
        <s v="l10n_pt"/>
        <s v="l10n_ro"/>
        <s v="l10n_rs"/>
        <s v="l10n_sa"/>
        <s v="l10n_sa_edi"/>
        <s v="l10n_sa_edi_pos"/>
        <s v="l10n_sa_pos"/>
        <s v="l10n_se"/>
        <s v="l10n_sg"/>
        <s v="l10n_si"/>
        <s v="l10n_sk"/>
        <s v="l10n_syscohada"/>
        <s v="l10n_th"/>
        <s v="l10n_tr"/>
        <s v="l10n_tw"/>
        <s v="l10n_ua"/>
        <s v="l10n_uk"/>
        <s v="l10n_us"/>
        <s v="l10n_uy"/>
        <s v="l10n_ve"/>
        <s v="l10n_vn"/>
        <s v="l10n_za"/>
        <s v="link_tracker"/>
        <s v="loyalty"/>
        <s v="loyalty_delivery"/>
        <s v="lunch"/>
        <s v="mail"/>
        <s v="mail_bot"/>
        <s v="mail_bot_hr"/>
        <s v="mail_group"/>
        <s v="mail_plugin"/>
        <s v="maintenance"/>
        <s v="mass_mailing"/>
        <s v="mass_mailing_crm"/>
        <s v="mass_mailing_crm_sms"/>
        <s v="mass_mailing_event"/>
        <s v="mass_mailing_event_sms"/>
        <s v="mass_mailing_event_track"/>
        <s v="mass_mailing_event_track_sms"/>
        <s v="mass_mailing_sale"/>
        <s v="mass_mailing_sale_sms"/>
        <s v="mass_mailing_slides"/>
        <s v="mass_mailing_sms"/>
        <s v="mass_mailing_themes"/>
        <s v="membership"/>
        <s v="microsoft_account"/>
        <s v="microsoft_calendar"/>
        <s v="microsoft_outlook"/>
        <s v="mrp"/>
        <s v="mrp_account"/>
        <s v="mrp_landed_costs"/>
        <s v="mrp_product_expiry"/>
        <s v="mrp_repair"/>
        <s v="mrp_subcontracting"/>
        <s v="mrp_subcontracting_account"/>
        <s v="mrp_subcontracting_dropshipping"/>
        <s v="mrp_subcontracting_purchase"/>
        <s v="mrp_subcontracting_repair"/>
        <s v="mrp_subonctracting_landed_costs"/>
        <s v="note"/>
        <s v="onboarding"/>
        <s v="partner_autocomplete"/>
        <s v="payment"/>
        <s v="payment_adyen"/>
        <s v="payment_alipay"/>
        <s v="payment_aps"/>
        <s v="payment_asiapay"/>
        <s v="payment_authorize"/>
        <s v="payment_buckaroo"/>
        <s v="payment_custom"/>
        <s v="payment_demo"/>
        <s v="payment_flutterwave"/>
        <s v="payment_mercado_pago"/>
        <s v="payment_mollie"/>
        <s v="payment_ogone"/>
        <s v="payment_paypal"/>
        <s v="payment_payulatam"/>
        <s v="payment_payumoney"/>
        <s v="payment_razorpay"/>
        <s v="payment_sips"/>
        <s v="payment_stripe"/>
        <s v="phone_validation"/>
        <s v="point_of_sale"/>
        <s v="portal"/>
        <s v="portal_rating"/>
        <s v="pos_adyen"/>
        <s v="pos_cache"/>
        <s v="pos_daily_sales_reports"/>
        <s v="pos_discount"/>
        <s v="pos_epson_printer"/>
        <s v="pos_epson_printer_restaurant"/>
        <s v="pos_hr"/>
        <s v="pos_hr_restaurant"/>
        <s v="pos_loyalty"/>
        <s v="pos_mercury"/>
        <s v="pos_mrp"/>
        <s v="pos_restaurant"/>
        <s v="pos_restaurant_adyen"/>
        <s v="pos_restaurant_stripe"/>
        <s v="pos_sale"/>
        <s v="pos_sale_loyalty"/>
        <s v="pos_sale_margin"/>
        <s v="pos_sale_product_configurator"/>
        <s v="pos_six"/>
        <s v="pos_stripe"/>
        <s v="privacy_lookup"/>
        <s v="product"/>
        <s v="product_email_template"/>
        <s v="product_expiry"/>
        <s v="product_images"/>
        <s v="product_margin"/>
        <s v="product_matrix"/>
        <s v="project"/>
        <s v="project_hr_expense"/>
        <s v="project_mail_plugin"/>
        <s v="project_mrp"/>
        <s v="project_purchase"/>
        <s v="project_sale_expense"/>
        <s v="project_sms"/>
        <s v="project_timesheet_holidays"/>
        <s v="project_todo"/>
        <s v="purchase"/>
        <s v="purchase_mrp"/>
        <s v="purchase_price_diff"/>
        <s v="purchase_product_matrix"/>
        <s v="purchase_requisition"/>
        <s v="purchase_requisition_stock"/>
        <s v="purchase_stock"/>
        <s v="rating"/>
        <s v="repair"/>
        <s v="resource"/>
        <s v="sale"/>
        <s v="sale_crm"/>
        <s v="sale_expense"/>
        <s v="sale_expense_margin"/>
        <s v="sale_loyalty"/>
        <s v="sale_loyalty_delivery"/>
        <s v="sale_management"/>
        <s v="sale_margin"/>
        <s v="sale_mrp"/>
        <s v="sale_mrp_margin"/>
        <s v="sale_pdf_quote_builder"/>
        <s v="sale_product_configurator"/>
        <s v="sale_product_matrix"/>
        <s v="sale_project"/>
        <s v="sale_project_stock"/>
        <s v="sale_purchase"/>
        <s v="sale_purchase_stock"/>
        <s v="sale_quotation_builder"/>
        <s v="sale_sms"/>
        <s v="sale_stock"/>
        <s v="sale_stock_margin"/>
        <s v="sale_timesheet"/>
        <s v="sale_timesheet_margin"/>
        <s v="sales_team"/>
        <s v="sms"/>
        <s v="snailmail"/>
        <s v="snailmail_account"/>
        <s v="social_media"/>
        <s v="spreadsheet"/>
        <s v="spreadsheet_account"/>
        <s v="spreadsheet_dashboard"/>
        <s v="spreadsheet_dashboard_account"/>
        <s v="spreadsheet_dashboard_event_sale"/>
        <s v="spreadsheet_dashboard_hr_expense"/>
        <s v="spreadsheet_dashboard_hr_timesheet"/>
        <s v="spreadsheet_dashboard_im_livechat"/>
        <s v="spreadsheet_dashboard_pos_hr"/>
        <s v="spreadsheet_dashboard_purchase"/>
        <s v="spreadsheet_dashboard_purchase_stock"/>
        <s v="spreadsheet_dashboard_sale"/>
        <s v="spreadsheet_dashboard_sale_expense"/>
        <s v="spreadsheet_dashboard_sale_timesheet"/>
        <s v="spreadsheet_dashboard_stock_account"/>
        <s v="spreadsheet_dashboard_website_sale_slides"/>
        <s v="stock"/>
        <s v="stock_account"/>
        <s v="stock_dropshipping"/>
        <s v="stock_landed_costs"/>
        <s v="stock_picking_batch"/>
        <s v="stock_sms"/>
        <s v="survey"/>
        <s v="test_base_automation"/>
        <s v="test_crm_full"/>
        <s v="test_discuss_full"/>
        <s v="test_event_full"/>
        <s v="test_mail"/>
        <s v="test_mail_full"/>
        <s v="test_mail_sms"/>
        <s v="test_mass_mailing"/>
        <s v="test_resource"/>
        <s v="test_sale_product_configurators"/>
        <s v="test_website"/>
        <s v="test_website_modules"/>
        <s v="test_website_slides_full"/>
        <s v="test_xlsx_export"/>
        <s v="theme_default"/>
        <s v="transifex"/>
        <s v="uom"/>
        <s v="utm"/>
        <s v="web"/>
        <s v="web_editor"/>
        <s v="web_kanban_gauge"/>
        <s v="web_tour"/>
        <s v="web_unsplash"/>
        <s v="website"/>
        <s v="website_blog"/>
        <s v="website_crm"/>
        <s v="website_crm_iap_reveal"/>
        <s v="website_crm_livechat"/>
        <s v="website_crm_partner_assign"/>
        <s v="website_crm_sms"/>
        <s v="website_customer"/>
        <s v="website_event"/>
        <s v="website_event_booth"/>
        <s v="website_event_booth_exhibitor"/>
        <s v="website_event_booth_sale"/>
        <s v="website_event_booth_sale_exhibitor"/>
        <s v="website_event_crm"/>
        <s v="website_event_crm_questions"/>
        <s v="website_event_exhibitor"/>
        <s v="website_event_jitsi"/>
        <s v="website_event_meet"/>
        <s v="website_event_meet_quiz"/>
        <s v="website_event_questions"/>
        <s v="website_event_sale"/>
        <s v="website_event_track"/>
        <s v="website_event_track_live"/>
        <s v="website_event_track_live_quiz"/>
        <s v="website_event_track_quiz"/>
        <s v="website_form_project"/>
        <s v="website_forum"/>
        <s v="website_google_map"/>
        <s v="website_hr_recruitment"/>
        <s v="website_jitsi"/>
        <s v="website_links"/>
        <s v="website_livechat"/>
        <s v="website_mail"/>
        <s v="website_mail_group"/>
        <s v="website_mass_mailing"/>
        <s v="website_mass_mailing_sms"/>
        <s v="website_membership"/>
        <s v="website_partner"/>
        <s v="website_payment"/>
        <s v="website_payment_authorize"/>
        <s v="website_payment_paypal"/>
        <s v="website_profile"/>
        <s v="website_sale"/>
        <s v="website_sale_autocomplete"/>
        <s v="website_sale_comparison"/>
        <s v="website_sale_comparison_wishlist"/>
        <s v="website_sale_delivery"/>
        <s v="website_sale_delivery_mondialrelay"/>
        <s v="website_sale_digital"/>
        <s v="website_sale_loyalty"/>
        <s v="website_sale_loyalty_delivery"/>
        <s v="website_sale_mondialrelay"/>
        <s v="website_sale_picking"/>
        <s v="website_sale_product_configurator"/>
        <s v="website_sale_slides"/>
        <s v="website_sale_stock"/>
        <s v="website_sale_stock_product_configurator"/>
        <s v="website_sale_stock_wishlist"/>
        <s v="website_sale_wishlist"/>
        <s v="website_slides"/>
        <s v="website_slides_forum"/>
        <s v="website_slides_survey"/>
        <s v="website_sms"/>
        <s v="website_twitter"/>
        <s v="account_audit_trail"/>
        <s v="account_payment_term"/>
        <s v="account_peppol"/>
        <s v="account_qr_code_emv"/>
        <s v="base"/>
        <s v="hr_homeworking"/>
        <s v="hr_livechat"/>
        <s v="l10n_anz_ubl_pint"/>
        <s v="l10n_ar_pos"/>
        <s v="l10n_ar_withholding"/>
        <s v="l10n_bd"/>
        <s v="l10n_bf"/>
        <s v="l10n_bh"/>
        <s v="l10n_bj"/>
        <s v="l10n_br_pix"/>
        <s v="l10n_br_sales"/>
        <s v="l10n_br_website_sale"/>
        <s v="l10n_cd"/>
        <s v="l10n_cf"/>
        <s v="l10n_cg"/>
        <s v="l10n_ci"/>
        <s v="l10n_cm"/>
        <s v="l10n_cy"/>
        <s v="l10n_de_audit_trail"/>
        <s v="l10n_dk_audit_trail"/>
        <s v="l10n_dk_bookkeeping"/>
        <s v="l10n_dk_oioubl"/>
        <s v="l10n_ec_website_sale"/>
        <s v="l10n_es_edi_facturae"/>
        <s v="l10n_es_edi_facturae_adm_centers"/>
        <s v="l10n_es_edi_facturae_invoice_period"/>
        <s v="l10n_es_edi_tbai_multi_refund"/>
        <s v="l10n_es_edi_tbai_pos"/>
        <s v="l10n_es_modelo130"/>
        <s v="l10n_es_pos"/>
        <s v="l10n_es_pos_tbai"/>
        <s v="l10n_fr_account"/>
        <s v="l10n_fr_hr_holidays"/>
        <s v="l10n_fr_hr_work_entry_holidays"/>
        <s v="l10n_ga"/>
        <s v="l10n_gn"/>
        <s v="l10n_gq"/>
        <s v="l10n_gw"/>
        <s v="l10n_hr_kuna"/>
        <s v="l10n_hu_edi"/>
        <s v="l10n_id_efaktur_coretax"/>
        <s v="l10n_in_ewaybill_stock"/>
        <s v="l10n_in_withholding"/>
        <s v="l10n_iq"/>
        <s v="l10n_it_edi_ndd"/>
        <s v="l10n_it_edi_sale"/>
        <s v="l10n_jo"/>
        <s v="l10n_jo_edi"/>
        <s v="l10n_jp_ubl_pint"/>
        <s v="l10n_km"/>
        <s v="l10n_kw"/>
        <s v="l10n_kz"/>
        <s v="l10n_lb_account"/>
        <s v="l10n_ml"/>
        <s v="l10n_mt"/>
        <s v="l10n_mt_pos"/>
        <s v="l10n_mu_account"/>
        <s v="l10n_my_edi"/>
        <s v="l10n_my_edi_extended"/>
        <s v="l10n_my_ubl_pint"/>
        <s v="l10n_ne"/>
        <s v="l10n_ng"/>
        <s v="l10n_pe_pos"/>
        <s v="l10n_pe_website_sale"/>
        <s v="l10n_qa"/>
        <s v="l10n_ro_edi"/>
        <s v="l10n_ro_edi_stock"/>
        <s v="l10n_ro_edi_stock_batch"/>
        <s v="l10n_ro_efactura"/>
        <s v="l10n_rw"/>
        <s v="l10n_sg_ubl_pint"/>
        <s v="l10n_sn"/>
        <s v="l10n_td"/>
        <s v="l10n_tg"/>
        <s v="l10n_tn"/>
        <s v="l10n_tr_nilvera"/>
        <s v="l10n_tr_nilvera_einvoice"/>
        <s v="l10n_tz_account"/>
        <s v="l10n_ug"/>
        <s v="l10n_vn_edi_viettel"/>
        <s v="l10n_zm_account"/>
        <s v="mrp_subcontracting_landed_costs"/>
        <s v="payment_razorpay_oauth"/>
        <s v="payment_worldline"/>
        <s v="payment_xendit"/>
        <s v="pos_mercado_pago"/>
        <s v="pos_online_payment"/>
        <s v="pos_online_payment_self_order"/>
        <s v="pos_paytm"/>
        <s v="pos_razorpay"/>
        <s v="pos_restaurant_loyalty"/>
        <s v="pos_self_order"/>
        <s v="pos_self_order_adyen"/>
        <s v="pos_self_order_epson_printer"/>
        <s v="pos_self_order_sale"/>
        <s v="pos_self_order_stripe"/>
        <s v="pos_viva_wallet"/>
        <s v="project_account"/>
        <s v="purchase_requisition_sale"/>
        <s v="sale_async_emails"/>
        <s v="sale_service"/>
        <s v="spreadsheet_dashboard_website_sale"/>
        <s v="stock_delivery"/>
        <s v="stock_landed_costs_company"/>
        <s v="test_access_rights"/>
        <s v="test_action_bindings"/>
        <s v="test_apikeys"/>
        <s v="test_assetsbundle"/>
        <s v="test_auth_custom"/>
        <s v="test_base_import"/>
        <s v="test_convert"/>
        <s v="test_converter"/>
        <s v="test_data_module"/>
        <s v="test_data_module_install"/>
        <s v="test_exceptions"/>
        <s v="test_html_field_history"/>
        <s v="test_http"/>
        <s v="test_impex"/>
        <s v="test_inherit"/>
        <s v="test_inherit_depends"/>
        <s v="test_inherits"/>
        <s v="test_inherits_depends"/>
        <s v="test_limits"/>
        <s v="test_lint"/>
        <s v="test_main_flows"/>
        <s v="test_mimetypes"/>
        <s v="test_new_api"/>
        <s v="test_performance"/>
        <s v="test_populate"/>
        <s v="test_read_group"/>
        <s v="test_rpc"/>
        <s v="test_search_panel"/>
        <s v="test_spreadsheet"/>
        <s v="test_testing_utilities"/>
        <s v="test_translation_import"/>
        <s v="test_uninstall"/>
        <s v="web_hierarchy"/>
        <s v="website_cf_turnstile"/>
        <s v="website_project"/>
        <s v="website_sale_collect"/>
      </sharedItems>
    </cacheField>
    <cacheField name="Hours" numFmtId="0">
      <sharedItems containsNonDate="0" containsDate="1" containsString="0" containsBlank="1" minDate="1899-12-30T00:10:00" maxDate="1899-12-30T19:15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9">
  <r>
    <x v="0"/>
    <n v="0"/>
    <x v="0"/>
    <m/>
  </r>
  <r>
    <x v="0"/>
    <n v="0"/>
    <x v="1"/>
    <m/>
  </r>
  <r>
    <x v="0"/>
    <n v="0"/>
    <x v="2"/>
    <m/>
  </r>
  <r>
    <x v="0"/>
    <n v="10"/>
    <x v="3"/>
    <d v="1899-12-30T00:10:00"/>
  </r>
  <r>
    <x v="0"/>
    <n v="0"/>
    <x v="1"/>
    <m/>
  </r>
  <r>
    <x v="0"/>
    <n v="0"/>
    <x v="4"/>
    <m/>
  </r>
  <r>
    <x v="0"/>
    <n v="0"/>
    <x v="1"/>
    <m/>
  </r>
  <r>
    <x v="0"/>
    <n v="25"/>
    <x v="5"/>
    <d v="1899-12-30T00:25:00"/>
  </r>
  <r>
    <x v="0"/>
    <n v="0"/>
    <x v="1"/>
    <m/>
  </r>
  <r>
    <x v="0"/>
    <n v="0"/>
    <x v="6"/>
    <m/>
  </r>
  <r>
    <x v="0"/>
    <n v="0"/>
    <x v="1"/>
    <m/>
  </r>
  <r>
    <x v="0"/>
    <n v="0"/>
    <x v="7"/>
    <m/>
  </r>
  <r>
    <x v="0"/>
    <n v="0"/>
    <x v="8"/>
    <m/>
  </r>
  <r>
    <x v="0"/>
    <n v="10"/>
    <x v="9"/>
    <d v="1899-12-30T00:10:00"/>
  </r>
  <r>
    <x v="0"/>
    <n v="0"/>
    <x v="10"/>
    <m/>
  </r>
  <r>
    <x v="0"/>
    <n v="0"/>
    <x v="1"/>
    <m/>
  </r>
  <r>
    <x v="0"/>
    <n v="0"/>
    <x v="11"/>
    <m/>
  </r>
  <r>
    <x v="0"/>
    <n v="0"/>
    <x v="12"/>
    <m/>
  </r>
  <r>
    <x v="0"/>
    <n v="0"/>
    <x v="13"/>
    <m/>
  </r>
  <r>
    <x v="0"/>
    <n v="25"/>
    <x v="14"/>
    <d v="1899-12-30T00:25:00"/>
  </r>
  <r>
    <x v="0"/>
    <n v="0"/>
    <x v="1"/>
    <m/>
  </r>
  <r>
    <x v="0"/>
    <n v="10"/>
    <x v="15"/>
    <d v="1899-12-30T00:10:00"/>
  </r>
  <r>
    <x v="0"/>
    <n v="0"/>
    <x v="16"/>
    <m/>
  </r>
  <r>
    <x v="0"/>
    <n v="0"/>
    <x v="17"/>
    <m/>
  </r>
  <r>
    <x v="0"/>
    <n v="0"/>
    <x v="1"/>
    <m/>
  </r>
  <r>
    <x v="0"/>
    <n v="0"/>
    <x v="18"/>
    <m/>
  </r>
  <r>
    <x v="0"/>
    <n v="0"/>
    <x v="19"/>
    <m/>
  </r>
  <r>
    <x v="0"/>
    <n v="0"/>
    <x v="20"/>
    <m/>
  </r>
  <r>
    <x v="0"/>
    <n v="0"/>
    <x v="21"/>
    <m/>
  </r>
  <r>
    <x v="0"/>
    <n v="0"/>
    <x v="22"/>
    <m/>
  </r>
  <r>
    <x v="0"/>
    <n v="10"/>
    <x v="23"/>
    <d v="1899-12-30T00:10:00"/>
  </r>
  <r>
    <x v="0"/>
    <n v="0"/>
    <x v="24"/>
    <m/>
  </r>
  <r>
    <x v="0"/>
    <n v="0"/>
    <x v="25"/>
    <m/>
  </r>
  <r>
    <x v="0"/>
    <n v="0"/>
    <x v="1"/>
    <m/>
  </r>
  <r>
    <x v="0"/>
    <n v="0"/>
    <x v="26"/>
    <m/>
  </r>
  <r>
    <x v="0"/>
    <n v="0"/>
    <x v="27"/>
    <m/>
  </r>
  <r>
    <x v="0"/>
    <n v="0"/>
    <x v="1"/>
    <m/>
  </r>
  <r>
    <x v="0"/>
    <n v="0"/>
    <x v="28"/>
    <m/>
  </r>
  <r>
    <x v="0"/>
    <n v="0"/>
    <x v="29"/>
    <m/>
  </r>
  <r>
    <x v="0"/>
    <n v="0"/>
    <x v="30"/>
    <m/>
  </r>
  <r>
    <x v="0"/>
    <n v="0"/>
    <x v="31"/>
    <m/>
  </r>
  <r>
    <x v="0"/>
    <n v="0"/>
    <x v="32"/>
    <m/>
  </r>
  <r>
    <x v="0"/>
    <n v="0"/>
    <x v="1"/>
    <m/>
  </r>
  <r>
    <x v="0"/>
    <n v="95.000000000000014"/>
    <x v="33"/>
    <d v="1899-12-30T01:35:00"/>
  </r>
  <r>
    <x v="0"/>
    <n v="0"/>
    <x v="1"/>
    <m/>
  </r>
  <r>
    <x v="0"/>
    <n v="0"/>
    <x v="34"/>
    <m/>
  </r>
  <r>
    <x v="0"/>
    <n v="0"/>
    <x v="1"/>
    <m/>
  </r>
  <r>
    <x v="0"/>
    <n v="0"/>
    <x v="35"/>
    <m/>
  </r>
  <r>
    <x v="0"/>
    <n v="0"/>
    <x v="36"/>
    <m/>
  </r>
  <r>
    <x v="0"/>
    <n v="0"/>
    <x v="1"/>
    <m/>
  </r>
  <r>
    <x v="0"/>
    <n v="0"/>
    <x v="37"/>
    <m/>
  </r>
  <r>
    <x v="0"/>
    <n v="0"/>
    <x v="1"/>
    <m/>
  </r>
  <r>
    <x v="0"/>
    <n v="0"/>
    <x v="38"/>
    <m/>
  </r>
  <r>
    <x v="0"/>
    <n v="0"/>
    <x v="39"/>
    <m/>
  </r>
  <r>
    <x v="0"/>
    <n v="0"/>
    <x v="40"/>
    <m/>
  </r>
  <r>
    <x v="0"/>
    <n v="0"/>
    <x v="41"/>
    <m/>
  </r>
  <r>
    <x v="0"/>
    <n v="0"/>
    <x v="1"/>
    <m/>
  </r>
  <r>
    <x v="0"/>
    <n v="0"/>
    <x v="42"/>
    <m/>
  </r>
  <r>
    <x v="0"/>
    <n v="0"/>
    <x v="43"/>
    <m/>
  </r>
  <r>
    <x v="0"/>
    <n v="0"/>
    <x v="44"/>
    <m/>
  </r>
  <r>
    <x v="0"/>
    <n v="0"/>
    <x v="1"/>
    <m/>
  </r>
  <r>
    <x v="0"/>
    <n v="0"/>
    <x v="45"/>
    <m/>
  </r>
  <r>
    <x v="0"/>
    <n v="0"/>
    <x v="1"/>
    <m/>
  </r>
  <r>
    <x v="0"/>
    <n v="0"/>
    <x v="46"/>
    <m/>
  </r>
  <r>
    <x v="0"/>
    <n v="0"/>
    <x v="47"/>
    <m/>
  </r>
  <r>
    <x v="0"/>
    <n v="0"/>
    <x v="1"/>
    <m/>
  </r>
  <r>
    <x v="0"/>
    <n v="0"/>
    <x v="48"/>
    <m/>
  </r>
  <r>
    <x v="0"/>
    <n v="10"/>
    <x v="49"/>
    <d v="1899-12-30T00:10:00"/>
  </r>
  <r>
    <x v="0"/>
    <n v="0"/>
    <x v="1"/>
    <m/>
  </r>
  <r>
    <x v="0"/>
    <n v="0"/>
    <x v="50"/>
    <m/>
  </r>
  <r>
    <x v="0"/>
    <n v="10"/>
    <x v="51"/>
    <d v="1899-12-30T00:10:00"/>
  </r>
  <r>
    <x v="0"/>
    <n v="0"/>
    <x v="52"/>
    <m/>
  </r>
  <r>
    <x v="0"/>
    <n v="0"/>
    <x v="1"/>
    <m/>
  </r>
  <r>
    <x v="0"/>
    <n v="0"/>
    <x v="53"/>
    <m/>
  </r>
  <r>
    <x v="0"/>
    <n v="0"/>
    <x v="54"/>
    <m/>
  </r>
  <r>
    <x v="0"/>
    <n v="0"/>
    <x v="1"/>
    <m/>
  </r>
  <r>
    <x v="0"/>
    <n v="0"/>
    <x v="55"/>
    <m/>
  </r>
  <r>
    <x v="0"/>
    <n v="0"/>
    <x v="56"/>
    <m/>
  </r>
  <r>
    <x v="0"/>
    <n v="0"/>
    <x v="57"/>
    <m/>
  </r>
  <r>
    <x v="0"/>
    <n v="0"/>
    <x v="1"/>
    <m/>
  </r>
  <r>
    <x v="0"/>
    <n v="0"/>
    <x v="58"/>
    <m/>
  </r>
  <r>
    <x v="0"/>
    <n v="0"/>
    <x v="1"/>
    <m/>
  </r>
  <r>
    <x v="0"/>
    <n v="35"/>
    <x v="59"/>
    <d v="1899-12-30T00:35:00"/>
  </r>
  <r>
    <x v="0"/>
    <n v="0"/>
    <x v="1"/>
    <m/>
  </r>
  <r>
    <x v="0"/>
    <n v="25"/>
    <x v="60"/>
    <d v="1899-12-30T00:25:00"/>
  </r>
  <r>
    <x v="0"/>
    <n v="0"/>
    <x v="1"/>
    <m/>
  </r>
  <r>
    <x v="0"/>
    <n v="0"/>
    <x v="61"/>
    <m/>
  </r>
  <r>
    <x v="0"/>
    <n v="10"/>
    <x v="62"/>
    <d v="1899-12-30T00:10:00"/>
  </r>
  <r>
    <x v="0"/>
    <n v="0"/>
    <x v="63"/>
    <m/>
  </r>
  <r>
    <x v="0"/>
    <n v="0"/>
    <x v="1"/>
    <m/>
  </r>
  <r>
    <x v="0"/>
    <n v="0"/>
    <x v="64"/>
    <m/>
  </r>
  <r>
    <x v="0"/>
    <n v="0"/>
    <x v="65"/>
    <m/>
  </r>
  <r>
    <x v="0"/>
    <n v="0"/>
    <x v="1"/>
    <m/>
  </r>
  <r>
    <x v="0"/>
    <n v="0"/>
    <x v="66"/>
    <m/>
  </r>
  <r>
    <x v="0"/>
    <n v="0"/>
    <x v="1"/>
    <m/>
  </r>
  <r>
    <x v="0"/>
    <n v="0"/>
    <x v="67"/>
    <m/>
  </r>
  <r>
    <x v="0"/>
    <n v="0"/>
    <x v="68"/>
    <m/>
  </r>
  <r>
    <x v="0"/>
    <n v="0"/>
    <x v="69"/>
    <m/>
  </r>
  <r>
    <x v="0"/>
    <n v="0"/>
    <x v="1"/>
    <m/>
  </r>
  <r>
    <x v="0"/>
    <n v="0"/>
    <x v="70"/>
    <m/>
  </r>
  <r>
    <x v="0"/>
    <n v="0"/>
    <x v="1"/>
    <m/>
  </r>
  <r>
    <x v="0"/>
    <n v="0"/>
    <x v="71"/>
    <m/>
  </r>
  <r>
    <x v="0"/>
    <n v="0"/>
    <x v="72"/>
    <m/>
  </r>
  <r>
    <x v="0"/>
    <n v="0"/>
    <x v="1"/>
    <m/>
  </r>
  <r>
    <x v="0"/>
    <n v="0"/>
    <x v="73"/>
    <m/>
  </r>
  <r>
    <x v="0"/>
    <n v="0"/>
    <x v="1"/>
    <m/>
  </r>
  <r>
    <x v="0"/>
    <n v="0"/>
    <x v="74"/>
    <m/>
  </r>
  <r>
    <x v="0"/>
    <n v="0"/>
    <x v="1"/>
    <m/>
  </r>
  <r>
    <x v="0"/>
    <n v="0"/>
    <x v="75"/>
    <m/>
  </r>
  <r>
    <x v="0"/>
    <n v="0"/>
    <x v="1"/>
    <m/>
  </r>
  <r>
    <x v="0"/>
    <n v="15"/>
    <x v="76"/>
    <d v="1899-12-30T00:15:00"/>
  </r>
  <r>
    <x v="0"/>
    <n v="0"/>
    <x v="1"/>
    <m/>
  </r>
  <r>
    <x v="0"/>
    <n v="0"/>
    <x v="77"/>
    <m/>
  </r>
  <r>
    <x v="0"/>
    <n v="0"/>
    <x v="78"/>
    <m/>
  </r>
  <r>
    <x v="0"/>
    <n v="0"/>
    <x v="1"/>
    <m/>
  </r>
  <r>
    <x v="0"/>
    <n v="0"/>
    <x v="79"/>
    <m/>
  </r>
  <r>
    <x v="0"/>
    <n v="0"/>
    <x v="1"/>
    <m/>
  </r>
  <r>
    <x v="0"/>
    <n v="0"/>
    <x v="80"/>
    <m/>
  </r>
  <r>
    <x v="0"/>
    <n v="0"/>
    <x v="81"/>
    <m/>
  </r>
  <r>
    <x v="0"/>
    <n v="0"/>
    <x v="82"/>
    <m/>
  </r>
  <r>
    <x v="0"/>
    <n v="0"/>
    <x v="1"/>
    <m/>
  </r>
  <r>
    <x v="0"/>
    <n v="0"/>
    <x v="83"/>
    <m/>
  </r>
  <r>
    <x v="0"/>
    <n v="0"/>
    <x v="84"/>
    <m/>
  </r>
  <r>
    <x v="0"/>
    <n v="0"/>
    <x v="1"/>
    <m/>
  </r>
  <r>
    <x v="0"/>
    <n v="10"/>
    <x v="85"/>
    <d v="1899-12-30T00:10:00"/>
  </r>
  <r>
    <x v="0"/>
    <n v="0"/>
    <x v="1"/>
    <m/>
  </r>
  <r>
    <x v="0"/>
    <n v="0"/>
    <x v="86"/>
    <m/>
  </r>
  <r>
    <x v="0"/>
    <n v="0"/>
    <x v="1"/>
    <m/>
  </r>
  <r>
    <x v="0"/>
    <n v="30.999999999999996"/>
    <x v="87"/>
    <d v="1899-12-30T00:31:00"/>
  </r>
  <r>
    <x v="0"/>
    <n v="0"/>
    <x v="1"/>
    <m/>
  </r>
  <r>
    <x v="0"/>
    <n v="0"/>
    <x v="88"/>
    <m/>
  </r>
  <r>
    <x v="0"/>
    <n v="20"/>
    <x v="89"/>
    <d v="1899-12-30T00:20:00"/>
  </r>
  <r>
    <x v="0"/>
    <n v="0"/>
    <x v="1"/>
    <m/>
  </r>
  <r>
    <x v="0"/>
    <n v="0"/>
    <x v="90"/>
    <m/>
  </r>
  <r>
    <x v="0"/>
    <n v="0"/>
    <x v="1"/>
    <m/>
  </r>
  <r>
    <x v="0"/>
    <n v="0"/>
    <x v="91"/>
    <m/>
  </r>
  <r>
    <x v="0"/>
    <n v="0"/>
    <x v="1"/>
    <m/>
  </r>
  <r>
    <x v="0"/>
    <n v="15"/>
    <x v="92"/>
    <d v="1899-12-30T00:15:00"/>
  </r>
  <r>
    <x v="0"/>
    <n v="0"/>
    <x v="1"/>
    <m/>
  </r>
  <r>
    <x v="0"/>
    <n v="0"/>
    <x v="93"/>
    <m/>
  </r>
  <r>
    <x v="0"/>
    <n v="10"/>
    <x v="94"/>
    <d v="1899-12-30T00:10:00"/>
  </r>
  <r>
    <x v="0"/>
    <n v="0"/>
    <x v="1"/>
    <m/>
  </r>
  <r>
    <x v="0"/>
    <n v="0"/>
    <x v="95"/>
    <m/>
  </r>
  <r>
    <x v="0"/>
    <n v="10"/>
    <x v="96"/>
    <d v="1899-12-30T00:10:00"/>
  </r>
  <r>
    <x v="0"/>
    <n v="10"/>
    <x v="97"/>
    <d v="1899-12-30T00:10:00"/>
  </r>
  <r>
    <x v="0"/>
    <n v="10"/>
    <x v="98"/>
    <d v="1899-12-30T00:10:00"/>
  </r>
  <r>
    <x v="0"/>
    <n v="0"/>
    <x v="99"/>
    <m/>
  </r>
  <r>
    <x v="0"/>
    <n v="0"/>
    <x v="1"/>
    <m/>
  </r>
  <r>
    <x v="0"/>
    <n v="0"/>
    <x v="100"/>
    <m/>
  </r>
  <r>
    <x v="0"/>
    <n v="0"/>
    <x v="101"/>
    <m/>
  </r>
  <r>
    <x v="0"/>
    <n v="0"/>
    <x v="102"/>
    <m/>
  </r>
  <r>
    <x v="0"/>
    <n v="0"/>
    <x v="1"/>
    <m/>
  </r>
  <r>
    <x v="0"/>
    <n v="0"/>
    <x v="103"/>
    <m/>
  </r>
  <r>
    <x v="0"/>
    <n v="10"/>
    <x v="104"/>
    <d v="1899-12-30T00:10:00"/>
  </r>
  <r>
    <x v="0"/>
    <n v="30"/>
    <x v="105"/>
    <d v="1899-12-30T00:30:00"/>
  </r>
  <r>
    <x v="0"/>
    <n v="0"/>
    <x v="1"/>
    <m/>
  </r>
  <r>
    <x v="0"/>
    <n v="60"/>
    <x v="106"/>
    <d v="1899-12-30T01:00:00"/>
  </r>
  <r>
    <x v="0"/>
    <n v="70"/>
    <x v="107"/>
    <d v="1899-12-30T01:10:00"/>
  </r>
  <r>
    <x v="0"/>
    <n v="0"/>
    <x v="1"/>
    <m/>
  </r>
  <r>
    <x v="0"/>
    <n v="10"/>
    <x v="108"/>
    <d v="1899-12-30T00:10:00"/>
  </r>
  <r>
    <x v="0"/>
    <n v="133"/>
    <x v="109"/>
    <d v="1899-12-30T02:13:00"/>
  </r>
  <r>
    <x v="0"/>
    <n v="0"/>
    <x v="1"/>
    <m/>
  </r>
  <r>
    <x v="0"/>
    <n v="32"/>
    <x v="110"/>
    <d v="1899-12-30T00:32:00"/>
  </r>
  <r>
    <x v="0"/>
    <n v="0"/>
    <x v="1"/>
    <m/>
  </r>
  <r>
    <x v="0"/>
    <n v="102"/>
    <x v="111"/>
    <d v="1899-12-30T01:42:00"/>
  </r>
  <r>
    <x v="0"/>
    <n v="0"/>
    <x v="1"/>
    <m/>
  </r>
  <r>
    <x v="0"/>
    <n v="10"/>
    <x v="112"/>
    <d v="1899-12-30T00:10:00"/>
  </r>
  <r>
    <x v="0"/>
    <n v="55.000000000000007"/>
    <x v="113"/>
    <d v="1899-12-30T00:55:00"/>
  </r>
  <r>
    <x v="0"/>
    <n v="0"/>
    <x v="1"/>
    <m/>
  </r>
  <r>
    <x v="0"/>
    <n v="30.999999999999996"/>
    <x v="114"/>
    <d v="1899-12-30T00:31:00"/>
  </r>
  <r>
    <x v="0"/>
    <n v="0"/>
    <x v="1"/>
    <m/>
  </r>
  <r>
    <x v="0"/>
    <n v="159"/>
    <x v="115"/>
    <d v="1899-12-30T02:39:00"/>
  </r>
  <r>
    <x v="0"/>
    <n v="0"/>
    <x v="1"/>
    <m/>
  </r>
  <r>
    <x v="0"/>
    <n v="53.999999999999993"/>
    <x v="116"/>
    <d v="1899-12-30T00:54:00"/>
  </r>
  <r>
    <x v="0"/>
    <n v="0"/>
    <x v="1"/>
    <m/>
  </r>
  <r>
    <x v="0"/>
    <n v="65.999999999999986"/>
    <x v="117"/>
    <d v="1899-12-30T01:06:00"/>
  </r>
  <r>
    <x v="0"/>
    <n v="0"/>
    <x v="1"/>
    <m/>
  </r>
  <r>
    <x v="0"/>
    <n v="10"/>
    <x v="118"/>
    <d v="1899-12-30T00:10:00"/>
  </r>
  <r>
    <x v="0"/>
    <n v="45"/>
    <x v="119"/>
    <d v="1899-12-30T00:45:00"/>
  </r>
  <r>
    <x v="0"/>
    <n v="0"/>
    <x v="1"/>
    <m/>
  </r>
  <r>
    <x v="0"/>
    <n v="19"/>
    <x v="120"/>
    <d v="1899-12-30T00:19:00"/>
  </r>
  <r>
    <x v="0"/>
    <n v="0"/>
    <x v="1"/>
    <m/>
  </r>
  <r>
    <x v="0"/>
    <n v="10"/>
    <x v="121"/>
    <d v="1899-12-30T00:10:00"/>
  </r>
  <r>
    <x v="0"/>
    <n v="57"/>
    <x v="122"/>
    <d v="1899-12-30T00:57:00"/>
  </r>
  <r>
    <x v="0"/>
    <n v="0"/>
    <x v="1"/>
    <m/>
  </r>
  <r>
    <x v="0"/>
    <n v="10"/>
    <x v="123"/>
    <d v="1899-12-30T00:10:00"/>
  </r>
  <r>
    <x v="0"/>
    <n v="20"/>
    <x v="124"/>
    <d v="1899-12-30T00:20:00"/>
  </r>
  <r>
    <x v="0"/>
    <n v="0"/>
    <x v="1"/>
    <m/>
  </r>
  <r>
    <x v="0"/>
    <n v="96"/>
    <x v="125"/>
    <d v="1899-12-30T01:36:00"/>
  </r>
  <r>
    <x v="0"/>
    <n v="0"/>
    <x v="1"/>
    <m/>
  </r>
  <r>
    <x v="0"/>
    <n v="285"/>
    <x v="126"/>
    <d v="1899-12-30T04:45:00"/>
  </r>
  <r>
    <x v="0"/>
    <n v="0"/>
    <x v="1"/>
    <m/>
  </r>
  <r>
    <x v="0"/>
    <n v="0"/>
    <x v="127"/>
    <m/>
  </r>
  <r>
    <x v="0"/>
    <n v="0"/>
    <x v="128"/>
    <m/>
  </r>
  <r>
    <x v="0"/>
    <n v="10"/>
    <x v="129"/>
    <d v="1899-12-30T00:10:00"/>
  </r>
  <r>
    <x v="0"/>
    <n v="0"/>
    <x v="1"/>
    <m/>
  </r>
  <r>
    <x v="0"/>
    <n v="0"/>
    <x v="130"/>
    <m/>
  </r>
  <r>
    <x v="0"/>
    <n v="10"/>
    <x v="131"/>
    <d v="1899-12-30T00:10:00"/>
  </r>
  <r>
    <x v="0"/>
    <n v="0"/>
    <x v="1"/>
    <m/>
  </r>
  <r>
    <x v="0"/>
    <n v="10"/>
    <x v="132"/>
    <d v="1899-12-30T00:10:00"/>
  </r>
  <r>
    <x v="0"/>
    <n v="0"/>
    <x v="1"/>
    <m/>
  </r>
  <r>
    <x v="0"/>
    <n v="10"/>
    <x v="133"/>
    <d v="1899-12-30T00:10:00"/>
  </r>
  <r>
    <x v="0"/>
    <n v="0"/>
    <x v="1"/>
    <m/>
  </r>
  <r>
    <x v="0"/>
    <n v="67"/>
    <x v="134"/>
    <d v="1899-12-30T01:07:00"/>
  </r>
  <r>
    <x v="0"/>
    <n v="0"/>
    <x v="1"/>
    <m/>
  </r>
  <r>
    <x v="0"/>
    <n v="75"/>
    <x v="135"/>
    <d v="1899-12-30T01:15:00"/>
  </r>
  <r>
    <x v="0"/>
    <n v="0"/>
    <x v="1"/>
    <m/>
  </r>
  <r>
    <x v="0"/>
    <n v="131"/>
    <x v="136"/>
    <d v="1899-12-30T02:11:00"/>
  </r>
  <r>
    <x v="0"/>
    <n v="0"/>
    <x v="1"/>
    <m/>
  </r>
  <r>
    <x v="0"/>
    <n v="122.99999999999999"/>
    <x v="137"/>
    <d v="1899-12-30T02:03:00"/>
  </r>
  <r>
    <x v="0"/>
    <n v="0"/>
    <x v="1"/>
    <m/>
  </r>
  <r>
    <x v="0"/>
    <n v="10"/>
    <x v="138"/>
    <d v="1899-12-30T00:10:00"/>
  </r>
  <r>
    <x v="0"/>
    <n v="57"/>
    <x v="139"/>
    <d v="1899-12-30T00:57:00"/>
  </r>
  <r>
    <x v="0"/>
    <n v="0"/>
    <x v="1"/>
    <m/>
  </r>
  <r>
    <x v="0"/>
    <n v="47.000000000000007"/>
    <x v="140"/>
    <d v="1899-12-30T00:47:00"/>
  </r>
  <r>
    <x v="0"/>
    <n v="0"/>
    <x v="1"/>
    <m/>
  </r>
  <r>
    <x v="0"/>
    <n v="0"/>
    <x v="141"/>
    <m/>
  </r>
  <r>
    <x v="0"/>
    <n v="0"/>
    <x v="142"/>
    <m/>
  </r>
  <r>
    <x v="0"/>
    <n v="0"/>
    <x v="1"/>
    <m/>
  </r>
  <r>
    <x v="0"/>
    <n v="55.000000000000007"/>
    <x v="143"/>
    <d v="1899-12-30T00:55:00"/>
  </r>
  <r>
    <x v="0"/>
    <n v="0"/>
    <x v="1"/>
    <m/>
  </r>
  <r>
    <x v="0"/>
    <n v="0"/>
    <x v="144"/>
    <m/>
  </r>
  <r>
    <x v="0"/>
    <n v="22"/>
    <x v="145"/>
    <d v="1899-12-30T00:22:00"/>
  </r>
  <r>
    <x v="0"/>
    <n v="0"/>
    <x v="1"/>
    <m/>
  </r>
  <r>
    <x v="0"/>
    <n v="10"/>
    <x v="146"/>
    <d v="1899-12-30T00:10:00"/>
  </r>
  <r>
    <x v="0"/>
    <n v="45"/>
    <x v="147"/>
    <d v="1899-12-30T00:45:00"/>
  </r>
  <r>
    <x v="0"/>
    <n v="0"/>
    <x v="1"/>
    <m/>
  </r>
  <r>
    <x v="0"/>
    <n v="10"/>
    <x v="148"/>
    <d v="1899-12-30T00:10:00"/>
  </r>
  <r>
    <x v="0"/>
    <n v="118"/>
    <x v="149"/>
    <d v="1899-12-30T01:58:00"/>
  </r>
  <r>
    <x v="0"/>
    <n v="0"/>
    <x v="1"/>
    <m/>
  </r>
  <r>
    <x v="0"/>
    <n v="0"/>
    <x v="150"/>
    <m/>
  </r>
  <r>
    <x v="0"/>
    <n v="0"/>
    <x v="151"/>
    <m/>
  </r>
  <r>
    <x v="0"/>
    <n v="0"/>
    <x v="152"/>
    <m/>
  </r>
  <r>
    <x v="0"/>
    <n v="0"/>
    <x v="153"/>
    <m/>
  </r>
  <r>
    <x v="0"/>
    <n v="10"/>
    <x v="154"/>
    <d v="1899-12-30T00:10:00"/>
  </r>
  <r>
    <x v="0"/>
    <n v="0"/>
    <x v="1"/>
    <m/>
  </r>
  <r>
    <x v="0"/>
    <n v="10"/>
    <x v="155"/>
    <d v="1899-12-30T00:10:00"/>
  </r>
  <r>
    <x v="0"/>
    <n v="10"/>
    <x v="156"/>
    <d v="1899-12-30T00:10:00"/>
  </r>
  <r>
    <x v="0"/>
    <n v="0"/>
    <x v="157"/>
    <m/>
  </r>
  <r>
    <x v="0"/>
    <n v="143"/>
    <x v="158"/>
    <d v="1899-12-30T02:23:00"/>
  </r>
  <r>
    <x v="0"/>
    <n v="0"/>
    <x v="1"/>
    <m/>
  </r>
  <r>
    <x v="0"/>
    <n v="14"/>
    <x v="159"/>
    <d v="1899-12-30T00:14:00"/>
  </r>
  <r>
    <x v="0"/>
    <n v="0"/>
    <x v="1"/>
    <m/>
  </r>
  <r>
    <x v="0"/>
    <n v="22"/>
    <x v="160"/>
    <d v="1899-12-30T00:22:00"/>
  </r>
  <r>
    <x v="0"/>
    <n v="0"/>
    <x v="1"/>
    <m/>
  </r>
  <r>
    <x v="0"/>
    <n v="14"/>
    <x v="161"/>
    <d v="1899-12-30T00:14:00"/>
  </r>
  <r>
    <x v="0"/>
    <n v="0"/>
    <x v="1"/>
    <m/>
  </r>
  <r>
    <x v="0"/>
    <n v="294.99999999999994"/>
    <x v="162"/>
    <d v="1899-12-30T04:55:00"/>
  </r>
  <r>
    <x v="0"/>
    <n v="0"/>
    <x v="1"/>
    <m/>
  </r>
  <r>
    <x v="0"/>
    <n v="0"/>
    <x v="163"/>
    <m/>
  </r>
  <r>
    <x v="0"/>
    <n v="61.999999999999993"/>
    <x v="164"/>
    <d v="1899-12-30T01:02:00"/>
  </r>
  <r>
    <x v="0"/>
    <n v="0"/>
    <x v="1"/>
    <m/>
  </r>
  <r>
    <x v="0"/>
    <n v="22"/>
    <x v="165"/>
    <d v="1899-12-30T00:22:00"/>
  </r>
  <r>
    <x v="0"/>
    <n v="0"/>
    <x v="1"/>
    <m/>
  </r>
  <r>
    <x v="0"/>
    <n v="0"/>
    <x v="166"/>
    <m/>
  </r>
  <r>
    <x v="0"/>
    <n v="24"/>
    <x v="167"/>
    <d v="1899-12-30T00:24:00"/>
  </r>
  <r>
    <x v="0"/>
    <n v="0"/>
    <x v="1"/>
    <m/>
  </r>
  <r>
    <x v="0"/>
    <n v="23"/>
    <x v="168"/>
    <d v="1899-12-30T00:23:00"/>
  </r>
  <r>
    <x v="0"/>
    <n v="0"/>
    <x v="1"/>
    <m/>
  </r>
  <r>
    <x v="0"/>
    <n v="70"/>
    <x v="169"/>
    <d v="1899-12-30T01:10:00"/>
  </r>
  <r>
    <x v="0"/>
    <n v="0"/>
    <x v="1"/>
    <m/>
  </r>
  <r>
    <x v="0"/>
    <n v="0"/>
    <x v="170"/>
    <m/>
  </r>
  <r>
    <x v="0"/>
    <n v="0"/>
    <x v="171"/>
    <m/>
  </r>
  <r>
    <x v="0"/>
    <n v="15"/>
    <x v="172"/>
    <d v="1899-12-30T00:15:00"/>
  </r>
  <r>
    <x v="0"/>
    <n v="0"/>
    <x v="1"/>
    <m/>
  </r>
  <r>
    <x v="0"/>
    <n v="15"/>
    <x v="173"/>
    <d v="1899-12-30T00:15:00"/>
  </r>
  <r>
    <x v="0"/>
    <n v="0"/>
    <x v="1"/>
    <m/>
  </r>
  <r>
    <x v="0"/>
    <n v="15"/>
    <x v="174"/>
    <d v="1899-12-30T00:15:00"/>
  </r>
  <r>
    <x v="0"/>
    <n v="0"/>
    <x v="1"/>
    <m/>
  </r>
  <r>
    <x v="0"/>
    <n v="20"/>
    <x v="175"/>
    <d v="1899-12-30T00:20:00"/>
  </r>
  <r>
    <x v="0"/>
    <n v="0"/>
    <x v="1"/>
    <m/>
  </r>
  <r>
    <x v="0"/>
    <n v="15"/>
    <x v="176"/>
    <d v="1899-12-30T00:15:00"/>
  </r>
  <r>
    <x v="0"/>
    <n v="0"/>
    <x v="1"/>
    <m/>
  </r>
  <r>
    <x v="0"/>
    <n v="10"/>
    <x v="177"/>
    <d v="1899-12-30T00:10:00"/>
  </r>
  <r>
    <x v="0"/>
    <n v="0"/>
    <x v="178"/>
    <m/>
  </r>
  <r>
    <x v="0"/>
    <n v="0"/>
    <x v="179"/>
    <m/>
  </r>
  <r>
    <x v="0"/>
    <n v="84.999999999999986"/>
    <x v="180"/>
    <d v="1899-12-30T01:25:00"/>
  </r>
  <r>
    <x v="0"/>
    <n v="0"/>
    <x v="1"/>
    <m/>
  </r>
  <r>
    <x v="0"/>
    <n v="151"/>
    <x v="181"/>
    <d v="1899-12-30T02:31:00"/>
  </r>
  <r>
    <x v="0"/>
    <n v="0"/>
    <x v="1"/>
    <m/>
  </r>
  <r>
    <x v="0"/>
    <n v="25.999999999999996"/>
    <x v="182"/>
    <d v="1899-12-30T00:26:00"/>
  </r>
  <r>
    <x v="0"/>
    <n v="0"/>
    <x v="1"/>
    <m/>
  </r>
  <r>
    <x v="0"/>
    <n v="60"/>
    <x v="183"/>
    <d v="1899-12-30T01:00:00"/>
  </r>
  <r>
    <x v="0"/>
    <n v="10"/>
    <x v="184"/>
    <d v="1899-12-30T00:10:00"/>
  </r>
  <r>
    <x v="0"/>
    <n v="26.999999999999996"/>
    <x v="185"/>
    <d v="1899-12-30T00:27:00"/>
  </r>
  <r>
    <x v="0"/>
    <n v="0"/>
    <x v="1"/>
    <m/>
  </r>
  <r>
    <x v="0"/>
    <n v="0"/>
    <x v="186"/>
    <m/>
  </r>
  <r>
    <x v="0"/>
    <n v="26.999999999999996"/>
    <x v="187"/>
    <d v="1899-12-30T00:27:00"/>
  </r>
  <r>
    <x v="0"/>
    <n v="0"/>
    <x v="1"/>
    <m/>
  </r>
  <r>
    <x v="0"/>
    <n v="84"/>
    <x v="188"/>
    <d v="1899-12-30T01:24:00"/>
  </r>
  <r>
    <x v="0"/>
    <n v="0"/>
    <x v="1"/>
    <m/>
  </r>
  <r>
    <x v="0"/>
    <n v="20"/>
    <x v="189"/>
    <d v="1899-12-30T00:20:00"/>
  </r>
  <r>
    <x v="0"/>
    <n v="0"/>
    <x v="1"/>
    <m/>
  </r>
  <r>
    <x v="0"/>
    <n v="0"/>
    <x v="190"/>
    <m/>
  </r>
  <r>
    <x v="0"/>
    <n v="10"/>
    <x v="191"/>
    <d v="1899-12-30T00:10:00"/>
  </r>
  <r>
    <x v="0"/>
    <n v="0"/>
    <x v="1"/>
    <m/>
  </r>
  <r>
    <x v="0"/>
    <n v="0"/>
    <x v="192"/>
    <m/>
  </r>
  <r>
    <x v="0"/>
    <n v="16"/>
    <x v="193"/>
    <d v="1899-12-30T00:16:00"/>
  </r>
  <r>
    <x v="0"/>
    <n v="0"/>
    <x v="1"/>
    <m/>
  </r>
  <r>
    <x v="0"/>
    <n v="32"/>
    <x v="194"/>
    <d v="1899-12-30T00:32:00"/>
  </r>
  <r>
    <x v="0"/>
    <n v="0"/>
    <x v="1"/>
    <m/>
  </r>
  <r>
    <x v="0"/>
    <n v="222"/>
    <x v="195"/>
    <d v="1899-12-30T03:42:00"/>
  </r>
  <r>
    <x v="0"/>
    <n v="0"/>
    <x v="1"/>
    <m/>
  </r>
  <r>
    <x v="0"/>
    <n v="60"/>
    <x v="196"/>
    <d v="1899-12-30T01:00:00"/>
  </r>
  <r>
    <x v="0"/>
    <n v="46"/>
    <x v="197"/>
    <d v="1899-12-30T00:46:00"/>
  </r>
  <r>
    <x v="0"/>
    <n v="0"/>
    <x v="1"/>
    <m/>
  </r>
  <r>
    <x v="0"/>
    <n v="114.99999999999999"/>
    <x v="198"/>
    <d v="1899-12-30T01:55:00"/>
  </r>
  <r>
    <x v="0"/>
    <n v="0"/>
    <x v="1"/>
    <m/>
  </r>
  <r>
    <x v="0"/>
    <n v="73"/>
    <x v="199"/>
    <d v="1899-12-30T01:13:00"/>
  </r>
  <r>
    <x v="0"/>
    <n v="0"/>
    <x v="1"/>
    <m/>
  </r>
  <r>
    <x v="0"/>
    <n v="60"/>
    <x v="200"/>
    <d v="1899-12-30T01:00:00"/>
  </r>
  <r>
    <x v="0"/>
    <n v="144.00000000000003"/>
    <x v="201"/>
    <d v="1899-12-30T02:24:00"/>
  </r>
  <r>
    <x v="0"/>
    <n v="0"/>
    <x v="1"/>
    <m/>
  </r>
  <r>
    <x v="0"/>
    <n v="0"/>
    <x v="202"/>
    <m/>
  </r>
  <r>
    <x v="0"/>
    <n v="21"/>
    <x v="203"/>
    <d v="1899-12-30T00:21:00"/>
  </r>
  <r>
    <x v="0"/>
    <n v="0"/>
    <x v="1"/>
    <m/>
  </r>
  <r>
    <x v="0"/>
    <n v="53.999999999999993"/>
    <x v="204"/>
    <d v="1899-12-30T00:54:00"/>
  </r>
  <r>
    <x v="0"/>
    <n v="0"/>
    <x v="1"/>
    <m/>
  </r>
  <r>
    <x v="0"/>
    <n v="68"/>
    <x v="205"/>
    <d v="1899-12-30T01:08:00"/>
  </r>
  <r>
    <x v="0"/>
    <n v="0"/>
    <x v="1"/>
    <m/>
  </r>
  <r>
    <x v="0"/>
    <n v="61"/>
    <x v="206"/>
    <d v="1899-12-30T01:01:00"/>
  </r>
  <r>
    <x v="0"/>
    <n v="0"/>
    <x v="1"/>
    <m/>
  </r>
  <r>
    <x v="0"/>
    <n v="22"/>
    <x v="207"/>
    <d v="1899-12-30T00:22:00"/>
  </r>
  <r>
    <x v="0"/>
    <n v="0"/>
    <x v="1"/>
    <m/>
  </r>
  <r>
    <x v="0"/>
    <n v="22"/>
    <x v="208"/>
    <d v="1899-12-30T00:22:00"/>
  </r>
  <r>
    <x v="0"/>
    <n v="0"/>
    <x v="1"/>
    <m/>
  </r>
  <r>
    <x v="0"/>
    <n v="161"/>
    <x v="209"/>
    <d v="1899-12-30T02:41:00"/>
  </r>
  <r>
    <x v="0"/>
    <n v="0"/>
    <x v="1"/>
    <m/>
  </r>
  <r>
    <x v="0"/>
    <n v="39"/>
    <x v="210"/>
    <d v="1899-12-30T00:39:00"/>
  </r>
  <r>
    <x v="0"/>
    <n v="0"/>
    <x v="1"/>
    <m/>
  </r>
  <r>
    <x v="0"/>
    <n v="48"/>
    <x v="211"/>
    <d v="1899-12-30T00:48:00"/>
  </r>
  <r>
    <x v="0"/>
    <n v="0"/>
    <x v="1"/>
    <m/>
  </r>
  <r>
    <x v="0"/>
    <n v="184.99999999999997"/>
    <x v="212"/>
    <d v="1899-12-30T03:05:00"/>
  </r>
  <r>
    <x v="0"/>
    <n v="0"/>
    <x v="1"/>
    <m/>
  </r>
  <r>
    <x v="0"/>
    <n v="60"/>
    <x v="213"/>
    <d v="1899-12-30T01:00:00"/>
  </r>
  <r>
    <x v="0"/>
    <n v="0"/>
    <x v="214"/>
    <m/>
  </r>
  <r>
    <x v="0"/>
    <n v="74"/>
    <x v="215"/>
    <d v="1899-12-30T01:14:00"/>
  </r>
  <r>
    <x v="0"/>
    <n v="0"/>
    <x v="1"/>
    <m/>
  </r>
  <r>
    <x v="0"/>
    <n v="94.000000000000014"/>
    <x v="216"/>
    <d v="1899-12-30T01:34:00"/>
  </r>
  <r>
    <x v="0"/>
    <n v="0"/>
    <x v="1"/>
    <m/>
  </r>
  <r>
    <x v="0"/>
    <n v="62.999999999999986"/>
    <x v="217"/>
    <d v="1899-12-30T01:03:00"/>
  </r>
  <r>
    <x v="0"/>
    <n v="0"/>
    <x v="1"/>
    <m/>
  </r>
  <r>
    <x v="0"/>
    <n v="34"/>
    <x v="218"/>
    <d v="1899-12-30T00:34:00"/>
  </r>
  <r>
    <x v="0"/>
    <n v="0"/>
    <x v="1"/>
    <m/>
  </r>
  <r>
    <x v="0"/>
    <n v="20"/>
    <x v="219"/>
    <d v="1899-12-30T00:20:00"/>
  </r>
  <r>
    <x v="0"/>
    <n v="0"/>
    <x v="1"/>
    <m/>
  </r>
  <r>
    <x v="0"/>
    <n v="10"/>
    <x v="220"/>
    <d v="1899-12-30T00:10:00"/>
  </r>
  <r>
    <x v="0"/>
    <n v="10"/>
    <x v="221"/>
    <d v="1899-12-30T00:10:00"/>
  </r>
  <r>
    <x v="0"/>
    <n v="139"/>
    <x v="222"/>
    <d v="1899-12-30T02:19:00"/>
  </r>
  <r>
    <x v="0"/>
    <n v="0"/>
    <x v="1"/>
    <m/>
  </r>
  <r>
    <x v="0"/>
    <n v="37"/>
    <x v="223"/>
    <d v="1899-12-30T00:37:00"/>
  </r>
  <r>
    <x v="0"/>
    <n v="0"/>
    <x v="1"/>
    <m/>
  </r>
  <r>
    <x v="0"/>
    <n v="81"/>
    <x v="224"/>
    <d v="1899-12-30T01:21:00"/>
  </r>
  <r>
    <x v="0"/>
    <n v="0"/>
    <x v="1"/>
    <m/>
  </r>
  <r>
    <x v="0"/>
    <n v="72.000000000000014"/>
    <x v="225"/>
    <d v="1899-12-30T01:12:00"/>
  </r>
  <r>
    <x v="0"/>
    <n v="0"/>
    <x v="1"/>
    <m/>
  </r>
  <r>
    <x v="0"/>
    <n v="123.99999999999999"/>
    <x v="226"/>
    <d v="1899-12-30T02:04:00"/>
  </r>
  <r>
    <x v="0"/>
    <n v="0"/>
    <x v="1"/>
    <m/>
  </r>
  <r>
    <x v="0"/>
    <n v="20"/>
    <x v="227"/>
    <d v="1899-12-30T00:20:00"/>
  </r>
  <r>
    <x v="0"/>
    <n v="0"/>
    <x v="1"/>
    <m/>
  </r>
  <r>
    <x v="0"/>
    <n v="51.999999999999993"/>
    <x v="228"/>
    <d v="1899-12-30T00:52:00"/>
  </r>
  <r>
    <x v="0"/>
    <n v="0"/>
    <x v="1"/>
    <m/>
  </r>
  <r>
    <x v="0"/>
    <n v="23"/>
    <x v="229"/>
    <d v="1899-12-30T00:23:00"/>
  </r>
  <r>
    <x v="0"/>
    <n v="0"/>
    <x v="1"/>
    <m/>
  </r>
  <r>
    <x v="0"/>
    <n v="57"/>
    <x v="230"/>
    <d v="1899-12-30T00:57:00"/>
  </r>
  <r>
    <x v="0"/>
    <n v="0"/>
    <x v="1"/>
    <m/>
  </r>
  <r>
    <x v="0"/>
    <n v="22"/>
    <x v="231"/>
    <d v="1899-12-30T00:22:00"/>
  </r>
  <r>
    <x v="0"/>
    <n v="0"/>
    <x v="1"/>
    <m/>
  </r>
  <r>
    <x v="0"/>
    <n v="0"/>
    <x v="232"/>
    <m/>
  </r>
  <r>
    <x v="0"/>
    <n v="42"/>
    <x v="233"/>
    <d v="1899-12-30T00:42:00"/>
  </r>
  <r>
    <x v="0"/>
    <n v="0"/>
    <x v="1"/>
    <m/>
  </r>
  <r>
    <x v="0"/>
    <n v="38"/>
    <x v="234"/>
    <d v="1899-12-30T00:38:00"/>
  </r>
  <r>
    <x v="0"/>
    <n v="0"/>
    <x v="1"/>
    <m/>
  </r>
  <r>
    <x v="0"/>
    <n v="36.000000000000007"/>
    <x v="235"/>
    <d v="1899-12-30T00:36:00"/>
  </r>
  <r>
    <x v="0"/>
    <n v="0"/>
    <x v="1"/>
    <m/>
  </r>
  <r>
    <x v="0"/>
    <n v="23"/>
    <x v="236"/>
    <d v="1899-12-30T00:23:00"/>
  </r>
  <r>
    <x v="0"/>
    <n v="0"/>
    <x v="1"/>
    <m/>
  </r>
  <r>
    <x v="0"/>
    <n v="0"/>
    <x v="237"/>
    <m/>
  </r>
  <r>
    <x v="0"/>
    <n v="30"/>
    <x v="238"/>
    <d v="1899-12-30T00:30:00"/>
  </r>
  <r>
    <x v="0"/>
    <n v="0"/>
    <x v="1"/>
    <m/>
  </r>
  <r>
    <x v="0"/>
    <n v="0"/>
    <x v="239"/>
    <m/>
  </r>
  <r>
    <x v="0"/>
    <n v="30"/>
    <x v="240"/>
    <d v="1899-12-30T00:30:00"/>
  </r>
  <r>
    <x v="0"/>
    <n v="0"/>
    <x v="1"/>
    <m/>
  </r>
  <r>
    <x v="0"/>
    <n v="0"/>
    <x v="241"/>
    <m/>
  </r>
  <r>
    <x v="0"/>
    <n v="0"/>
    <x v="1"/>
    <m/>
  </r>
  <r>
    <x v="0"/>
    <n v="0"/>
    <x v="242"/>
    <m/>
  </r>
  <r>
    <x v="0"/>
    <n v="0"/>
    <x v="243"/>
    <m/>
  </r>
  <r>
    <x v="0"/>
    <n v="11"/>
    <x v="244"/>
    <d v="1899-12-30T00:11:00"/>
  </r>
  <r>
    <x v="0"/>
    <n v="0"/>
    <x v="1"/>
    <m/>
  </r>
  <r>
    <x v="0"/>
    <n v="10"/>
    <x v="245"/>
    <d v="1899-12-30T00:10:00"/>
  </r>
  <r>
    <x v="0"/>
    <n v="0"/>
    <x v="1"/>
    <m/>
  </r>
  <r>
    <x v="0"/>
    <n v="0"/>
    <x v="246"/>
    <m/>
  </r>
  <r>
    <x v="0"/>
    <n v="0"/>
    <x v="1"/>
    <m/>
  </r>
  <r>
    <x v="0"/>
    <n v="229"/>
    <x v="247"/>
    <d v="1899-12-30T03:49:00"/>
  </r>
  <r>
    <x v="0"/>
    <n v="0"/>
    <x v="1"/>
    <m/>
  </r>
  <r>
    <x v="0"/>
    <n v="0"/>
    <x v="248"/>
    <m/>
  </r>
  <r>
    <x v="0"/>
    <n v="0"/>
    <x v="249"/>
    <m/>
  </r>
  <r>
    <x v="0"/>
    <n v="0"/>
    <x v="250"/>
    <m/>
  </r>
  <r>
    <x v="0"/>
    <n v="10"/>
    <x v="251"/>
    <d v="1899-12-30T00:10:00"/>
  </r>
  <r>
    <x v="0"/>
    <n v="0"/>
    <x v="252"/>
    <m/>
  </r>
  <r>
    <x v="0"/>
    <n v="10"/>
    <x v="253"/>
    <d v="1899-12-30T00:10:00"/>
  </r>
  <r>
    <x v="0"/>
    <n v="0"/>
    <x v="254"/>
    <m/>
  </r>
  <r>
    <x v="0"/>
    <n v="0"/>
    <x v="255"/>
    <m/>
  </r>
  <r>
    <x v="0"/>
    <n v="0"/>
    <x v="256"/>
    <m/>
  </r>
  <r>
    <x v="0"/>
    <n v="40"/>
    <x v="257"/>
    <d v="1899-12-30T00:40:00"/>
  </r>
  <r>
    <x v="0"/>
    <n v="0"/>
    <x v="1"/>
    <m/>
  </r>
  <r>
    <x v="0"/>
    <n v="12"/>
    <x v="258"/>
    <d v="1899-12-30T00:12:00"/>
  </r>
  <r>
    <x v="0"/>
    <n v="0"/>
    <x v="1"/>
    <m/>
  </r>
  <r>
    <x v="0"/>
    <n v="0"/>
    <x v="259"/>
    <m/>
  </r>
  <r>
    <x v="0"/>
    <n v="0"/>
    <x v="1"/>
    <m/>
  </r>
  <r>
    <x v="0"/>
    <n v="0"/>
    <x v="260"/>
    <m/>
  </r>
  <r>
    <x v="0"/>
    <n v="65.999999999999986"/>
    <x v="261"/>
    <d v="1899-12-30T01:06:00"/>
  </r>
  <r>
    <x v="0"/>
    <n v="0"/>
    <x v="1"/>
    <m/>
  </r>
  <r>
    <x v="0"/>
    <n v="0"/>
    <x v="262"/>
    <m/>
  </r>
  <r>
    <x v="0"/>
    <n v="0"/>
    <x v="1"/>
    <m/>
  </r>
  <r>
    <x v="0"/>
    <n v="0"/>
    <x v="263"/>
    <m/>
  </r>
  <r>
    <x v="0"/>
    <n v="0"/>
    <x v="1"/>
    <m/>
  </r>
  <r>
    <x v="0"/>
    <n v="0"/>
    <x v="264"/>
    <m/>
  </r>
  <r>
    <x v="0"/>
    <n v="0"/>
    <x v="1"/>
    <m/>
  </r>
  <r>
    <x v="0"/>
    <n v="0"/>
    <x v="265"/>
    <m/>
  </r>
  <r>
    <x v="0"/>
    <n v="10"/>
    <x v="266"/>
    <d v="1899-12-30T00:10:00"/>
  </r>
  <r>
    <x v="0"/>
    <n v="10"/>
    <x v="267"/>
    <d v="1899-12-30T00:10:00"/>
  </r>
  <r>
    <x v="0"/>
    <n v="10"/>
    <x v="268"/>
    <d v="1899-12-30T00:10:00"/>
  </r>
  <r>
    <x v="0"/>
    <n v="0"/>
    <x v="1"/>
    <m/>
  </r>
  <r>
    <x v="0"/>
    <n v="10"/>
    <x v="269"/>
    <d v="1899-12-30T00:10:00"/>
  </r>
  <r>
    <x v="0"/>
    <n v="0"/>
    <x v="270"/>
    <m/>
  </r>
  <r>
    <x v="0"/>
    <n v="0"/>
    <x v="271"/>
    <m/>
  </r>
  <r>
    <x v="0"/>
    <n v="10"/>
    <x v="272"/>
    <d v="1899-12-30T00:10:00"/>
  </r>
  <r>
    <x v="0"/>
    <n v="0"/>
    <x v="1"/>
    <m/>
  </r>
  <r>
    <x v="0"/>
    <n v="10"/>
    <x v="273"/>
    <d v="1899-12-30T00:10:00"/>
  </r>
  <r>
    <x v="0"/>
    <n v="0"/>
    <x v="274"/>
    <m/>
  </r>
  <r>
    <x v="0"/>
    <n v="0"/>
    <x v="275"/>
    <m/>
  </r>
  <r>
    <x v="0"/>
    <n v="0"/>
    <x v="1"/>
    <m/>
  </r>
  <r>
    <x v="0"/>
    <n v="0"/>
    <x v="276"/>
    <m/>
  </r>
  <r>
    <x v="0"/>
    <n v="0"/>
    <x v="1"/>
    <m/>
  </r>
  <r>
    <x v="0"/>
    <n v="0"/>
    <x v="277"/>
    <m/>
  </r>
  <r>
    <x v="0"/>
    <n v="0"/>
    <x v="1"/>
    <m/>
  </r>
  <r>
    <x v="0"/>
    <n v="25.999999999999996"/>
    <x v="278"/>
    <d v="1899-12-30T00:26:00"/>
  </r>
  <r>
    <x v="0"/>
    <n v="0"/>
    <x v="1"/>
    <m/>
  </r>
  <r>
    <x v="0"/>
    <n v="10"/>
    <x v="279"/>
    <d v="1899-12-30T00:10:00"/>
  </r>
  <r>
    <x v="0"/>
    <n v="0"/>
    <x v="280"/>
    <m/>
  </r>
  <r>
    <x v="0"/>
    <n v="20"/>
    <x v="281"/>
    <d v="1899-12-30T00:20:00"/>
  </r>
  <r>
    <x v="0"/>
    <n v="0"/>
    <x v="1"/>
    <m/>
  </r>
  <r>
    <x v="0"/>
    <n v="25"/>
    <x v="282"/>
    <d v="1899-12-30T00:25:00"/>
  </r>
  <r>
    <x v="0"/>
    <n v="0"/>
    <x v="1"/>
    <m/>
  </r>
  <r>
    <x v="0"/>
    <n v="0"/>
    <x v="283"/>
    <m/>
  </r>
  <r>
    <x v="0"/>
    <n v="0"/>
    <x v="284"/>
    <m/>
  </r>
  <r>
    <x v="0"/>
    <n v="0"/>
    <x v="1"/>
    <m/>
  </r>
  <r>
    <x v="0"/>
    <n v="11"/>
    <x v="285"/>
    <d v="1899-12-30T00:11:00"/>
  </r>
  <r>
    <x v="0"/>
    <n v="0"/>
    <x v="1"/>
    <m/>
  </r>
  <r>
    <x v="0"/>
    <n v="0"/>
    <x v="286"/>
    <m/>
  </r>
  <r>
    <x v="0"/>
    <n v="0"/>
    <x v="287"/>
    <m/>
  </r>
  <r>
    <x v="0"/>
    <n v="0"/>
    <x v="288"/>
    <m/>
  </r>
  <r>
    <x v="0"/>
    <n v="10"/>
    <x v="289"/>
    <d v="1899-12-30T00:10:00"/>
  </r>
  <r>
    <x v="0"/>
    <n v="20"/>
    <x v="290"/>
    <d v="1899-12-30T00:20:00"/>
  </r>
  <r>
    <x v="0"/>
    <n v="0"/>
    <x v="1"/>
    <m/>
  </r>
  <r>
    <x v="0"/>
    <n v="10"/>
    <x v="291"/>
    <d v="1899-12-30T00:10:00"/>
  </r>
  <r>
    <x v="0"/>
    <n v="10"/>
    <x v="292"/>
    <d v="1899-12-30T00:10:00"/>
  </r>
  <r>
    <x v="0"/>
    <n v="0"/>
    <x v="293"/>
    <m/>
  </r>
  <r>
    <x v="0"/>
    <n v="0"/>
    <x v="294"/>
    <m/>
  </r>
  <r>
    <x v="0"/>
    <n v="0"/>
    <x v="295"/>
    <m/>
  </r>
  <r>
    <x v="0"/>
    <n v="0"/>
    <x v="1"/>
    <m/>
  </r>
  <r>
    <x v="0"/>
    <n v="0"/>
    <x v="296"/>
    <m/>
  </r>
  <r>
    <x v="0"/>
    <n v="0"/>
    <x v="1"/>
    <m/>
  </r>
  <r>
    <x v="0"/>
    <n v="0"/>
    <x v="297"/>
    <m/>
  </r>
  <r>
    <x v="0"/>
    <n v="0"/>
    <x v="1"/>
    <m/>
  </r>
  <r>
    <x v="0"/>
    <n v="0"/>
    <x v="298"/>
    <m/>
  </r>
  <r>
    <x v="0"/>
    <n v="0"/>
    <x v="1"/>
    <m/>
  </r>
  <r>
    <x v="0"/>
    <n v="0"/>
    <x v="299"/>
    <m/>
  </r>
  <r>
    <x v="0"/>
    <n v="0"/>
    <x v="300"/>
    <m/>
  </r>
  <r>
    <x v="0"/>
    <n v="0"/>
    <x v="301"/>
    <m/>
  </r>
  <r>
    <x v="0"/>
    <n v="0"/>
    <x v="302"/>
    <m/>
  </r>
  <r>
    <x v="0"/>
    <n v="0"/>
    <x v="303"/>
    <m/>
  </r>
  <r>
    <x v="0"/>
    <n v="20"/>
    <x v="304"/>
    <d v="1899-12-30T00:20:00"/>
  </r>
  <r>
    <x v="0"/>
    <n v="0"/>
    <x v="1"/>
    <m/>
  </r>
  <r>
    <x v="0"/>
    <n v="0"/>
    <x v="305"/>
    <m/>
  </r>
  <r>
    <x v="0"/>
    <n v="25"/>
    <x v="306"/>
    <d v="1899-12-30T00:25:00"/>
  </r>
  <r>
    <x v="0"/>
    <n v="0"/>
    <x v="1"/>
    <m/>
  </r>
  <r>
    <x v="0"/>
    <n v="10"/>
    <x v="307"/>
    <d v="1899-12-30T00:10:00"/>
  </r>
  <r>
    <x v="0"/>
    <n v="10"/>
    <x v="308"/>
    <d v="1899-12-30T00:10:00"/>
  </r>
  <r>
    <x v="0"/>
    <n v="0"/>
    <x v="1"/>
    <m/>
  </r>
  <r>
    <x v="0"/>
    <n v="10"/>
    <x v="309"/>
    <d v="1899-12-30T00:10:00"/>
  </r>
  <r>
    <x v="0"/>
    <n v="0"/>
    <x v="1"/>
    <m/>
  </r>
  <r>
    <x v="0"/>
    <n v="10"/>
    <x v="310"/>
    <d v="1899-12-30T00:10:00"/>
  </r>
  <r>
    <x v="0"/>
    <n v="111"/>
    <x v="311"/>
    <d v="1899-12-30T01:51:00"/>
  </r>
  <r>
    <x v="0"/>
    <n v="0"/>
    <x v="1"/>
    <m/>
  </r>
  <r>
    <x v="0"/>
    <n v="0"/>
    <x v="312"/>
    <m/>
  </r>
  <r>
    <x v="0"/>
    <n v="10"/>
    <x v="313"/>
    <d v="1899-12-30T00:10:00"/>
  </r>
  <r>
    <x v="0"/>
    <n v="0"/>
    <x v="314"/>
    <m/>
  </r>
  <r>
    <x v="0"/>
    <n v="10"/>
    <x v="315"/>
    <d v="1899-12-30T00:10:00"/>
  </r>
  <r>
    <x v="0"/>
    <n v="10"/>
    <x v="316"/>
    <d v="1899-12-30T00:10:00"/>
  </r>
  <r>
    <x v="0"/>
    <n v="10"/>
    <x v="317"/>
    <d v="1899-12-30T00:10:00"/>
  </r>
  <r>
    <x v="0"/>
    <n v="0"/>
    <x v="318"/>
    <m/>
  </r>
  <r>
    <x v="0"/>
    <n v="0"/>
    <x v="319"/>
    <m/>
  </r>
  <r>
    <x v="0"/>
    <n v="0"/>
    <x v="320"/>
    <m/>
  </r>
  <r>
    <x v="0"/>
    <n v="0"/>
    <x v="321"/>
    <m/>
  </r>
  <r>
    <x v="0"/>
    <n v="0"/>
    <x v="1"/>
    <m/>
  </r>
  <r>
    <x v="0"/>
    <n v="0"/>
    <x v="322"/>
    <m/>
  </r>
  <r>
    <x v="0"/>
    <n v="0"/>
    <x v="323"/>
    <m/>
  </r>
  <r>
    <x v="0"/>
    <n v="0"/>
    <x v="1"/>
    <m/>
  </r>
  <r>
    <x v="0"/>
    <n v="0"/>
    <x v="324"/>
    <m/>
  </r>
  <r>
    <x v="0"/>
    <n v="0"/>
    <x v="325"/>
    <m/>
  </r>
  <r>
    <x v="0"/>
    <n v="0"/>
    <x v="326"/>
    <m/>
  </r>
  <r>
    <x v="0"/>
    <n v="0"/>
    <x v="327"/>
    <m/>
  </r>
  <r>
    <x v="0"/>
    <n v="0"/>
    <x v="1"/>
    <m/>
  </r>
  <r>
    <x v="0"/>
    <n v="0"/>
    <x v="328"/>
    <m/>
  </r>
  <r>
    <x v="0"/>
    <n v="10"/>
    <x v="329"/>
    <d v="1899-12-30T00:10:00"/>
  </r>
  <r>
    <x v="0"/>
    <n v="0"/>
    <x v="330"/>
    <m/>
  </r>
  <r>
    <x v="0"/>
    <n v="0"/>
    <x v="331"/>
    <m/>
  </r>
  <r>
    <x v="0"/>
    <n v="10"/>
    <x v="332"/>
    <d v="1899-12-30T00:10:00"/>
  </r>
  <r>
    <x v="0"/>
    <n v="0"/>
    <x v="333"/>
    <m/>
  </r>
  <r>
    <x v="0"/>
    <n v="10"/>
    <x v="334"/>
    <d v="1899-12-30T00:10:00"/>
  </r>
  <r>
    <x v="0"/>
    <n v="0"/>
    <x v="1"/>
    <m/>
  </r>
  <r>
    <x v="0"/>
    <n v="0"/>
    <x v="335"/>
    <m/>
  </r>
  <r>
    <x v="0"/>
    <n v="0"/>
    <x v="1"/>
    <m/>
  </r>
  <r>
    <x v="0"/>
    <n v="0"/>
    <x v="336"/>
    <m/>
  </r>
  <r>
    <x v="0"/>
    <n v="0"/>
    <x v="1"/>
    <m/>
  </r>
  <r>
    <x v="0"/>
    <n v="0"/>
    <x v="337"/>
    <m/>
  </r>
  <r>
    <x v="0"/>
    <n v="0"/>
    <x v="1"/>
    <m/>
  </r>
  <r>
    <x v="0"/>
    <n v="0"/>
    <x v="338"/>
    <m/>
  </r>
  <r>
    <x v="0"/>
    <n v="0"/>
    <x v="339"/>
    <m/>
  </r>
  <r>
    <x v="0"/>
    <n v="0"/>
    <x v="340"/>
    <m/>
  </r>
  <r>
    <x v="0"/>
    <n v="0"/>
    <x v="1"/>
    <m/>
  </r>
  <r>
    <x v="0"/>
    <n v="0"/>
    <x v="341"/>
    <m/>
  </r>
  <r>
    <x v="0"/>
    <n v="0"/>
    <x v="342"/>
    <m/>
  </r>
  <r>
    <x v="0"/>
    <n v="0"/>
    <x v="1"/>
    <m/>
  </r>
  <r>
    <x v="0"/>
    <n v="0"/>
    <x v="343"/>
    <m/>
  </r>
  <r>
    <x v="0"/>
    <n v="0"/>
    <x v="1"/>
    <m/>
  </r>
  <r>
    <x v="0"/>
    <n v="431.99999999999994"/>
    <x v="344"/>
    <d v="1899-12-30T07:12:00"/>
  </r>
  <r>
    <x v="0"/>
    <n v="0"/>
    <x v="1"/>
    <m/>
  </r>
  <r>
    <x v="0"/>
    <n v="0"/>
    <x v="345"/>
    <m/>
  </r>
  <r>
    <x v="0"/>
    <n v="0"/>
    <x v="1"/>
    <m/>
  </r>
  <r>
    <x v="0"/>
    <n v="0"/>
    <x v="346"/>
    <m/>
  </r>
  <r>
    <x v="0"/>
    <n v="0"/>
    <x v="1"/>
    <m/>
  </r>
  <r>
    <x v="0"/>
    <n v="0"/>
    <x v="347"/>
    <m/>
  </r>
  <r>
    <x v="0"/>
    <n v="0"/>
    <x v="348"/>
    <m/>
  </r>
  <r>
    <x v="0"/>
    <n v="0"/>
    <x v="349"/>
    <m/>
  </r>
  <r>
    <x v="0"/>
    <n v="10"/>
    <x v="350"/>
    <d v="1899-12-30T00:10:00"/>
  </r>
  <r>
    <x v="0"/>
    <n v="0"/>
    <x v="1"/>
    <m/>
  </r>
  <r>
    <x v="0"/>
    <n v="10"/>
    <x v="351"/>
    <d v="1899-12-30T00:10:00"/>
  </r>
  <r>
    <x v="0"/>
    <n v="0"/>
    <x v="1"/>
    <m/>
  </r>
  <r>
    <x v="0"/>
    <n v="0"/>
    <x v="352"/>
    <m/>
  </r>
  <r>
    <x v="0"/>
    <n v="0"/>
    <x v="1"/>
    <m/>
  </r>
  <r>
    <x v="0"/>
    <n v="0"/>
    <x v="353"/>
    <m/>
  </r>
  <r>
    <x v="0"/>
    <n v="0"/>
    <x v="354"/>
    <m/>
  </r>
  <r>
    <x v="0"/>
    <n v="10"/>
    <x v="355"/>
    <d v="1899-12-30T00:10:00"/>
  </r>
  <r>
    <x v="0"/>
    <n v="91"/>
    <x v="356"/>
    <d v="1899-12-30T01:31:00"/>
  </r>
  <r>
    <x v="0"/>
    <n v="0"/>
    <x v="1"/>
    <m/>
  </r>
  <r>
    <x v="0"/>
    <n v="0"/>
    <x v="357"/>
    <m/>
  </r>
  <r>
    <x v="0"/>
    <n v="0"/>
    <x v="1"/>
    <m/>
  </r>
  <r>
    <x v="0"/>
    <n v="0"/>
    <x v="358"/>
    <m/>
  </r>
  <r>
    <x v="0"/>
    <n v="0"/>
    <x v="359"/>
    <m/>
  </r>
  <r>
    <x v="0"/>
    <n v="0"/>
    <x v="1"/>
    <m/>
  </r>
  <r>
    <x v="0"/>
    <n v="10"/>
    <x v="360"/>
    <d v="1899-12-30T00:10:00"/>
  </r>
  <r>
    <x v="0"/>
    <n v="0"/>
    <x v="361"/>
    <m/>
  </r>
  <r>
    <x v="0"/>
    <n v="0"/>
    <x v="362"/>
    <m/>
  </r>
  <r>
    <x v="0"/>
    <n v="0"/>
    <x v="363"/>
    <m/>
  </r>
  <r>
    <x v="0"/>
    <n v="10"/>
    <x v="364"/>
    <d v="1899-12-30T00:10:00"/>
  </r>
  <r>
    <x v="0"/>
    <n v="0"/>
    <x v="365"/>
    <m/>
  </r>
  <r>
    <x v="0"/>
    <n v="0"/>
    <x v="1"/>
    <m/>
  </r>
  <r>
    <x v="0"/>
    <n v="10"/>
    <x v="366"/>
    <d v="1899-12-30T00:10:00"/>
  </r>
  <r>
    <x v="0"/>
    <n v="0"/>
    <x v="367"/>
    <m/>
  </r>
  <r>
    <x v="0"/>
    <n v="0"/>
    <x v="1"/>
    <m/>
  </r>
  <r>
    <x v="0"/>
    <n v="10"/>
    <x v="368"/>
    <d v="1899-12-30T00:10:00"/>
  </r>
  <r>
    <x v="0"/>
    <n v="0"/>
    <x v="369"/>
    <m/>
  </r>
  <r>
    <x v="0"/>
    <n v="0"/>
    <x v="1"/>
    <m/>
  </r>
  <r>
    <x v="0"/>
    <n v="0"/>
    <x v="370"/>
    <m/>
  </r>
  <r>
    <x v="0"/>
    <n v="0"/>
    <x v="1"/>
    <m/>
  </r>
  <r>
    <x v="0"/>
    <n v="0"/>
    <x v="371"/>
    <m/>
  </r>
  <r>
    <x v="0"/>
    <n v="0"/>
    <x v="1"/>
    <m/>
  </r>
  <r>
    <x v="0"/>
    <n v="0"/>
    <x v="372"/>
    <m/>
  </r>
  <r>
    <x v="0"/>
    <n v="0"/>
    <x v="1"/>
    <m/>
  </r>
  <r>
    <x v="0"/>
    <n v="0"/>
    <x v="373"/>
    <m/>
  </r>
  <r>
    <x v="0"/>
    <n v="0"/>
    <x v="1"/>
    <m/>
  </r>
  <r>
    <x v="0"/>
    <n v="0"/>
    <x v="374"/>
    <m/>
  </r>
  <r>
    <x v="0"/>
    <n v="0"/>
    <x v="1"/>
    <m/>
  </r>
  <r>
    <x v="0"/>
    <n v="0"/>
    <x v="375"/>
    <m/>
  </r>
  <r>
    <x v="0"/>
    <n v="0"/>
    <x v="376"/>
    <m/>
  </r>
  <r>
    <x v="0"/>
    <n v="0"/>
    <x v="1"/>
    <m/>
  </r>
  <r>
    <x v="0"/>
    <n v="0"/>
    <x v="377"/>
    <m/>
  </r>
  <r>
    <x v="0"/>
    <n v="0"/>
    <x v="378"/>
    <m/>
  </r>
  <r>
    <x v="0"/>
    <n v="0"/>
    <x v="379"/>
    <m/>
  </r>
  <r>
    <x v="0"/>
    <n v="0"/>
    <x v="380"/>
    <m/>
  </r>
  <r>
    <x v="0"/>
    <n v="10"/>
    <x v="381"/>
    <d v="1899-12-30T00:10:00"/>
  </r>
  <r>
    <x v="0"/>
    <n v="10"/>
    <x v="382"/>
    <d v="1899-12-30T00:10:00"/>
  </r>
  <r>
    <x v="0"/>
    <n v="0"/>
    <x v="383"/>
    <m/>
  </r>
  <r>
    <x v="0"/>
    <n v="0"/>
    <x v="384"/>
    <m/>
  </r>
  <r>
    <x v="0"/>
    <n v="0"/>
    <x v="385"/>
    <m/>
  </r>
  <r>
    <x v="0"/>
    <n v="0"/>
    <x v="386"/>
    <m/>
  </r>
  <r>
    <x v="0"/>
    <n v="0"/>
    <x v="387"/>
    <m/>
  </r>
  <r>
    <x v="0"/>
    <n v="0"/>
    <x v="388"/>
    <m/>
  </r>
  <r>
    <x v="0"/>
    <n v="10"/>
    <x v="389"/>
    <d v="1899-12-30T00:10:00"/>
  </r>
  <r>
    <x v="0"/>
    <n v="0"/>
    <x v="390"/>
    <m/>
  </r>
  <r>
    <x v="0"/>
    <n v="0"/>
    <x v="1"/>
    <m/>
  </r>
  <r>
    <x v="0"/>
    <n v="0"/>
    <x v="391"/>
    <m/>
  </r>
  <r>
    <x v="0"/>
    <n v="0"/>
    <x v="1"/>
    <m/>
  </r>
  <r>
    <x v="0"/>
    <n v="0"/>
    <x v="392"/>
    <m/>
  </r>
  <r>
    <x v="0"/>
    <n v="0"/>
    <x v="1"/>
    <m/>
  </r>
  <r>
    <x v="0"/>
    <n v="0"/>
    <x v="393"/>
    <m/>
  </r>
  <r>
    <x v="0"/>
    <n v="0"/>
    <x v="1"/>
    <m/>
  </r>
  <r>
    <x v="0"/>
    <n v="0"/>
    <x v="394"/>
    <m/>
  </r>
  <r>
    <x v="0"/>
    <n v="0"/>
    <x v="1"/>
    <m/>
  </r>
  <r>
    <x v="0"/>
    <n v="0"/>
    <x v="395"/>
    <m/>
  </r>
  <r>
    <x v="0"/>
    <n v="0"/>
    <x v="396"/>
    <m/>
  </r>
  <r>
    <x v="0"/>
    <n v="0"/>
    <x v="1"/>
    <m/>
  </r>
  <r>
    <x v="0"/>
    <n v="10"/>
    <x v="397"/>
    <d v="1899-12-30T00:10:00"/>
  </r>
  <r>
    <x v="0"/>
    <n v="10"/>
    <x v="398"/>
    <d v="1899-12-30T00:10:00"/>
  </r>
  <r>
    <x v="0"/>
    <n v="10"/>
    <x v="399"/>
    <d v="1899-12-30T00:10:00"/>
  </r>
  <r>
    <x v="0"/>
    <n v="10"/>
    <x v="400"/>
    <d v="1899-12-30T00:10:00"/>
  </r>
  <r>
    <x v="0"/>
    <n v="10"/>
    <x v="401"/>
    <d v="1899-12-30T00:10:00"/>
  </r>
  <r>
    <x v="0"/>
    <n v="10"/>
    <x v="402"/>
    <d v="1899-12-30T00:10:00"/>
  </r>
  <r>
    <x v="0"/>
    <n v="10"/>
    <x v="403"/>
    <d v="1899-12-30T00:10:00"/>
  </r>
  <r>
    <x v="0"/>
    <n v="10"/>
    <x v="404"/>
    <d v="1899-12-30T00:10:00"/>
  </r>
  <r>
    <x v="0"/>
    <n v="10"/>
    <x v="405"/>
    <d v="1899-12-30T00:10:00"/>
  </r>
  <r>
    <x v="0"/>
    <n v="10"/>
    <x v="406"/>
    <d v="1899-12-30T00:10:00"/>
  </r>
  <r>
    <x v="0"/>
    <n v="10"/>
    <x v="407"/>
    <d v="1899-12-30T00:10:00"/>
  </r>
  <r>
    <x v="0"/>
    <n v="10"/>
    <x v="408"/>
    <d v="1899-12-30T00:10:00"/>
  </r>
  <r>
    <x v="0"/>
    <n v="10"/>
    <x v="409"/>
    <d v="1899-12-30T00:10:00"/>
  </r>
  <r>
    <x v="0"/>
    <n v="10"/>
    <x v="410"/>
    <d v="1899-12-30T00:10:00"/>
  </r>
  <r>
    <x v="0"/>
    <n v="10"/>
    <x v="411"/>
    <d v="1899-12-30T00:10:00"/>
  </r>
  <r>
    <x v="0"/>
    <n v="0"/>
    <x v="412"/>
    <m/>
  </r>
  <r>
    <x v="0"/>
    <n v="0"/>
    <x v="413"/>
    <m/>
  </r>
  <r>
    <x v="0"/>
    <n v="0"/>
    <x v="414"/>
    <m/>
  </r>
  <r>
    <x v="0"/>
    <n v="0"/>
    <x v="1"/>
    <m/>
  </r>
  <r>
    <x v="0"/>
    <n v="0"/>
    <x v="415"/>
    <m/>
  </r>
  <r>
    <x v="0"/>
    <n v="0"/>
    <x v="1"/>
    <m/>
  </r>
  <r>
    <x v="0"/>
    <n v="0"/>
    <x v="416"/>
    <m/>
  </r>
  <r>
    <x v="0"/>
    <n v="0"/>
    <x v="1"/>
    <m/>
  </r>
  <r>
    <x v="0"/>
    <n v="0"/>
    <x v="417"/>
    <m/>
  </r>
  <r>
    <x v="0"/>
    <n v="0"/>
    <x v="418"/>
    <m/>
  </r>
  <r>
    <x v="0"/>
    <n v="0"/>
    <x v="1"/>
    <m/>
  </r>
  <r>
    <x v="0"/>
    <n v="0"/>
    <x v="419"/>
    <m/>
  </r>
  <r>
    <x v="0"/>
    <n v="0"/>
    <x v="420"/>
    <m/>
  </r>
  <r>
    <x v="0"/>
    <n v="0"/>
    <x v="1"/>
    <m/>
  </r>
  <r>
    <x v="0"/>
    <n v="0"/>
    <x v="421"/>
    <m/>
  </r>
  <r>
    <x v="0"/>
    <n v="0"/>
    <x v="1"/>
    <m/>
  </r>
  <r>
    <x v="0"/>
    <n v="0"/>
    <x v="422"/>
    <m/>
  </r>
  <r>
    <x v="0"/>
    <n v="0"/>
    <x v="423"/>
    <m/>
  </r>
  <r>
    <x v="0"/>
    <n v="0"/>
    <x v="424"/>
    <m/>
  </r>
  <r>
    <x v="0"/>
    <n v="10"/>
    <x v="425"/>
    <d v="1899-12-30T00:10:00"/>
  </r>
  <r>
    <x v="0"/>
    <n v="0"/>
    <x v="1"/>
    <m/>
  </r>
  <r>
    <x v="0"/>
    <n v="0"/>
    <x v="426"/>
    <m/>
  </r>
  <r>
    <x v="0"/>
    <n v="11"/>
    <x v="427"/>
    <d v="1899-12-30T00:11:00"/>
  </r>
  <r>
    <x v="0"/>
    <n v="0"/>
    <x v="1"/>
    <m/>
  </r>
  <r>
    <x v="0"/>
    <n v="0"/>
    <x v="428"/>
    <m/>
  </r>
  <r>
    <x v="0"/>
    <n v="0"/>
    <x v="1"/>
    <m/>
  </r>
  <r>
    <x v="0"/>
    <n v="11"/>
    <x v="429"/>
    <d v="1899-12-30T00:11:00"/>
  </r>
  <r>
    <x v="0"/>
    <n v="0"/>
    <x v="1"/>
    <m/>
  </r>
  <r>
    <x v="0"/>
    <n v="0"/>
    <x v="430"/>
    <m/>
  </r>
  <r>
    <x v="0"/>
    <n v="10"/>
    <x v="431"/>
    <d v="1899-12-30T00:10:00"/>
  </r>
  <r>
    <x v="0"/>
    <n v="0"/>
    <x v="1"/>
    <m/>
  </r>
  <r>
    <x v="0"/>
    <n v="0"/>
    <x v="432"/>
    <m/>
  </r>
  <r>
    <x v="0"/>
    <n v="10"/>
    <x v="433"/>
    <d v="1899-12-30T00:10:00"/>
  </r>
  <r>
    <x v="0"/>
    <n v="0"/>
    <x v="434"/>
    <m/>
  </r>
  <r>
    <x v="0"/>
    <n v="30.999999999999996"/>
    <x v="435"/>
    <d v="1899-12-30T00:31:00"/>
  </r>
  <r>
    <x v="0"/>
    <n v="0"/>
    <x v="1"/>
    <m/>
  </r>
  <r>
    <x v="0"/>
    <n v="10"/>
    <x v="436"/>
    <d v="1899-12-30T00:10:00"/>
  </r>
  <r>
    <x v="0"/>
    <n v="10"/>
    <x v="437"/>
    <d v="1899-12-30T00:10:00"/>
  </r>
  <r>
    <x v="0"/>
    <n v="0"/>
    <x v="1"/>
    <m/>
  </r>
  <r>
    <x v="0"/>
    <n v="10"/>
    <x v="438"/>
    <d v="1899-12-30T00:10:00"/>
  </r>
  <r>
    <x v="0"/>
    <n v="0"/>
    <x v="439"/>
    <m/>
  </r>
  <r>
    <x v="0"/>
    <n v="0"/>
    <x v="440"/>
    <m/>
  </r>
  <r>
    <x v="0"/>
    <n v="0"/>
    <x v="1"/>
    <m/>
  </r>
  <r>
    <x v="0"/>
    <n v="0"/>
    <x v="441"/>
    <m/>
  </r>
  <r>
    <x v="0"/>
    <n v="0"/>
    <x v="1"/>
    <m/>
  </r>
  <r>
    <x v="0"/>
    <n v="0"/>
    <x v="442"/>
    <m/>
  </r>
  <r>
    <x v="0"/>
    <n v="10"/>
    <x v="443"/>
    <d v="1899-12-30T00:10:00"/>
  </r>
  <r>
    <x v="0"/>
    <n v="0"/>
    <x v="444"/>
    <m/>
  </r>
  <r>
    <x v="0"/>
    <n v="0"/>
    <x v="445"/>
    <m/>
  </r>
  <r>
    <x v="0"/>
    <n v="0"/>
    <x v="1"/>
    <m/>
  </r>
  <r>
    <x v="0"/>
    <n v="0"/>
    <x v="446"/>
    <m/>
  </r>
  <r>
    <x v="0"/>
    <n v="0"/>
    <x v="1"/>
    <m/>
  </r>
  <r>
    <x v="0"/>
    <n v="0"/>
    <x v="447"/>
    <m/>
  </r>
  <r>
    <x v="0"/>
    <n v="0"/>
    <x v="448"/>
    <m/>
  </r>
  <r>
    <x v="0"/>
    <n v="0"/>
    <x v="1"/>
    <m/>
  </r>
  <r>
    <x v="0"/>
    <n v="0"/>
    <x v="449"/>
    <m/>
  </r>
  <r>
    <x v="0"/>
    <n v="0"/>
    <x v="450"/>
    <m/>
  </r>
  <r>
    <x v="0"/>
    <n v="20"/>
    <x v="451"/>
    <d v="1899-12-30T00:20:00"/>
  </r>
  <r>
    <x v="0"/>
    <n v="0"/>
    <x v="1"/>
    <m/>
  </r>
  <r>
    <x v="0"/>
    <n v="0"/>
    <x v="452"/>
    <m/>
  </r>
  <r>
    <x v="0"/>
    <n v="10"/>
    <x v="453"/>
    <d v="1899-12-30T00:10:00"/>
  </r>
  <r>
    <x v="0"/>
    <n v="0"/>
    <x v="454"/>
    <m/>
  </r>
  <r>
    <x v="0"/>
    <n v="0"/>
    <x v="1"/>
    <m/>
  </r>
  <r>
    <x v="0"/>
    <n v="10"/>
    <x v="455"/>
    <d v="1899-12-30T00:10:00"/>
  </r>
  <r>
    <x v="0"/>
    <n v="0"/>
    <x v="456"/>
    <m/>
  </r>
  <r>
    <x v="0"/>
    <n v="0"/>
    <x v="1"/>
    <m/>
  </r>
  <r>
    <x v="0"/>
    <n v="0"/>
    <x v="457"/>
    <m/>
  </r>
  <r>
    <x v="0"/>
    <n v="0"/>
    <x v="458"/>
    <m/>
  </r>
  <r>
    <x v="0"/>
    <n v="0"/>
    <x v="1"/>
    <m/>
  </r>
  <r>
    <x v="0"/>
    <n v="10"/>
    <x v="459"/>
    <d v="1899-12-30T00:10:00"/>
  </r>
  <r>
    <x v="0"/>
    <n v="60"/>
    <x v="460"/>
    <d v="1899-12-30T01:00:00"/>
  </r>
  <r>
    <x v="0"/>
    <n v="0"/>
    <x v="461"/>
    <m/>
  </r>
  <r>
    <x v="0"/>
    <n v="0"/>
    <x v="1"/>
    <m/>
  </r>
  <r>
    <x v="0"/>
    <n v="0"/>
    <x v="462"/>
    <m/>
  </r>
  <r>
    <x v="0"/>
    <n v="0"/>
    <x v="1"/>
    <m/>
  </r>
  <r>
    <x v="0"/>
    <n v="0"/>
    <x v="463"/>
    <m/>
  </r>
  <r>
    <x v="0"/>
    <n v="0"/>
    <x v="464"/>
    <m/>
  </r>
  <r>
    <x v="0"/>
    <n v="0"/>
    <x v="1"/>
    <m/>
  </r>
  <r>
    <x v="0"/>
    <n v="10"/>
    <x v="465"/>
    <d v="1899-12-30T00:10:00"/>
  </r>
  <r>
    <x v="0"/>
    <n v="0"/>
    <x v="466"/>
    <m/>
  </r>
  <r>
    <x v="0"/>
    <n v="0"/>
    <x v="467"/>
    <m/>
  </r>
  <r>
    <x v="0"/>
    <n v="0"/>
    <x v="468"/>
    <m/>
  </r>
  <r>
    <x v="0"/>
    <n v="0"/>
    <x v="469"/>
    <m/>
  </r>
  <r>
    <x v="0"/>
    <n v="0"/>
    <x v="470"/>
    <m/>
  </r>
  <r>
    <x v="0"/>
    <n v="11"/>
    <x v="471"/>
    <d v="1899-12-30T00:11:00"/>
  </r>
  <r>
    <x v="0"/>
    <n v="0"/>
    <x v="1"/>
    <m/>
  </r>
  <r>
    <x v="0"/>
    <n v="10"/>
    <x v="472"/>
    <d v="1899-12-30T00:10:00"/>
  </r>
  <r>
    <x v="0"/>
    <n v="0"/>
    <x v="1"/>
    <m/>
  </r>
  <r>
    <x v="0"/>
    <n v="11"/>
    <x v="473"/>
    <d v="1899-12-30T00:11:00"/>
  </r>
  <r>
    <x v="0"/>
    <n v="0"/>
    <x v="1"/>
    <m/>
  </r>
  <r>
    <x v="0"/>
    <n v="15"/>
    <x v="474"/>
    <d v="1899-12-30T00:15:00"/>
  </r>
  <r>
    <x v="0"/>
    <n v="0"/>
    <x v="1"/>
    <m/>
  </r>
  <r>
    <x v="0"/>
    <n v="0"/>
    <x v="475"/>
    <m/>
  </r>
  <r>
    <x v="0"/>
    <n v="0"/>
    <x v="476"/>
    <m/>
  </r>
  <r>
    <x v="0"/>
    <n v="0"/>
    <x v="477"/>
    <m/>
  </r>
  <r>
    <x v="0"/>
    <n v="0"/>
    <x v="478"/>
    <m/>
  </r>
  <r>
    <x v="0"/>
    <n v="0"/>
    <x v="1"/>
    <m/>
  </r>
  <r>
    <x v="0"/>
    <n v="0"/>
    <x v="479"/>
    <m/>
  </r>
  <r>
    <x v="0"/>
    <n v="0"/>
    <x v="1"/>
    <m/>
  </r>
  <r>
    <x v="0"/>
    <n v="16"/>
    <x v="480"/>
    <d v="1899-12-30T00:16:00"/>
  </r>
  <r>
    <x v="0"/>
    <n v="0"/>
    <x v="1"/>
    <m/>
  </r>
  <r>
    <x v="0"/>
    <n v="10"/>
    <x v="481"/>
    <d v="1899-12-30T00:10:00"/>
  </r>
  <r>
    <x v="0"/>
    <n v="0"/>
    <x v="1"/>
    <m/>
  </r>
  <r>
    <x v="0"/>
    <n v="0"/>
    <x v="482"/>
    <m/>
  </r>
  <r>
    <x v="0"/>
    <n v="10"/>
    <x v="483"/>
    <d v="1899-12-30T00:10:00"/>
  </r>
  <r>
    <x v="0"/>
    <n v="0"/>
    <x v="1"/>
    <m/>
  </r>
  <r>
    <x v="1"/>
    <m/>
    <x v="1"/>
    <m/>
  </r>
  <r>
    <x v="1"/>
    <m/>
    <x v="1"/>
    <m/>
  </r>
  <r>
    <x v="1"/>
    <m/>
    <x v="1"/>
    <m/>
  </r>
  <r>
    <x v="2"/>
    <n v="800"/>
    <x v="0"/>
    <d v="1899-12-30T13:20:00"/>
  </r>
  <r>
    <x v="2"/>
    <n v="0"/>
    <x v="1"/>
    <m/>
  </r>
  <r>
    <x v="2"/>
    <n v="0"/>
    <x v="484"/>
    <m/>
  </r>
  <r>
    <x v="2"/>
    <n v="25"/>
    <x v="2"/>
    <d v="1899-12-30T00:25:00"/>
  </r>
  <r>
    <x v="2"/>
    <n v="0"/>
    <x v="1"/>
    <m/>
  </r>
  <r>
    <x v="2"/>
    <n v="15"/>
    <x v="3"/>
    <d v="1899-12-30T00:15:00"/>
  </r>
  <r>
    <x v="2"/>
    <n v="0"/>
    <x v="1"/>
    <m/>
  </r>
  <r>
    <x v="2"/>
    <n v="0"/>
    <x v="4"/>
    <m/>
  </r>
  <r>
    <x v="2"/>
    <n v="20"/>
    <x v="5"/>
    <d v="1899-12-30T00:20:00"/>
  </r>
  <r>
    <x v="2"/>
    <n v="0"/>
    <x v="1"/>
    <m/>
  </r>
  <r>
    <x v="2"/>
    <n v="41"/>
    <x v="6"/>
    <d v="1899-12-30T00:41:00"/>
  </r>
  <r>
    <x v="2"/>
    <n v="0"/>
    <x v="1"/>
    <m/>
  </r>
  <r>
    <x v="2"/>
    <n v="0"/>
    <x v="7"/>
    <m/>
  </r>
  <r>
    <x v="2"/>
    <n v="25"/>
    <x v="8"/>
    <d v="1899-12-30T00:25:00"/>
  </r>
  <r>
    <x v="2"/>
    <n v="0"/>
    <x v="1"/>
    <m/>
  </r>
  <r>
    <x v="2"/>
    <n v="0"/>
    <x v="9"/>
    <m/>
  </r>
  <r>
    <x v="2"/>
    <n v="11"/>
    <x v="10"/>
    <d v="1899-12-30T00:11:00"/>
  </r>
  <r>
    <x v="2"/>
    <n v="0"/>
    <x v="1"/>
    <m/>
  </r>
  <r>
    <x v="2"/>
    <n v="0"/>
    <x v="485"/>
    <m/>
  </r>
  <r>
    <x v="2"/>
    <n v="86"/>
    <x v="486"/>
    <d v="1899-12-30T01:26:00"/>
  </r>
  <r>
    <x v="2"/>
    <n v="0"/>
    <x v="1"/>
    <m/>
  </r>
  <r>
    <x v="2"/>
    <n v="15"/>
    <x v="487"/>
    <d v="1899-12-30T00:15:00"/>
  </r>
  <r>
    <x v="2"/>
    <n v="0"/>
    <x v="1"/>
    <m/>
  </r>
  <r>
    <x v="2"/>
    <n v="10"/>
    <x v="12"/>
    <d v="1899-12-30T00:10:00"/>
  </r>
  <r>
    <x v="2"/>
    <n v="25"/>
    <x v="14"/>
    <d v="1899-12-30T00:25:00"/>
  </r>
  <r>
    <x v="2"/>
    <n v="0"/>
    <x v="1"/>
    <m/>
  </r>
  <r>
    <x v="2"/>
    <n v="10"/>
    <x v="15"/>
    <d v="1899-12-30T00:10:00"/>
  </r>
  <r>
    <x v="2"/>
    <n v="0"/>
    <x v="16"/>
    <m/>
  </r>
  <r>
    <x v="2"/>
    <n v="0"/>
    <x v="17"/>
    <m/>
  </r>
  <r>
    <x v="2"/>
    <n v="0"/>
    <x v="1"/>
    <m/>
  </r>
  <r>
    <x v="2"/>
    <n v="10"/>
    <x v="19"/>
    <d v="1899-12-30T00:10:00"/>
  </r>
  <r>
    <x v="2"/>
    <n v="0"/>
    <x v="20"/>
    <m/>
  </r>
  <r>
    <x v="2"/>
    <n v="0"/>
    <x v="21"/>
    <m/>
  </r>
  <r>
    <x v="2"/>
    <n v="10"/>
    <x v="22"/>
    <d v="1899-12-30T00:10:00"/>
  </r>
  <r>
    <x v="2"/>
    <n v="10"/>
    <x v="23"/>
    <d v="1899-12-30T00:10:00"/>
  </r>
  <r>
    <x v="2"/>
    <n v="10"/>
    <x v="24"/>
    <d v="1899-12-30T00:10:00"/>
  </r>
  <r>
    <x v="2"/>
    <n v="0"/>
    <x v="25"/>
    <m/>
  </r>
  <r>
    <x v="2"/>
    <n v="0"/>
    <x v="1"/>
    <m/>
  </r>
  <r>
    <x v="2"/>
    <n v="0"/>
    <x v="26"/>
    <m/>
  </r>
  <r>
    <x v="2"/>
    <n v="10"/>
    <x v="27"/>
    <d v="1899-12-30T00:10:00"/>
  </r>
  <r>
    <x v="2"/>
    <n v="0"/>
    <x v="28"/>
    <m/>
  </r>
  <r>
    <x v="2"/>
    <n v="10"/>
    <x v="29"/>
    <d v="1899-12-30T00:10:00"/>
  </r>
  <r>
    <x v="2"/>
    <n v="0"/>
    <x v="30"/>
    <m/>
  </r>
  <r>
    <x v="2"/>
    <n v="0"/>
    <x v="31"/>
    <m/>
  </r>
  <r>
    <x v="2"/>
    <n v="0"/>
    <x v="488"/>
    <m/>
  </r>
  <r>
    <x v="2"/>
    <n v="0"/>
    <x v="1"/>
    <m/>
  </r>
  <r>
    <x v="2"/>
    <n v="0"/>
    <x v="32"/>
    <m/>
  </r>
  <r>
    <x v="2"/>
    <n v="10"/>
    <x v="33"/>
    <d v="1899-12-30T00:10:00"/>
  </r>
  <r>
    <x v="2"/>
    <n v="0"/>
    <x v="1"/>
    <m/>
  </r>
  <r>
    <x v="2"/>
    <n v="0"/>
    <x v="34"/>
    <m/>
  </r>
  <r>
    <x v="2"/>
    <n v="10"/>
    <x v="35"/>
    <d v="1899-12-30T00:10:00"/>
  </r>
  <r>
    <x v="2"/>
    <n v="0"/>
    <x v="36"/>
    <m/>
  </r>
  <r>
    <x v="2"/>
    <n v="0"/>
    <x v="37"/>
    <m/>
  </r>
  <r>
    <x v="2"/>
    <n v="10"/>
    <x v="38"/>
    <d v="1899-12-30T00:10:00"/>
  </r>
  <r>
    <x v="2"/>
    <n v="0"/>
    <x v="1"/>
    <m/>
  </r>
  <r>
    <x v="2"/>
    <n v="0"/>
    <x v="39"/>
    <m/>
  </r>
  <r>
    <x v="2"/>
    <n v="0"/>
    <x v="1"/>
    <m/>
  </r>
  <r>
    <x v="2"/>
    <n v="0"/>
    <x v="40"/>
    <m/>
  </r>
  <r>
    <x v="2"/>
    <n v="0"/>
    <x v="41"/>
    <m/>
  </r>
  <r>
    <x v="2"/>
    <n v="0"/>
    <x v="42"/>
    <m/>
  </r>
  <r>
    <x v="2"/>
    <n v="0"/>
    <x v="43"/>
    <m/>
  </r>
  <r>
    <x v="2"/>
    <n v="0"/>
    <x v="1"/>
    <m/>
  </r>
  <r>
    <x v="2"/>
    <n v="16"/>
    <x v="44"/>
    <d v="1899-12-30T00:16:00"/>
  </r>
  <r>
    <x v="2"/>
    <n v="0"/>
    <x v="1"/>
    <m/>
  </r>
  <r>
    <x v="2"/>
    <n v="0"/>
    <x v="45"/>
    <m/>
  </r>
  <r>
    <x v="2"/>
    <n v="10"/>
    <x v="46"/>
    <d v="1899-12-30T00:10:00"/>
  </r>
  <r>
    <x v="2"/>
    <n v="16"/>
    <x v="47"/>
    <d v="1899-12-30T00:16:00"/>
  </r>
  <r>
    <x v="2"/>
    <n v="0"/>
    <x v="1"/>
    <m/>
  </r>
  <r>
    <x v="2"/>
    <n v="0"/>
    <x v="48"/>
    <m/>
  </r>
  <r>
    <x v="2"/>
    <n v="0"/>
    <x v="49"/>
    <m/>
  </r>
  <r>
    <x v="2"/>
    <n v="0"/>
    <x v="50"/>
    <m/>
  </r>
  <r>
    <x v="2"/>
    <n v="10"/>
    <x v="51"/>
    <d v="1899-12-30T00:10:00"/>
  </r>
  <r>
    <x v="2"/>
    <n v="10"/>
    <x v="52"/>
    <d v="1899-12-30T00:10:00"/>
  </r>
  <r>
    <x v="2"/>
    <n v="0"/>
    <x v="53"/>
    <m/>
  </r>
  <r>
    <x v="2"/>
    <n v="50"/>
    <x v="54"/>
    <d v="1899-12-30T00:50:00"/>
  </r>
  <r>
    <x v="2"/>
    <n v="0"/>
    <x v="1"/>
    <m/>
  </r>
  <r>
    <x v="2"/>
    <n v="0"/>
    <x v="55"/>
    <m/>
  </r>
  <r>
    <x v="2"/>
    <n v="0"/>
    <x v="56"/>
    <m/>
  </r>
  <r>
    <x v="2"/>
    <n v="0"/>
    <x v="57"/>
    <m/>
  </r>
  <r>
    <x v="2"/>
    <n v="0"/>
    <x v="1"/>
    <m/>
  </r>
  <r>
    <x v="2"/>
    <n v="232.00000000000003"/>
    <x v="58"/>
    <d v="1899-12-30T03:52:00"/>
  </r>
  <r>
    <x v="2"/>
    <n v="0"/>
    <x v="1"/>
    <m/>
  </r>
  <r>
    <x v="2"/>
    <n v="0"/>
    <x v="59"/>
    <m/>
  </r>
  <r>
    <x v="2"/>
    <n v="20"/>
    <x v="60"/>
    <d v="1899-12-30T00:20:00"/>
  </r>
  <r>
    <x v="2"/>
    <n v="0"/>
    <x v="1"/>
    <m/>
  </r>
  <r>
    <x v="2"/>
    <n v="30"/>
    <x v="61"/>
    <d v="1899-12-30T00:30:00"/>
  </r>
  <r>
    <x v="2"/>
    <n v="0"/>
    <x v="1"/>
    <m/>
  </r>
  <r>
    <x v="2"/>
    <n v="10"/>
    <x v="62"/>
    <d v="1899-12-30T00:10:00"/>
  </r>
  <r>
    <x v="2"/>
    <n v="96"/>
    <x v="63"/>
    <d v="1899-12-30T01:36:00"/>
  </r>
  <r>
    <x v="2"/>
    <n v="0"/>
    <x v="1"/>
    <m/>
  </r>
  <r>
    <x v="2"/>
    <n v="0"/>
    <x v="64"/>
    <m/>
  </r>
  <r>
    <x v="2"/>
    <n v="60"/>
    <x v="65"/>
    <d v="1899-12-30T01:00:00"/>
  </r>
  <r>
    <x v="2"/>
    <n v="0"/>
    <x v="1"/>
    <m/>
  </r>
  <r>
    <x v="2"/>
    <n v="0"/>
    <x v="66"/>
    <m/>
  </r>
  <r>
    <x v="2"/>
    <n v="10"/>
    <x v="67"/>
    <d v="1899-12-30T00:10:00"/>
  </r>
  <r>
    <x v="2"/>
    <n v="0"/>
    <x v="68"/>
    <m/>
  </r>
  <r>
    <x v="2"/>
    <n v="91"/>
    <x v="69"/>
    <d v="1899-12-30T01:31:00"/>
  </r>
  <r>
    <x v="2"/>
    <n v="0"/>
    <x v="1"/>
    <m/>
  </r>
  <r>
    <x v="2"/>
    <n v="0"/>
    <x v="70"/>
    <m/>
  </r>
  <r>
    <x v="2"/>
    <n v="10"/>
    <x v="71"/>
    <d v="1899-12-30T00:10:00"/>
  </r>
  <r>
    <x v="2"/>
    <n v="153"/>
    <x v="72"/>
    <d v="1899-12-30T02:33:00"/>
  </r>
  <r>
    <x v="2"/>
    <n v="0"/>
    <x v="1"/>
    <m/>
  </r>
  <r>
    <x v="2"/>
    <n v="65.999999999999986"/>
    <x v="73"/>
    <d v="1899-12-30T01:06:00"/>
  </r>
  <r>
    <x v="2"/>
    <n v="0"/>
    <x v="1"/>
    <m/>
  </r>
  <r>
    <x v="2"/>
    <n v="15"/>
    <x v="74"/>
    <d v="1899-12-30T00:15:00"/>
  </r>
  <r>
    <x v="2"/>
    <n v="0"/>
    <x v="1"/>
    <m/>
  </r>
  <r>
    <x v="2"/>
    <n v="40"/>
    <x v="75"/>
    <d v="1899-12-30T00:40:00"/>
  </r>
  <r>
    <x v="2"/>
    <n v="0"/>
    <x v="1"/>
    <m/>
  </r>
  <r>
    <x v="2"/>
    <n v="10"/>
    <x v="76"/>
    <d v="1899-12-30T00:10:00"/>
  </r>
  <r>
    <x v="2"/>
    <n v="0"/>
    <x v="1"/>
    <m/>
  </r>
  <r>
    <x v="2"/>
    <n v="10"/>
    <x v="77"/>
    <d v="1899-12-30T00:10:00"/>
  </r>
  <r>
    <x v="2"/>
    <n v="0"/>
    <x v="1"/>
    <m/>
  </r>
  <r>
    <x v="2"/>
    <n v="267"/>
    <x v="78"/>
    <d v="1899-12-30T04:27:00"/>
  </r>
  <r>
    <x v="2"/>
    <n v="0"/>
    <x v="1"/>
    <m/>
  </r>
  <r>
    <x v="2"/>
    <n v="0"/>
    <x v="79"/>
    <m/>
  </r>
  <r>
    <x v="2"/>
    <n v="25.999999999999996"/>
    <x v="489"/>
    <d v="1899-12-30T00:26:00"/>
  </r>
  <r>
    <x v="2"/>
    <n v="0"/>
    <x v="1"/>
    <m/>
  </r>
  <r>
    <x v="2"/>
    <n v="0"/>
    <x v="80"/>
    <m/>
  </r>
  <r>
    <x v="2"/>
    <n v="10"/>
    <x v="490"/>
    <d v="1899-12-30T00:10:00"/>
  </r>
  <r>
    <x v="2"/>
    <n v="10"/>
    <x v="81"/>
    <d v="1899-12-30T00:10:00"/>
  </r>
  <r>
    <x v="2"/>
    <n v="0"/>
    <x v="1"/>
    <m/>
  </r>
  <r>
    <x v="2"/>
    <n v="11"/>
    <x v="82"/>
    <d v="1899-12-30T00:11:00"/>
  </r>
  <r>
    <x v="2"/>
    <n v="0"/>
    <x v="1"/>
    <m/>
  </r>
  <r>
    <x v="2"/>
    <n v="21"/>
    <x v="83"/>
    <d v="1899-12-30T00:21:00"/>
  </r>
  <r>
    <x v="2"/>
    <n v="0"/>
    <x v="1"/>
    <m/>
  </r>
  <r>
    <x v="2"/>
    <n v="433.99999999999994"/>
    <x v="84"/>
    <d v="1899-12-30T07:14:00"/>
  </r>
  <r>
    <x v="2"/>
    <n v="0"/>
    <x v="1"/>
    <m/>
  </r>
  <r>
    <x v="2"/>
    <n v="81"/>
    <x v="85"/>
    <d v="1899-12-30T01:21:00"/>
  </r>
  <r>
    <x v="2"/>
    <n v="0"/>
    <x v="1"/>
    <m/>
  </r>
  <r>
    <x v="2"/>
    <n v="23"/>
    <x v="86"/>
    <d v="1899-12-30T00:23:00"/>
  </r>
  <r>
    <x v="2"/>
    <n v="0"/>
    <x v="1"/>
    <m/>
  </r>
  <r>
    <x v="2"/>
    <n v="30.999999999999996"/>
    <x v="87"/>
    <d v="1899-12-30T00:31:00"/>
  </r>
  <r>
    <x v="2"/>
    <n v="0"/>
    <x v="1"/>
    <m/>
  </r>
  <r>
    <x v="2"/>
    <n v="0"/>
    <x v="88"/>
    <m/>
  </r>
  <r>
    <x v="2"/>
    <n v="15"/>
    <x v="89"/>
    <d v="1899-12-30T00:15:00"/>
  </r>
  <r>
    <x v="2"/>
    <n v="0"/>
    <x v="1"/>
    <m/>
  </r>
  <r>
    <x v="2"/>
    <n v="26.999999999999996"/>
    <x v="90"/>
    <d v="1899-12-30T00:27:00"/>
  </r>
  <r>
    <x v="2"/>
    <n v="0"/>
    <x v="1"/>
    <m/>
  </r>
  <r>
    <x v="2"/>
    <n v="0"/>
    <x v="91"/>
    <m/>
  </r>
  <r>
    <x v="2"/>
    <n v="15"/>
    <x v="92"/>
    <d v="1899-12-30T00:15:00"/>
  </r>
  <r>
    <x v="2"/>
    <n v="0"/>
    <x v="1"/>
    <m/>
  </r>
  <r>
    <x v="2"/>
    <n v="0"/>
    <x v="93"/>
    <m/>
  </r>
  <r>
    <x v="2"/>
    <n v="10"/>
    <x v="94"/>
    <d v="1899-12-30T00:10:00"/>
  </r>
  <r>
    <x v="2"/>
    <n v="0"/>
    <x v="1"/>
    <m/>
  </r>
  <r>
    <x v="2"/>
    <n v="0"/>
    <x v="95"/>
    <m/>
  </r>
  <r>
    <x v="2"/>
    <n v="10"/>
    <x v="96"/>
    <d v="1899-12-30T00:10:00"/>
  </r>
  <r>
    <x v="2"/>
    <n v="10"/>
    <x v="97"/>
    <d v="1899-12-30T00:10:00"/>
  </r>
  <r>
    <x v="2"/>
    <n v="10"/>
    <x v="98"/>
    <d v="1899-12-30T00:10:00"/>
  </r>
  <r>
    <x v="2"/>
    <n v="116.00000000000001"/>
    <x v="99"/>
    <d v="1899-12-30T01:56:00"/>
  </r>
  <r>
    <x v="2"/>
    <n v="0"/>
    <x v="1"/>
    <m/>
  </r>
  <r>
    <x v="2"/>
    <n v="0"/>
    <x v="100"/>
    <m/>
  </r>
  <r>
    <x v="2"/>
    <n v="20"/>
    <x v="101"/>
    <d v="1899-12-30T00:20:00"/>
  </r>
  <r>
    <x v="2"/>
    <n v="0"/>
    <x v="1"/>
    <m/>
  </r>
  <r>
    <x v="2"/>
    <n v="16"/>
    <x v="102"/>
    <d v="1899-12-30T00:16:00"/>
  </r>
  <r>
    <x v="2"/>
    <n v="0"/>
    <x v="1"/>
    <m/>
  </r>
  <r>
    <x v="2"/>
    <n v="0"/>
    <x v="103"/>
    <m/>
  </r>
  <r>
    <x v="2"/>
    <n v="10"/>
    <x v="104"/>
    <d v="1899-12-30T00:10:00"/>
  </r>
  <r>
    <x v="2"/>
    <n v="26.999999999999996"/>
    <x v="105"/>
    <d v="1899-12-30T00:27:00"/>
  </r>
  <r>
    <x v="2"/>
    <n v="0"/>
    <x v="1"/>
    <m/>
  </r>
  <r>
    <x v="2"/>
    <n v="20"/>
    <x v="491"/>
    <d v="1899-12-30T00:20:00"/>
  </r>
  <r>
    <x v="2"/>
    <n v="0"/>
    <x v="1"/>
    <m/>
  </r>
  <r>
    <x v="2"/>
    <n v="20"/>
    <x v="107"/>
    <d v="1899-12-30T00:20:00"/>
  </r>
  <r>
    <x v="2"/>
    <n v="0"/>
    <x v="1"/>
    <m/>
  </r>
  <r>
    <x v="2"/>
    <n v="10"/>
    <x v="492"/>
    <d v="1899-12-30T00:10:00"/>
  </r>
  <r>
    <x v="2"/>
    <n v="10"/>
    <x v="108"/>
    <d v="1899-12-30T00:10:00"/>
  </r>
  <r>
    <x v="2"/>
    <n v="0"/>
    <x v="1"/>
    <m/>
  </r>
  <r>
    <x v="2"/>
    <n v="148"/>
    <x v="493"/>
    <d v="1899-12-30T02:28:00"/>
  </r>
  <r>
    <x v="2"/>
    <n v="0"/>
    <x v="1"/>
    <m/>
  </r>
  <r>
    <x v="2"/>
    <n v="10"/>
    <x v="109"/>
    <d v="1899-12-30T00:10:00"/>
  </r>
  <r>
    <x v="2"/>
    <n v="12"/>
    <x v="110"/>
    <d v="1899-12-30T00:12:00"/>
  </r>
  <r>
    <x v="2"/>
    <n v="0"/>
    <x v="1"/>
    <m/>
  </r>
  <r>
    <x v="2"/>
    <n v="10"/>
    <x v="494"/>
    <d v="1899-12-30T00:10:00"/>
  </r>
  <r>
    <x v="2"/>
    <n v="15"/>
    <x v="111"/>
    <d v="1899-12-30T00:15:00"/>
  </r>
  <r>
    <x v="2"/>
    <n v="0"/>
    <x v="1"/>
    <m/>
  </r>
  <r>
    <x v="2"/>
    <n v="10"/>
    <x v="112"/>
    <d v="1899-12-30T00:10:00"/>
  </r>
  <r>
    <x v="2"/>
    <n v="10"/>
    <x v="495"/>
    <d v="1899-12-30T00:10:00"/>
  </r>
  <r>
    <x v="2"/>
    <n v="10"/>
    <x v="113"/>
    <d v="1899-12-30T00:10:00"/>
  </r>
  <r>
    <x v="2"/>
    <n v="10"/>
    <x v="496"/>
    <d v="1899-12-30T00:10:00"/>
  </r>
  <r>
    <x v="2"/>
    <n v="10"/>
    <x v="497"/>
    <d v="1899-12-30T00:10:00"/>
  </r>
  <r>
    <x v="2"/>
    <n v="10"/>
    <x v="114"/>
    <d v="1899-12-30T00:10:00"/>
  </r>
  <r>
    <x v="2"/>
    <n v="1155"/>
    <x v="115"/>
    <d v="1899-12-30T19:15:00"/>
  </r>
  <r>
    <x v="2"/>
    <n v="0"/>
    <x v="1"/>
    <m/>
  </r>
  <r>
    <x v="2"/>
    <n v="0"/>
    <x v="498"/>
    <m/>
  </r>
  <r>
    <x v="2"/>
    <n v="10"/>
    <x v="499"/>
    <d v="1899-12-30T00:10:00"/>
  </r>
  <r>
    <x v="2"/>
    <n v="10"/>
    <x v="500"/>
    <d v="1899-12-30T00:10:00"/>
  </r>
  <r>
    <x v="2"/>
    <n v="0"/>
    <x v="1"/>
    <m/>
  </r>
  <r>
    <x v="2"/>
    <n v="10"/>
    <x v="116"/>
    <d v="1899-12-30T00:10:00"/>
  </r>
  <r>
    <x v="2"/>
    <n v="0"/>
    <x v="1"/>
    <m/>
  </r>
  <r>
    <x v="2"/>
    <n v="10"/>
    <x v="501"/>
    <d v="1899-12-30T00:10:00"/>
  </r>
  <r>
    <x v="2"/>
    <n v="10"/>
    <x v="502"/>
    <d v="1899-12-30T00:10:00"/>
  </r>
  <r>
    <x v="2"/>
    <n v="10"/>
    <x v="503"/>
    <d v="1899-12-30T00:10:00"/>
  </r>
  <r>
    <x v="2"/>
    <n v="10"/>
    <x v="117"/>
    <d v="1899-12-30T00:10:00"/>
  </r>
  <r>
    <x v="2"/>
    <n v="0"/>
    <x v="1"/>
    <m/>
  </r>
  <r>
    <x v="2"/>
    <n v="10"/>
    <x v="118"/>
    <d v="1899-12-30T00:10:00"/>
  </r>
  <r>
    <x v="2"/>
    <n v="10"/>
    <x v="504"/>
    <d v="1899-12-30T00:10:00"/>
  </r>
  <r>
    <x v="2"/>
    <n v="0"/>
    <x v="119"/>
    <m/>
  </r>
  <r>
    <x v="2"/>
    <n v="10"/>
    <x v="505"/>
    <d v="1899-12-30T00:10:00"/>
  </r>
  <r>
    <x v="2"/>
    <n v="0"/>
    <x v="120"/>
    <m/>
  </r>
  <r>
    <x v="2"/>
    <n v="10"/>
    <x v="121"/>
    <d v="1899-12-30T00:10:00"/>
  </r>
  <r>
    <x v="2"/>
    <n v="10"/>
    <x v="122"/>
    <d v="1899-12-30T00:10:00"/>
  </r>
  <r>
    <x v="2"/>
    <n v="0"/>
    <x v="1"/>
    <m/>
  </r>
  <r>
    <x v="2"/>
    <n v="10"/>
    <x v="123"/>
    <d v="1899-12-30T00:10:00"/>
  </r>
  <r>
    <x v="2"/>
    <n v="10"/>
    <x v="124"/>
    <d v="1899-12-30T00:10:00"/>
  </r>
  <r>
    <x v="2"/>
    <n v="10"/>
    <x v="506"/>
    <d v="1899-12-30T00:10:00"/>
  </r>
  <r>
    <x v="2"/>
    <n v="10"/>
    <x v="125"/>
    <d v="1899-12-30T00:10:00"/>
  </r>
  <r>
    <x v="2"/>
    <n v="0"/>
    <x v="1"/>
    <m/>
  </r>
  <r>
    <x v="2"/>
    <n v="10"/>
    <x v="126"/>
    <d v="1899-12-30T00:10:00"/>
  </r>
  <r>
    <x v="2"/>
    <n v="0"/>
    <x v="1"/>
    <m/>
  </r>
  <r>
    <x v="2"/>
    <n v="0"/>
    <x v="507"/>
    <m/>
  </r>
  <r>
    <x v="2"/>
    <n v="10"/>
    <x v="129"/>
    <d v="1899-12-30T00:10:00"/>
  </r>
  <r>
    <x v="2"/>
    <n v="0"/>
    <x v="1"/>
    <m/>
  </r>
  <r>
    <x v="2"/>
    <n v="11"/>
    <x v="130"/>
    <d v="1899-12-30T00:11:00"/>
  </r>
  <r>
    <x v="2"/>
    <n v="0"/>
    <x v="1"/>
    <m/>
  </r>
  <r>
    <x v="2"/>
    <n v="15"/>
    <x v="131"/>
    <d v="1899-12-30T00:15:00"/>
  </r>
  <r>
    <x v="2"/>
    <n v="0"/>
    <x v="1"/>
    <m/>
  </r>
  <r>
    <x v="2"/>
    <n v="10"/>
    <x v="132"/>
    <d v="1899-12-30T00:10:00"/>
  </r>
  <r>
    <x v="2"/>
    <n v="0"/>
    <x v="1"/>
    <m/>
  </r>
  <r>
    <x v="2"/>
    <n v="10"/>
    <x v="133"/>
    <d v="1899-12-30T00:10:00"/>
  </r>
  <r>
    <x v="2"/>
    <n v="0"/>
    <x v="1"/>
    <m/>
  </r>
  <r>
    <x v="2"/>
    <n v="12.999999999999998"/>
    <x v="134"/>
    <d v="1899-12-30T00:13:00"/>
  </r>
  <r>
    <x v="2"/>
    <n v="0"/>
    <x v="1"/>
    <m/>
  </r>
  <r>
    <x v="2"/>
    <n v="0"/>
    <x v="508"/>
    <m/>
  </r>
  <r>
    <x v="2"/>
    <n v="0"/>
    <x v="509"/>
    <m/>
  </r>
  <r>
    <x v="2"/>
    <n v="20"/>
    <x v="510"/>
    <d v="1899-12-30T00:20:00"/>
  </r>
  <r>
    <x v="2"/>
    <n v="0"/>
    <x v="1"/>
    <m/>
  </r>
  <r>
    <x v="2"/>
    <n v="10"/>
    <x v="135"/>
    <d v="1899-12-30T00:10:00"/>
  </r>
  <r>
    <x v="2"/>
    <n v="10"/>
    <x v="136"/>
    <d v="1899-12-30T00:10:00"/>
  </r>
  <r>
    <x v="2"/>
    <n v="0"/>
    <x v="137"/>
    <m/>
  </r>
  <r>
    <x v="2"/>
    <n v="10"/>
    <x v="138"/>
    <d v="1899-12-30T00:10:00"/>
  </r>
  <r>
    <x v="2"/>
    <n v="15"/>
    <x v="511"/>
    <d v="1899-12-30T00:15:00"/>
  </r>
  <r>
    <x v="2"/>
    <n v="0"/>
    <x v="1"/>
    <m/>
  </r>
  <r>
    <x v="2"/>
    <n v="0"/>
    <x v="139"/>
    <m/>
  </r>
  <r>
    <x v="2"/>
    <n v="0"/>
    <x v="140"/>
    <m/>
  </r>
  <r>
    <x v="2"/>
    <n v="0"/>
    <x v="141"/>
    <m/>
  </r>
  <r>
    <x v="2"/>
    <n v="22"/>
    <x v="142"/>
    <d v="1899-12-30T00:22:00"/>
  </r>
  <r>
    <x v="2"/>
    <n v="0"/>
    <x v="1"/>
    <m/>
  </r>
  <r>
    <x v="2"/>
    <n v="119"/>
    <x v="512"/>
    <d v="1899-12-30T01:59:00"/>
  </r>
  <r>
    <x v="2"/>
    <n v="0"/>
    <x v="1"/>
    <m/>
  </r>
  <r>
    <x v="2"/>
    <n v="0"/>
    <x v="513"/>
    <m/>
  </r>
  <r>
    <x v="2"/>
    <n v="0"/>
    <x v="514"/>
    <m/>
  </r>
  <r>
    <x v="2"/>
    <n v="91"/>
    <x v="143"/>
    <d v="1899-12-30T01:31:00"/>
  </r>
  <r>
    <x v="2"/>
    <n v="0"/>
    <x v="1"/>
    <m/>
  </r>
  <r>
    <x v="2"/>
    <n v="111"/>
    <x v="144"/>
    <d v="1899-12-30T01:51:00"/>
  </r>
  <r>
    <x v="2"/>
    <n v="0"/>
    <x v="1"/>
    <m/>
  </r>
  <r>
    <x v="2"/>
    <n v="0"/>
    <x v="515"/>
    <m/>
  </r>
  <r>
    <x v="2"/>
    <n v="20"/>
    <x v="516"/>
    <d v="1899-12-30T00:20:00"/>
  </r>
  <r>
    <x v="2"/>
    <n v="0"/>
    <x v="1"/>
    <m/>
  </r>
  <r>
    <x v="2"/>
    <n v="10"/>
    <x v="517"/>
    <d v="1899-12-30T00:10:00"/>
  </r>
  <r>
    <x v="2"/>
    <n v="15"/>
    <x v="518"/>
    <d v="1899-12-30T00:15:00"/>
  </r>
  <r>
    <x v="2"/>
    <n v="0"/>
    <x v="1"/>
    <m/>
  </r>
  <r>
    <x v="2"/>
    <n v="0"/>
    <x v="519"/>
    <m/>
  </r>
  <r>
    <x v="2"/>
    <n v="10"/>
    <x v="145"/>
    <d v="1899-12-30T00:10:00"/>
  </r>
  <r>
    <x v="2"/>
    <n v="10"/>
    <x v="146"/>
    <d v="1899-12-30T00:10:00"/>
  </r>
  <r>
    <x v="2"/>
    <n v="0"/>
    <x v="147"/>
    <m/>
  </r>
  <r>
    <x v="2"/>
    <n v="10"/>
    <x v="148"/>
    <d v="1899-12-30T00:10:00"/>
  </r>
  <r>
    <x v="2"/>
    <n v="56"/>
    <x v="149"/>
    <d v="1899-12-30T00:56:00"/>
  </r>
  <r>
    <x v="2"/>
    <n v="0"/>
    <x v="1"/>
    <m/>
  </r>
  <r>
    <x v="2"/>
    <n v="336"/>
    <x v="520"/>
    <d v="1899-12-30T05:36:00"/>
  </r>
  <r>
    <x v="2"/>
    <n v="0"/>
    <x v="1"/>
    <m/>
  </r>
  <r>
    <x v="2"/>
    <n v="0"/>
    <x v="150"/>
    <m/>
  </r>
  <r>
    <x v="2"/>
    <n v="0"/>
    <x v="151"/>
    <m/>
  </r>
  <r>
    <x v="2"/>
    <n v="0"/>
    <x v="521"/>
    <m/>
  </r>
  <r>
    <x v="2"/>
    <n v="10"/>
    <x v="522"/>
    <d v="1899-12-30T00:10:00"/>
  </r>
  <r>
    <x v="2"/>
    <n v="0"/>
    <x v="152"/>
    <m/>
  </r>
  <r>
    <x v="2"/>
    <n v="20"/>
    <x v="153"/>
    <d v="1899-12-30T00:20:00"/>
  </r>
  <r>
    <x v="2"/>
    <n v="0"/>
    <x v="1"/>
    <m/>
  </r>
  <r>
    <x v="2"/>
    <n v="10"/>
    <x v="523"/>
    <d v="1899-12-30T00:10:00"/>
  </r>
  <r>
    <x v="2"/>
    <n v="0"/>
    <x v="154"/>
    <m/>
  </r>
  <r>
    <x v="2"/>
    <n v="10"/>
    <x v="155"/>
    <d v="1899-12-30T00:10:00"/>
  </r>
  <r>
    <x v="2"/>
    <n v="10"/>
    <x v="156"/>
    <d v="1899-12-30T00:10:00"/>
  </r>
  <r>
    <x v="2"/>
    <n v="10"/>
    <x v="524"/>
    <d v="1899-12-30T00:10:00"/>
  </r>
  <r>
    <x v="2"/>
    <n v="10"/>
    <x v="525"/>
    <d v="1899-12-30T00:10:00"/>
  </r>
  <r>
    <x v="2"/>
    <n v="10"/>
    <x v="158"/>
    <d v="1899-12-30T00:10:00"/>
  </r>
  <r>
    <x v="2"/>
    <n v="10"/>
    <x v="159"/>
    <d v="1899-12-30T00:10:00"/>
  </r>
  <r>
    <x v="2"/>
    <n v="10"/>
    <x v="526"/>
    <d v="1899-12-30T00:10:00"/>
  </r>
  <r>
    <x v="2"/>
    <n v="0"/>
    <x v="160"/>
    <m/>
  </r>
  <r>
    <x v="2"/>
    <n v="10"/>
    <x v="161"/>
    <d v="1899-12-30T00:10:00"/>
  </r>
  <r>
    <x v="2"/>
    <n v="10"/>
    <x v="162"/>
    <d v="1899-12-30T00:10:00"/>
  </r>
  <r>
    <x v="2"/>
    <n v="10"/>
    <x v="527"/>
    <d v="1899-12-30T00:10:00"/>
  </r>
  <r>
    <x v="2"/>
    <n v="0"/>
    <x v="164"/>
    <m/>
  </r>
  <r>
    <x v="2"/>
    <n v="10"/>
    <x v="528"/>
    <d v="1899-12-30T00:10:00"/>
  </r>
  <r>
    <x v="2"/>
    <n v="0"/>
    <x v="1"/>
    <m/>
  </r>
  <r>
    <x v="2"/>
    <n v="75"/>
    <x v="165"/>
    <d v="1899-12-30T01:15:00"/>
  </r>
  <r>
    <x v="2"/>
    <n v="0"/>
    <x v="1"/>
    <m/>
  </r>
  <r>
    <x v="2"/>
    <n v="111"/>
    <x v="166"/>
    <d v="1899-12-30T01:51:00"/>
  </r>
  <r>
    <x v="2"/>
    <n v="0"/>
    <x v="1"/>
    <m/>
  </r>
  <r>
    <x v="2"/>
    <n v="0"/>
    <x v="529"/>
    <m/>
  </r>
  <r>
    <x v="2"/>
    <n v="10"/>
    <x v="167"/>
    <d v="1899-12-30T00:10:00"/>
  </r>
  <r>
    <x v="2"/>
    <n v="10"/>
    <x v="168"/>
    <d v="1899-12-30T00:10:00"/>
  </r>
  <r>
    <x v="2"/>
    <n v="46"/>
    <x v="169"/>
    <d v="1899-12-30T00:46:00"/>
  </r>
  <r>
    <x v="2"/>
    <n v="0"/>
    <x v="1"/>
    <m/>
  </r>
  <r>
    <x v="2"/>
    <n v="15"/>
    <x v="170"/>
    <d v="1899-12-30T00:15:00"/>
  </r>
  <r>
    <x v="2"/>
    <n v="0"/>
    <x v="1"/>
    <m/>
  </r>
  <r>
    <x v="2"/>
    <n v="0"/>
    <x v="171"/>
    <m/>
  </r>
  <r>
    <x v="2"/>
    <n v="0"/>
    <x v="530"/>
    <m/>
  </r>
  <r>
    <x v="2"/>
    <n v="20"/>
    <x v="172"/>
    <d v="1899-12-30T00:20:00"/>
  </r>
  <r>
    <x v="2"/>
    <n v="0"/>
    <x v="1"/>
    <m/>
  </r>
  <r>
    <x v="2"/>
    <n v="0"/>
    <x v="173"/>
    <m/>
  </r>
  <r>
    <x v="2"/>
    <n v="10"/>
    <x v="174"/>
    <d v="1899-12-30T00:10:00"/>
  </r>
  <r>
    <x v="2"/>
    <n v="0"/>
    <x v="175"/>
    <m/>
  </r>
  <r>
    <x v="2"/>
    <n v="10"/>
    <x v="176"/>
    <d v="1899-12-30T00:10:00"/>
  </r>
  <r>
    <x v="2"/>
    <n v="10"/>
    <x v="177"/>
    <d v="1899-12-30T00:10:00"/>
  </r>
  <r>
    <x v="2"/>
    <n v="90"/>
    <x v="531"/>
    <d v="1899-12-30T01:30:00"/>
  </r>
  <r>
    <x v="2"/>
    <n v="0"/>
    <x v="1"/>
    <m/>
  </r>
  <r>
    <x v="2"/>
    <n v="10"/>
    <x v="532"/>
    <d v="1899-12-30T00:10:00"/>
  </r>
  <r>
    <x v="2"/>
    <n v="10"/>
    <x v="180"/>
    <d v="1899-12-30T00:10:00"/>
  </r>
  <r>
    <x v="2"/>
    <n v="0"/>
    <x v="1"/>
    <m/>
  </r>
  <r>
    <x v="2"/>
    <n v="15"/>
    <x v="181"/>
    <d v="1899-12-30T00:15:00"/>
  </r>
  <r>
    <x v="2"/>
    <n v="0"/>
    <x v="1"/>
    <m/>
  </r>
  <r>
    <x v="2"/>
    <n v="20"/>
    <x v="182"/>
    <d v="1899-12-30T00:20:00"/>
  </r>
  <r>
    <x v="2"/>
    <n v="0"/>
    <x v="1"/>
    <m/>
  </r>
  <r>
    <x v="2"/>
    <n v="0"/>
    <x v="533"/>
    <m/>
  </r>
  <r>
    <x v="2"/>
    <n v="0"/>
    <x v="534"/>
    <m/>
  </r>
  <r>
    <x v="2"/>
    <n v="10"/>
    <x v="184"/>
    <d v="1899-12-30T00:10:00"/>
  </r>
  <r>
    <x v="2"/>
    <n v="10"/>
    <x v="185"/>
    <d v="1899-12-30T00:10:00"/>
  </r>
  <r>
    <x v="2"/>
    <n v="0"/>
    <x v="1"/>
    <m/>
  </r>
  <r>
    <x v="2"/>
    <n v="0"/>
    <x v="186"/>
    <m/>
  </r>
  <r>
    <x v="2"/>
    <n v="10"/>
    <x v="535"/>
    <d v="1899-12-30T00:10:00"/>
  </r>
  <r>
    <x v="2"/>
    <n v="10"/>
    <x v="536"/>
    <d v="1899-12-30T00:10:00"/>
  </r>
  <r>
    <x v="2"/>
    <n v="0"/>
    <x v="1"/>
    <m/>
  </r>
  <r>
    <x v="2"/>
    <n v="10"/>
    <x v="187"/>
    <d v="1899-12-30T00:10:00"/>
  </r>
  <r>
    <x v="2"/>
    <n v="20"/>
    <x v="537"/>
    <d v="1899-12-30T00:20:00"/>
  </r>
  <r>
    <x v="2"/>
    <n v="0"/>
    <x v="1"/>
    <m/>
  </r>
  <r>
    <x v="2"/>
    <n v="24"/>
    <x v="188"/>
    <d v="1899-12-30T00:24:00"/>
  </r>
  <r>
    <x v="2"/>
    <n v="0"/>
    <x v="1"/>
    <m/>
  </r>
  <r>
    <x v="2"/>
    <n v="10"/>
    <x v="189"/>
    <d v="1899-12-30T00:10:00"/>
  </r>
  <r>
    <x v="2"/>
    <n v="0"/>
    <x v="1"/>
    <m/>
  </r>
  <r>
    <x v="2"/>
    <n v="10"/>
    <x v="538"/>
    <d v="1899-12-30T00:10:00"/>
  </r>
  <r>
    <x v="2"/>
    <n v="10"/>
    <x v="539"/>
    <d v="1899-12-30T00:10:00"/>
  </r>
  <r>
    <x v="2"/>
    <n v="10"/>
    <x v="540"/>
    <d v="1899-12-30T00:10:00"/>
  </r>
  <r>
    <x v="2"/>
    <n v="0"/>
    <x v="191"/>
    <m/>
  </r>
  <r>
    <x v="2"/>
    <n v="170.99999999999997"/>
    <x v="192"/>
    <d v="1899-12-30T02:51:00"/>
  </r>
  <r>
    <x v="2"/>
    <n v="0"/>
    <x v="1"/>
    <m/>
  </r>
  <r>
    <x v="2"/>
    <n v="10"/>
    <x v="193"/>
    <d v="1899-12-30T00:10:00"/>
  </r>
  <r>
    <x v="2"/>
    <n v="0"/>
    <x v="1"/>
    <m/>
  </r>
  <r>
    <x v="2"/>
    <n v="10"/>
    <x v="541"/>
    <d v="1899-12-30T00:10:00"/>
  </r>
  <r>
    <x v="2"/>
    <n v="10"/>
    <x v="194"/>
    <d v="1899-12-30T00:10:00"/>
  </r>
  <r>
    <x v="2"/>
    <n v="0"/>
    <x v="1"/>
    <m/>
  </r>
  <r>
    <x v="2"/>
    <n v="12.999999999999998"/>
    <x v="195"/>
    <d v="1899-12-30T00:13:00"/>
  </r>
  <r>
    <x v="2"/>
    <n v="0"/>
    <x v="1"/>
    <m/>
  </r>
  <r>
    <x v="2"/>
    <n v="10"/>
    <x v="197"/>
    <d v="1899-12-30T00:10:00"/>
  </r>
  <r>
    <x v="2"/>
    <n v="0"/>
    <x v="1"/>
    <m/>
  </r>
  <r>
    <x v="2"/>
    <n v="12.999999999999998"/>
    <x v="198"/>
    <d v="1899-12-30T00:13:00"/>
  </r>
  <r>
    <x v="2"/>
    <n v="0"/>
    <x v="1"/>
    <m/>
  </r>
  <r>
    <x v="2"/>
    <n v="10"/>
    <x v="542"/>
    <d v="1899-12-30T00:10:00"/>
  </r>
  <r>
    <x v="2"/>
    <n v="10"/>
    <x v="199"/>
    <d v="1899-12-30T00:10:00"/>
  </r>
  <r>
    <x v="2"/>
    <n v="10"/>
    <x v="543"/>
    <d v="1899-12-30T00:10:00"/>
  </r>
  <r>
    <x v="2"/>
    <n v="0"/>
    <x v="544"/>
    <m/>
  </r>
  <r>
    <x v="2"/>
    <n v="10"/>
    <x v="545"/>
    <d v="1899-12-30T00:10:00"/>
  </r>
  <r>
    <x v="2"/>
    <n v="0"/>
    <x v="1"/>
    <m/>
  </r>
  <r>
    <x v="2"/>
    <n v="25"/>
    <x v="201"/>
    <d v="1899-12-30T00:25:00"/>
  </r>
  <r>
    <x v="2"/>
    <n v="0"/>
    <x v="1"/>
    <m/>
  </r>
  <r>
    <x v="2"/>
    <n v="15"/>
    <x v="202"/>
    <d v="1899-12-30T00:15:00"/>
  </r>
  <r>
    <x v="2"/>
    <n v="0"/>
    <x v="1"/>
    <m/>
  </r>
  <r>
    <x v="2"/>
    <n v="10"/>
    <x v="203"/>
    <d v="1899-12-30T00:10:00"/>
  </r>
  <r>
    <x v="2"/>
    <n v="10"/>
    <x v="546"/>
    <d v="1899-12-30T00:10:00"/>
  </r>
  <r>
    <x v="2"/>
    <n v="0"/>
    <x v="1"/>
    <m/>
  </r>
  <r>
    <x v="2"/>
    <n v="0"/>
    <x v="547"/>
    <m/>
  </r>
  <r>
    <x v="2"/>
    <n v="20"/>
    <x v="548"/>
    <d v="1899-12-30T00:20:00"/>
  </r>
  <r>
    <x v="2"/>
    <n v="0"/>
    <x v="1"/>
    <m/>
  </r>
  <r>
    <x v="2"/>
    <n v="10"/>
    <x v="204"/>
    <d v="1899-12-30T00:10:00"/>
  </r>
  <r>
    <x v="2"/>
    <n v="10"/>
    <x v="549"/>
    <d v="1899-12-30T00:10:00"/>
  </r>
  <r>
    <x v="2"/>
    <n v="10"/>
    <x v="550"/>
    <d v="1899-12-30T00:10:00"/>
  </r>
  <r>
    <x v="2"/>
    <n v="20"/>
    <x v="205"/>
    <d v="1899-12-30T00:20:00"/>
  </r>
  <r>
    <x v="2"/>
    <n v="0"/>
    <x v="1"/>
    <m/>
  </r>
  <r>
    <x v="2"/>
    <n v="0"/>
    <x v="206"/>
    <m/>
  </r>
  <r>
    <x v="2"/>
    <n v="10"/>
    <x v="207"/>
    <d v="1899-12-30T00:10:00"/>
  </r>
  <r>
    <x v="2"/>
    <n v="10"/>
    <x v="208"/>
    <d v="1899-12-30T00:10:00"/>
  </r>
  <r>
    <x v="2"/>
    <n v="20"/>
    <x v="209"/>
    <d v="1899-12-30T00:20:00"/>
  </r>
  <r>
    <x v="2"/>
    <n v="0"/>
    <x v="1"/>
    <m/>
  </r>
  <r>
    <x v="2"/>
    <n v="0"/>
    <x v="551"/>
    <m/>
  </r>
  <r>
    <x v="2"/>
    <n v="10"/>
    <x v="552"/>
    <d v="1899-12-30T00:10:00"/>
  </r>
  <r>
    <x v="2"/>
    <n v="11"/>
    <x v="210"/>
    <d v="1899-12-30T00:11:00"/>
  </r>
  <r>
    <x v="2"/>
    <n v="0"/>
    <x v="1"/>
    <m/>
  </r>
  <r>
    <x v="2"/>
    <n v="11"/>
    <x v="211"/>
    <d v="1899-12-30T00:11:00"/>
  </r>
  <r>
    <x v="2"/>
    <n v="0"/>
    <x v="1"/>
    <m/>
  </r>
  <r>
    <x v="2"/>
    <n v="0"/>
    <x v="212"/>
    <m/>
  </r>
  <r>
    <x v="2"/>
    <n v="0"/>
    <x v="215"/>
    <m/>
  </r>
  <r>
    <x v="2"/>
    <n v="10"/>
    <x v="553"/>
    <d v="1899-12-30T00:10:00"/>
  </r>
  <r>
    <x v="2"/>
    <n v="0"/>
    <x v="216"/>
    <m/>
  </r>
  <r>
    <x v="2"/>
    <n v="37"/>
    <x v="554"/>
    <d v="1899-12-30T00:37:00"/>
  </r>
  <r>
    <x v="2"/>
    <n v="0"/>
    <x v="1"/>
    <m/>
  </r>
  <r>
    <x v="2"/>
    <n v="15"/>
    <x v="555"/>
    <d v="1899-12-30T00:15:00"/>
  </r>
  <r>
    <x v="2"/>
    <n v="0"/>
    <x v="1"/>
    <m/>
  </r>
  <r>
    <x v="2"/>
    <n v="0"/>
    <x v="556"/>
    <m/>
  </r>
  <r>
    <x v="2"/>
    <n v="0"/>
    <x v="557"/>
    <m/>
  </r>
  <r>
    <x v="2"/>
    <n v="0"/>
    <x v="217"/>
    <m/>
  </r>
  <r>
    <x v="2"/>
    <n v="10"/>
    <x v="558"/>
    <d v="1899-12-30T00:10:00"/>
  </r>
  <r>
    <x v="2"/>
    <n v="0"/>
    <x v="218"/>
    <m/>
  </r>
  <r>
    <x v="2"/>
    <n v="45"/>
    <x v="219"/>
    <d v="1899-12-30T00:45:00"/>
  </r>
  <r>
    <x v="2"/>
    <n v="0"/>
    <x v="1"/>
    <m/>
  </r>
  <r>
    <x v="2"/>
    <n v="10"/>
    <x v="220"/>
    <d v="1899-12-30T00:10:00"/>
  </r>
  <r>
    <x v="2"/>
    <n v="10"/>
    <x v="221"/>
    <d v="1899-12-30T00:10:00"/>
  </r>
  <r>
    <x v="2"/>
    <n v="0"/>
    <x v="222"/>
    <m/>
  </r>
  <r>
    <x v="2"/>
    <n v="0"/>
    <x v="223"/>
    <m/>
  </r>
  <r>
    <x v="2"/>
    <n v="20"/>
    <x v="559"/>
    <d v="1899-12-30T00:20:00"/>
  </r>
  <r>
    <x v="2"/>
    <n v="0"/>
    <x v="1"/>
    <m/>
  </r>
  <r>
    <x v="2"/>
    <n v="10"/>
    <x v="224"/>
    <d v="1899-12-30T00:10:00"/>
  </r>
  <r>
    <x v="2"/>
    <n v="10"/>
    <x v="225"/>
    <d v="1899-12-30T00:10:00"/>
  </r>
  <r>
    <x v="2"/>
    <n v="0"/>
    <x v="1"/>
    <m/>
  </r>
  <r>
    <x v="2"/>
    <n v="10"/>
    <x v="560"/>
    <d v="1899-12-30T00:10:00"/>
  </r>
  <r>
    <x v="2"/>
    <n v="10"/>
    <x v="226"/>
    <d v="1899-12-30T00:10:00"/>
  </r>
  <r>
    <x v="2"/>
    <n v="10"/>
    <x v="561"/>
    <d v="1899-12-30T00:10:00"/>
  </r>
  <r>
    <x v="2"/>
    <n v="10"/>
    <x v="562"/>
    <d v="1899-12-30T00:10:00"/>
  </r>
  <r>
    <x v="2"/>
    <n v="0"/>
    <x v="227"/>
    <m/>
  </r>
  <r>
    <x v="2"/>
    <n v="10"/>
    <x v="563"/>
    <d v="1899-12-30T00:10:00"/>
  </r>
  <r>
    <x v="2"/>
    <n v="20"/>
    <x v="228"/>
    <d v="1899-12-30T00:20:00"/>
  </r>
  <r>
    <x v="2"/>
    <n v="0"/>
    <x v="1"/>
    <m/>
  </r>
  <r>
    <x v="2"/>
    <n v="20"/>
    <x v="564"/>
    <d v="1899-12-30T00:20:00"/>
  </r>
  <r>
    <x v="2"/>
    <n v="0"/>
    <x v="1"/>
    <m/>
  </r>
  <r>
    <x v="2"/>
    <n v="10"/>
    <x v="565"/>
    <d v="1899-12-30T00:10:00"/>
  </r>
  <r>
    <x v="2"/>
    <n v="0"/>
    <x v="1"/>
    <m/>
  </r>
  <r>
    <x v="2"/>
    <n v="10"/>
    <x v="229"/>
    <d v="1899-12-30T00:10:00"/>
  </r>
  <r>
    <x v="2"/>
    <n v="10"/>
    <x v="566"/>
    <d v="1899-12-30T00:10:00"/>
  </r>
  <r>
    <x v="2"/>
    <n v="10"/>
    <x v="230"/>
    <d v="1899-12-30T00:10:00"/>
  </r>
  <r>
    <x v="2"/>
    <n v="11"/>
    <x v="567"/>
    <d v="1899-12-30T00:11:00"/>
  </r>
  <r>
    <x v="2"/>
    <n v="0"/>
    <x v="1"/>
    <m/>
  </r>
  <r>
    <x v="2"/>
    <n v="10"/>
    <x v="231"/>
    <d v="1899-12-30T00:10:00"/>
  </r>
  <r>
    <x v="2"/>
    <n v="0"/>
    <x v="232"/>
    <m/>
  </r>
  <r>
    <x v="2"/>
    <n v="0"/>
    <x v="233"/>
    <m/>
  </r>
  <r>
    <x v="2"/>
    <n v="10"/>
    <x v="234"/>
    <d v="1899-12-30T00:10:00"/>
  </r>
  <r>
    <x v="2"/>
    <n v="19"/>
    <x v="235"/>
    <d v="1899-12-30T00:19:00"/>
  </r>
  <r>
    <x v="2"/>
    <n v="0"/>
    <x v="1"/>
    <m/>
  </r>
  <r>
    <x v="2"/>
    <n v="20"/>
    <x v="568"/>
    <d v="1899-12-30T00:20:00"/>
  </r>
  <r>
    <x v="2"/>
    <n v="0"/>
    <x v="1"/>
    <m/>
  </r>
  <r>
    <x v="2"/>
    <n v="10"/>
    <x v="236"/>
    <d v="1899-12-30T00:10:00"/>
  </r>
  <r>
    <x v="2"/>
    <n v="10"/>
    <x v="569"/>
    <d v="1899-12-30T00:10:00"/>
  </r>
  <r>
    <x v="2"/>
    <n v="0"/>
    <x v="237"/>
    <m/>
  </r>
  <r>
    <x v="2"/>
    <n v="91"/>
    <x v="238"/>
    <d v="1899-12-30T01:31:00"/>
  </r>
  <r>
    <x v="2"/>
    <n v="0"/>
    <x v="1"/>
    <m/>
  </r>
  <r>
    <x v="2"/>
    <n v="20"/>
    <x v="240"/>
    <d v="1899-12-30T00:20:00"/>
  </r>
  <r>
    <x v="2"/>
    <n v="0"/>
    <x v="1"/>
    <m/>
  </r>
  <r>
    <x v="2"/>
    <n v="0"/>
    <x v="241"/>
    <m/>
  </r>
  <r>
    <x v="2"/>
    <n v="0"/>
    <x v="1"/>
    <m/>
  </r>
  <r>
    <x v="2"/>
    <n v="20"/>
    <x v="242"/>
    <d v="1899-12-30T00:20:00"/>
  </r>
  <r>
    <x v="2"/>
    <n v="0"/>
    <x v="1"/>
    <m/>
  </r>
  <r>
    <x v="2"/>
    <n v="10"/>
    <x v="243"/>
    <d v="1899-12-30T00:10:00"/>
  </r>
  <r>
    <x v="2"/>
    <n v="0"/>
    <x v="244"/>
    <m/>
  </r>
  <r>
    <x v="2"/>
    <n v="0"/>
    <x v="245"/>
    <m/>
  </r>
  <r>
    <x v="2"/>
    <n v="20"/>
    <x v="246"/>
    <d v="1899-12-30T00:20:00"/>
  </r>
  <r>
    <x v="2"/>
    <n v="0"/>
    <x v="1"/>
    <m/>
  </r>
  <r>
    <x v="2"/>
    <n v="21"/>
    <x v="247"/>
    <d v="1899-12-30T00:21:00"/>
  </r>
  <r>
    <x v="2"/>
    <n v="0"/>
    <x v="1"/>
    <m/>
  </r>
  <r>
    <x v="2"/>
    <n v="0"/>
    <x v="248"/>
    <m/>
  </r>
  <r>
    <x v="2"/>
    <n v="0"/>
    <x v="249"/>
    <m/>
  </r>
  <r>
    <x v="2"/>
    <n v="10"/>
    <x v="250"/>
    <d v="1899-12-30T00:10:00"/>
  </r>
  <r>
    <x v="2"/>
    <n v="10"/>
    <x v="251"/>
    <d v="1899-12-30T00:10:00"/>
  </r>
  <r>
    <x v="2"/>
    <n v="10"/>
    <x v="252"/>
    <d v="1899-12-30T00:10:00"/>
  </r>
  <r>
    <x v="2"/>
    <n v="10"/>
    <x v="253"/>
    <d v="1899-12-30T00:10:00"/>
  </r>
  <r>
    <x v="2"/>
    <n v="0"/>
    <x v="254"/>
    <m/>
  </r>
  <r>
    <x v="2"/>
    <n v="0"/>
    <x v="255"/>
    <m/>
  </r>
  <r>
    <x v="2"/>
    <n v="10"/>
    <x v="256"/>
    <d v="1899-12-30T00:10:00"/>
  </r>
  <r>
    <x v="2"/>
    <n v="0"/>
    <x v="257"/>
    <m/>
  </r>
  <r>
    <x v="2"/>
    <n v="10"/>
    <x v="258"/>
    <d v="1899-12-30T00:10:00"/>
  </r>
  <r>
    <x v="2"/>
    <n v="0"/>
    <x v="1"/>
    <m/>
  </r>
  <r>
    <x v="2"/>
    <n v="10"/>
    <x v="259"/>
    <d v="1899-12-30T00:10:00"/>
  </r>
  <r>
    <x v="2"/>
    <n v="0"/>
    <x v="1"/>
    <m/>
  </r>
  <r>
    <x v="2"/>
    <n v="0"/>
    <x v="260"/>
    <m/>
  </r>
  <r>
    <x v="2"/>
    <n v="81"/>
    <x v="261"/>
    <d v="1899-12-30T01:21:00"/>
  </r>
  <r>
    <x v="2"/>
    <n v="0"/>
    <x v="1"/>
    <m/>
  </r>
  <r>
    <x v="2"/>
    <n v="0"/>
    <x v="262"/>
    <m/>
  </r>
  <r>
    <x v="2"/>
    <n v="158"/>
    <x v="263"/>
    <d v="1899-12-30T02:38:00"/>
  </r>
  <r>
    <x v="2"/>
    <n v="0"/>
    <x v="1"/>
    <m/>
  </r>
  <r>
    <x v="2"/>
    <n v="96"/>
    <x v="264"/>
    <d v="1899-12-30T01:36:00"/>
  </r>
  <r>
    <x v="2"/>
    <n v="0"/>
    <x v="1"/>
    <m/>
  </r>
  <r>
    <x v="2"/>
    <n v="0"/>
    <x v="265"/>
    <m/>
  </r>
  <r>
    <x v="2"/>
    <n v="10"/>
    <x v="266"/>
    <d v="1899-12-30T00:10:00"/>
  </r>
  <r>
    <x v="2"/>
    <n v="10"/>
    <x v="267"/>
    <d v="1899-12-30T00:10:00"/>
  </r>
  <r>
    <x v="2"/>
    <n v="0"/>
    <x v="1"/>
    <m/>
  </r>
  <r>
    <x v="2"/>
    <n v="15"/>
    <x v="268"/>
    <d v="1899-12-30T00:15:00"/>
  </r>
  <r>
    <x v="2"/>
    <n v="0"/>
    <x v="1"/>
    <m/>
  </r>
  <r>
    <x v="2"/>
    <n v="10"/>
    <x v="269"/>
    <d v="1899-12-30T00:10:00"/>
  </r>
  <r>
    <x v="2"/>
    <n v="0"/>
    <x v="270"/>
    <m/>
  </r>
  <r>
    <x v="2"/>
    <n v="10"/>
    <x v="570"/>
    <d v="1899-12-30T00:10:00"/>
  </r>
  <r>
    <x v="2"/>
    <n v="0"/>
    <x v="1"/>
    <m/>
  </r>
  <r>
    <x v="2"/>
    <n v="0"/>
    <x v="271"/>
    <m/>
  </r>
  <r>
    <x v="2"/>
    <n v="10"/>
    <x v="272"/>
    <d v="1899-12-30T00:10:00"/>
  </r>
  <r>
    <x v="2"/>
    <n v="0"/>
    <x v="273"/>
    <m/>
  </r>
  <r>
    <x v="2"/>
    <n v="0"/>
    <x v="275"/>
    <m/>
  </r>
  <r>
    <x v="2"/>
    <n v="10"/>
    <x v="276"/>
    <d v="1899-12-30T00:10:00"/>
  </r>
  <r>
    <x v="2"/>
    <n v="0"/>
    <x v="1"/>
    <m/>
  </r>
  <r>
    <x v="2"/>
    <n v="62.999999999999986"/>
    <x v="277"/>
    <d v="1899-12-30T01:03:00"/>
  </r>
  <r>
    <x v="2"/>
    <n v="0"/>
    <x v="1"/>
    <m/>
  </r>
  <r>
    <x v="2"/>
    <n v="0"/>
    <x v="278"/>
    <m/>
  </r>
  <r>
    <x v="2"/>
    <n v="60"/>
    <x v="279"/>
    <d v="1899-12-30T01:00:00"/>
  </r>
  <r>
    <x v="2"/>
    <n v="0"/>
    <x v="280"/>
    <m/>
  </r>
  <r>
    <x v="2"/>
    <n v="0"/>
    <x v="281"/>
    <m/>
  </r>
  <r>
    <x v="2"/>
    <n v="0"/>
    <x v="282"/>
    <m/>
  </r>
  <r>
    <x v="2"/>
    <n v="0"/>
    <x v="283"/>
    <m/>
  </r>
  <r>
    <x v="2"/>
    <n v="10"/>
    <x v="284"/>
    <d v="1899-12-30T00:10:00"/>
  </r>
  <r>
    <x v="2"/>
    <n v="0"/>
    <x v="1"/>
    <m/>
  </r>
  <r>
    <x v="2"/>
    <n v="10"/>
    <x v="285"/>
    <d v="1899-12-30T00:10:00"/>
  </r>
  <r>
    <x v="2"/>
    <n v="0"/>
    <x v="1"/>
    <m/>
  </r>
  <r>
    <x v="2"/>
    <n v="0"/>
    <x v="286"/>
    <m/>
  </r>
  <r>
    <x v="2"/>
    <n v="0"/>
    <x v="287"/>
    <m/>
  </r>
  <r>
    <x v="2"/>
    <n v="0"/>
    <x v="288"/>
    <m/>
  </r>
  <r>
    <x v="2"/>
    <n v="0"/>
    <x v="289"/>
    <m/>
  </r>
  <r>
    <x v="2"/>
    <n v="45"/>
    <x v="290"/>
    <d v="1899-12-30T00:45:00"/>
  </r>
  <r>
    <x v="2"/>
    <n v="0"/>
    <x v="1"/>
    <m/>
  </r>
  <r>
    <x v="2"/>
    <n v="60"/>
    <x v="291"/>
    <d v="1899-12-30T01:00:00"/>
  </r>
  <r>
    <x v="2"/>
    <n v="60"/>
    <x v="292"/>
    <d v="1899-12-30T01:00:00"/>
  </r>
  <r>
    <x v="2"/>
    <n v="15"/>
    <x v="293"/>
    <d v="1899-12-30T00:15:00"/>
  </r>
  <r>
    <x v="2"/>
    <n v="0"/>
    <x v="1"/>
    <m/>
  </r>
  <r>
    <x v="2"/>
    <n v="0"/>
    <x v="571"/>
    <m/>
  </r>
  <r>
    <x v="2"/>
    <n v="0"/>
    <x v="294"/>
    <m/>
  </r>
  <r>
    <x v="2"/>
    <n v="15"/>
    <x v="295"/>
    <d v="1899-12-30T00:15:00"/>
  </r>
  <r>
    <x v="2"/>
    <n v="0"/>
    <x v="1"/>
    <m/>
  </r>
  <r>
    <x v="2"/>
    <n v="70"/>
    <x v="572"/>
    <d v="1899-12-30T01:10:00"/>
  </r>
  <r>
    <x v="2"/>
    <n v="0"/>
    <x v="1"/>
    <m/>
  </r>
  <r>
    <x v="2"/>
    <n v="20"/>
    <x v="573"/>
    <d v="1899-12-30T00:20:00"/>
  </r>
  <r>
    <x v="2"/>
    <n v="0"/>
    <x v="1"/>
    <m/>
  </r>
  <r>
    <x v="2"/>
    <n v="0"/>
    <x v="296"/>
    <m/>
  </r>
  <r>
    <x v="2"/>
    <n v="454"/>
    <x v="297"/>
    <d v="1899-12-30T07:34:00"/>
  </r>
  <r>
    <x v="2"/>
    <n v="0"/>
    <x v="1"/>
    <m/>
  </r>
  <r>
    <x v="2"/>
    <n v="0"/>
    <x v="298"/>
    <m/>
  </r>
  <r>
    <x v="2"/>
    <n v="0"/>
    <x v="1"/>
    <m/>
  </r>
  <r>
    <x v="2"/>
    <n v="0"/>
    <x v="299"/>
    <m/>
  </r>
  <r>
    <x v="2"/>
    <n v="20"/>
    <x v="300"/>
    <d v="1899-12-30T00:20:00"/>
  </r>
  <r>
    <x v="2"/>
    <n v="0"/>
    <x v="1"/>
    <m/>
  </r>
  <r>
    <x v="2"/>
    <n v="10"/>
    <x v="303"/>
    <d v="1899-12-30T00:10:00"/>
  </r>
  <r>
    <x v="2"/>
    <n v="0"/>
    <x v="1"/>
    <m/>
  </r>
  <r>
    <x v="2"/>
    <n v="0"/>
    <x v="304"/>
    <m/>
  </r>
  <r>
    <x v="2"/>
    <n v="46"/>
    <x v="306"/>
    <d v="1899-12-30T00:46:00"/>
  </r>
  <r>
    <x v="2"/>
    <n v="0"/>
    <x v="1"/>
    <m/>
  </r>
  <r>
    <x v="2"/>
    <n v="10"/>
    <x v="307"/>
    <d v="1899-12-30T00:10:00"/>
  </r>
  <r>
    <x v="2"/>
    <n v="15"/>
    <x v="308"/>
    <d v="1899-12-30T00:15:00"/>
  </r>
  <r>
    <x v="2"/>
    <n v="0"/>
    <x v="1"/>
    <m/>
  </r>
  <r>
    <x v="2"/>
    <n v="0"/>
    <x v="574"/>
    <m/>
  </r>
  <r>
    <x v="2"/>
    <n v="60"/>
    <x v="309"/>
    <d v="1899-12-30T01:00:00"/>
  </r>
  <r>
    <x v="2"/>
    <n v="10"/>
    <x v="310"/>
    <d v="1899-12-30T00:10:00"/>
  </r>
  <r>
    <x v="2"/>
    <n v="0"/>
    <x v="575"/>
    <m/>
  </r>
  <r>
    <x v="2"/>
    <n v="0"/>
    <x v="576"/>
    <m/>
  </r>
  <r>
    <x v="2"/>
    <n v="40"/>
    <x v="577"/>
    <d v="1899-12-30T00:40:00"/>
  </r>
  <r>
    <x v="2"/>
    <n v="0"/>
    <x v="1"/>
    <m/>
  </r>
  <r>
    <x v="2"/>
    <n v="45"/>
    <x v="578"/>
    <d v="1899-12-30T00:45:00"/>
  </r>
  <r>
    <x v="2"/>
    <n v="0"/>
    <x v="1"/>
    <m/>
  </r>
  <r>
    <x v="2"/>
    <n v="60"/>
    <x v="311"/>
    <d v="1899-12-30T01:00:00"/>
  </r>
  <r>
    <x v="2"/>
    <n v="0"/>
    <x v="1"/>
    <m/>
  </r>
  <r>
    <x v="2"/>
    <n v="0"/>
    <x v="312"/>
    <m/>
  </r>
  <r>
    <x v="2"/>
    <n v="10"/>
    <x v="579"/>
    <d v="1899-12-30T00:10:00"/>
  </r>
  <r>
    <x v="2"/>
    <n v="10"/>
    <x v="313"/>
    <d v="1899-12-30T00:10:00"/>
  </r>
  <r>
    <x v="2"/>
    <n v="15"/>
    <x v="314"/>
    <d v="1899-12-30T00:15:00"/>
  </r>
  <r>
    <x v="2"/>
    <n v="0"/>
    <x v="1"/>
    <m/>
  </r>
  <r>
    <x v="2"/>
    <n v="10"/>
    <x v="315"/>
    <d v="1899-12-30T00:10:00"/>
  </r>
  <r>
    <x v="2"/>
    <n v="10"/>
    <x v="316"/>
    <d v="1899-12-30T00:10:00"/>
  </r>
  <r>
    <x v="2"/>
    <n v="0"/>
    <x v="317"/>
    <m/>
  </r>
  <r>
    <x v="2"/>
    <n v="50"/>
    <x v="580"/>
    <d v="1899-12-30T00:50:00"/>
  </r>
  <r>
    <x v="2"/>
    <n v="0"/>
    <x v="1"/>
    <m/>
  </r>
  <r>
    <x v="2"/>
    <n v="10"/>
    <x v="581"/>
    <d v="1899-12-30T00:10:00"/>
  </r>
  <r>
    <x v="2"/>
    <n v="10"/>
    <x v="582"/>
    <d v="1899-12-30T00:10:00"/>
  </r>
  <r>
    <x v="2"/>
    <n v="10"/>
    <x v="583"/>
    <d v="1899-12-30T00:10:00"/>
  </r>
  <r>
    <x v="2"/>
    <n v="10"/>
    <x v="584"/>
    <d v="1899-12-30T00:10:00"/>
  </r>
  <r>
    <x v="2"/>
    <n v="0"/>
    <x v="318"/>
    <m/>
  </r>
  <r>
    <x v="2"/>
    <n v="0"/>
    <x v="319"/>
    <m/>
  </r>
  <r>
    <x v="2"/>
    <n v="0"/>
    <x v="585"/>
    <m/>
  </r>
  <r>
    <x v="2"/>
    <n v="0"/>
    <x v="320"/>
    <m/>
  </r>
  <r>
    <x v="2"/>
    <n v="247.00000000000003"/>
    <x v="321"/>
    <d v="1899-12-30T04:07:00"/>
  </r>
  <r>
    <x v="2"/>
    <n v="0"/>
    <x v="1"/>
    <m/>
  </r>
  <r>
    <x v="2"/>
    <n v="0"/>
    <x v="322"/>
    <m/>
  </r>
  <r>
    <x v="2"/>
    <n v="10"/>
    <x v="323"/>
    <d v="1899-12-30T00:10:00"/>
  </r>
  <r>
    <x v="2"/>
    <n v="0"/>
    <x v="1"/>
    <m/>
  </r>
  <r>
    <x v="2"/>
    <n v="0"/>
    <x v="324"/>
    <m/>
  </r>
  <r>
    <x v="2"/>
    <n v="0"/>
    <x v="325"/>
    <m/>
  </r>
  <r>
    <x v="2"/>
    <n v="10"/>
    <x v="326"/>
    <d v="1899-12-30T00:10:00"/>
  </r>
  <r>
    <x v="2"/>
    <n v="59"/>
    <x v="327"/>
    <d v="1899-12-30T00:59:00"/>
  </r>
  <r>
    <x v="2"/>
    <n v="0"/>
    <x v="1"/>
    <m/>
  </r>
  <r>
    <x v="2"/>
    <n v="10"/>
    <x v="586"/>
    <d v="1899-12-30T00:10:00"/>
  </r>
  <r>
    <x v="2"/>
    <n v="0"/>
    <x v="1"/>
    <m/>
  </r>
  <r>
    <x v="2"/>
    <n v="10"/>
    <x v="328"/>
    <d v="1899-12-30T00:10:00"/>
  </r>
  <r>
    <x v="2"/>
    <n v="0"/>
    <x v="1"/>
    <m/>
  </r>
  <r>
    <x v="2"/>
    <n v="10"/>
    <x v="329"/>
    <d v="1899-12-30T00:10:00"/>
  </r>
  <r>
    <x v="2"/>
    <n v="40"/>
    <x v="330"/>
    <d v="1899-12-30T00:40:00"/>
  </r>
  <r>
    <x v="2"/>
    <n v="0"/>
    <x v="1"/>
    <m/>
  </r>
  <r>
    <x v="2"/>
    <n v="15"/>
    <x v="331"/>
    <d v="1899-12-30T00:15:00"/>
  </r>
  <r>
    <x v="2"/>
    <n v="0"/>
    <x v="1"/>
    <m/>
  </r>
  <r>
    <x v="2"/>
    <n v="10"/>
    <x v="332"/>
    <d v="1899-12-30T00:10:00"/>
  </r>
  <r>
    <x v="2"/>
    <n v="0"/>
    <x v="333"/>
    <m/>
  </r>
  <r>
    <x v="2"/>
    <n v="0"/>
    <x v="334"/>
    <m/>
  </r>
  <r>
    <x v="2"/>
    <n v="15"/>
    <x v="335"/>
    <d v="1899-12-30T00:15:00"/>
  </r>
  <r>
    <x v="2"/>
    <n v="0"/>
    <x v="1"/>
    <m/>
  </r>
  <r>
    <x v="2"/>
    <n v="82"/>
    <x v="336"/>
    <d v="1899-12-30T01:22:00"/>
  </r>
  <r>
    <x v="2"/>
    <n v="0"/>
    <x v="1"/>
    <m/>
  </r>
  <r>
    <x v="2"/>
    <n v="0"/>
    <x v="337"/>
    <m/>
  </r>
  <r>
    <x v="2"/>
    <n v="20"/>
    <x v="339"/>
    <d v="1899-12-30T00:20:00"/>
  </r>
  <r>
    <x v="2"/>
    <n v="0"/>
    <x v="1"/>
    <m/>
  </r>
  <r>
    <x v="2"/>
    <n v="116.00000000000001"/>
    <x v="340"/>
    <d v="1899-12-30T01:56:00"/>
  </r>
  <r>
    <x v="2"/>
    <n v="0"/>
    <x v="1"/>
    <m/>
  </r>
  <r>
    <x v="2"/>
    <n v="10"/>
    <x v="587"/>
    <d v="1899-12-30T00:10:00"/>
  </r>
  <r>
    <x v="2"/>
    <n v="0"/>
    <x v="341"/>
    <m/>
  </r>
  <r>
    <x v="2"/>
    <n v="40"/>
    <x v="342"/>
    <d v="1899-12-30T00:40:00"/>
  </r>
  <r>
    <x v="2"/>
    <n v="0"/>
    <x v="1"/>
    <m/>
  </r>
  <r>
    <x v="2"/>
    <n v="25"/>
    <x v="343"/>
    <d v="1899-12-30T00:25:00"/>
  </r>
  <r>
    <x v="2"/>
    <n v="0"/>
    <x v="1"/>
    <m/>
  </r>
  <r>
    <x v="2"/>
    <n v="61"/>
    <x v="344"/>
    <d v="1899-12-30T01:01:00"/>
  </r>
  <r>
    <x v="2"/>
    <n v="0"/>
    <x v="1"/>
    <m/>
  </r>
  <r>
    <x v="2"/>
    <n v="0"/>
    <x v="345"/>
    <m/>
  </r>
  <r>
    <x v="2"/>
    <n v="0"/>
    <x v="1"/>
    <m/>
  </r>
  <r>
    <x v="2"/>
    <n v="98"/>
    <x v="346"/>
    <d v="1899-12-30T01:38:00"/>
  </r>
  <r>
    <x v="2"/>
    <n v="0"/>
    <x v="1"/>
    <m/>
  </r>
  <r>
    <x v="2"/>
    <n v="0"/>
    <x v="588"/>
    <m/>
  </r>
  <r>
    <x v="2"/>
    <n v="0"/>
    <x v="347"/>
    <m/>
  </r>
  <r>
    <x v="2"/>
    <n v="0"/>
    <x v="348"/>
    <m/>
  </r>
  <r>
    <x v="2"/>
    <n v="0"/>
    <x v="349"/>
    <m/>
  </r>
  <r>
    <x v="2"/>
    <n v="10"/>
    <x v="350"/>
    <d v="1899-12-30T00:10:00"/>
  </r>
  <r>
    <x v="2"/>
    <n v="0"/>
    <x v="1"/>
    <m/>
  </r>
  <r>
    <x v="2"/>
    <n v="0"/>
    <x v="351"/>
    <m/>
  </r>
  <r>
    <x v="2"/>
    <n v="25"/>
    <x v="352"/>
    <d v="1899-12-30T00:25:00"/>
  </r>
  <r>
    <x v="2"/>
    <n v="0"/>
    <x v="1"/>
    <m/>
  </r>
  <r>
    <x v="2"/>
    <n v="0"/>
    <x v="353"/>
    <m/>
  </r>
  <r>
    <x v="2"/>
    <n v="15"/>
    <x v="354"/>
    <d v="1899-12-30T00:15:00"/>
  </r>
  <r>
    <x v="2"/>
    <n v="0"/>
    <x v="1"/>
    <m/>
  </r>
  <r>
    <x v="2"/>
    <n v="10"/>
    <x v="355"/>
    <d v="1899-12-30T00:10:00"/>
  </r>
  <r>
    <x v="2"/>
    <n v="167"/>
    <x v="356"/>
    <d v="1899-12-30T02:47:00"/>
  </r>
  <r>
    <x v="2"/>
    <n v="0"/>
    <x v="1"/>
    <m/>
  </r>
  <r>
    <x v="2"/>
    <n v="0"/>
    <x v="357"/>
    <m/>
  </r>
  <r>
    <x v="2"/>
    <n v="0"/>
    <x v="358"/>
    <m/>
  </r>
  <r>
    <x v="2"/>
    <n v="57"/>
    <x v="359"/>
    <d v="1899-12-30T00:57:00"/>
  </r>
  <r>
    <x v="2"/>
    <n v="0"/>
    <x v="1"/>
    <m/>
  </r>
  <r>
    <x v="2"/>
    <n v="10"/>
    <x v="360"/>
    <d v="1899-12-30T00:10:00"/>
  </r>
  <r>
    <x v="2"/>
    <n v="15"/>
    <x v="361"/>
    <d v="1899-12-30T00:15:00"/>
  </r>
  <r>
    <x v="2"/>
    <n v="0"/>
    <x v="1"/>
    <m/>
  </r>
  <r>
    <x v="2"/>
    <n v="10"/>
    <x v="362"/>
    <d v="1899-12-30T00:10:00"/>
  </r>
  <r>
    <x v="2"/>
    <n v="0"/>
    <x v="589"/>
    <m/>
  </r>
  <r>
    <x v="2"/>
    <n v="10"/>
    <x v="364"/>
    <d v="1899-12-30T00:10:00"/>
  </r>
  <r>
    <x v="2"/>
    <n v="40"/>
    <x v="365"/>
    <d v="1899-12-30T00:40:00"/>
  </r>
  <r>
    <x v="2"/>
    <n v="0"/>
    <x v="1"/>
    <m/>
  </r>
  <r>
    <x v="2"/>
    <n v="10"/>
    <x v="366"/>
    <d v="1899-12-30T00:10:00"/>
  </r>
  <r>
    <x v="2"/>
    <n v="32"/>
    <x v="367"/>
    <d v="1899-12-30T00:32:00"/>
  </r>
  <r>
    <x v="2"/>
    <n v="0"/>
    <x v="1"/>
    <m/>
  </r>
  <r>
    <x v="2"/>
    <n v="10"/>
    <x v="368"/>
    <d v="1899-12-30T00:10:00"/>
  </r>
  <r>
    <x v="2"/>
    <n v="15"/>
    <x v="369"/>
    <d v="1899-12-30T00:15:00"/>
  </r>
  <r>
    <x v="2"/>
    <n v="0"/>
    <x v="1"/>
    <m/>
  </r>
  <r>
    <x v="2"/>
    <n v="65.999999999999986"/>
    <x v="370"/>
    <d v="1899-12-30T01:06:00"/>
  </r>
  <r>
    <x v="2"/>
    <n v="0"/>
    <x v="1"/>
    <m/>
  </r>
  <r>
    <x v="2"/>
    <n v="10"/>
    <x v="371"/>
    <d v="1899-12-30T00:10:00"/>
  </r>
  <r>
    <x v="2"/>
    <n v="0"/>
    <x v="1"/>
    <m/>
  </r>
  <r>
    <x v="2"/>
    <n v="20"/>
    <x v="372"/>
    <d v="1899-12-30T00:20:00"/>
  </r>
  <r>
    <x v="2"/>
    <n v="0"/>
    <x v="1"/>
    <m/>
  </r>
  <r>
    <x v="2"/>
    <n v="0"/>
    <x v="373"/>
    <m/>
  </r>
  <r>
    <x v="2"/>
    <n v="0"/>
    <x v="374"/>
    <m/>
  </r>
  <r>
    <x v="2"/>
    <n v="10"/>
    <x v="375"/>
    <d v="1899-12-30T00:10:00"/>
  </r>
  <r>
    <x v="2"/>
    <n v="35"/>
    <x v="376"/>
    <d v="1899-12-30T00:35:00"/>
  </r>
  <r>
    <x v="2"/>
    <n v="0"/>
    <x v="1"/>
    <m/>
  </r>
  <r>
    <x v="2"/>
    <n v="10"/>
    <x v="377"/>
    <d v="1899-12-30T00:10:00"/>
  </r>
  <r>
    <x v="2"/>
    <n v="10"/>
    <x v="378"/>
    <d v="1899-12-30T00:10:00"/>
  </r>
  <r>
    <x v="2"/>
    <n v="10"/>
    <x v="379"/>
    <d v="1899-12-30T00:10:00"/>
  </r>
  <r>
    <x v="2"/>
    <n v="10"/>
    <x v="380"/>
    <d v="1899-12-30T00:10:00"/>
  </r>
  <r>
    <x v="2"/>
    <n v="10"/>
    <x v="381"/>
    <d v="1899-12-30T00:10:00"/>
  </r>
  <r>
    <x v="2"/>
    <n v="10"/>
    <x v="382"/>
    <d v="1899-12-30T00:10:00"/>
  </r>
  <r>
    <x v="2"/>
    <n v="60"/>
    <x v="383"/>
    <d v="1899-12-30T01:00:00"/>
  </r>
  <r>
    <x v="2"/>
    <n v="60"/>
    <x v="384"/>
    <d v="1899-12-30T01:00:00"/>
  </r>
  <r>
    <x v="2"/>
    <n v="10"/>
    <x v="385"/>
    <d v="1899-12-30T00:10:00"/>
  </r>
  <r>
    <x v="2"/>
    <n v="10"/>
    <x v="387"/>
    <d v="1899-12-30T00:10:00"/>
  </r>
  <r>
    <x v="2"/>
    <n v="10"/>
    <x v="388"/>
    <d v="1899-12-30T00:10:00"/>
  </r>
  <r>
    <x v="2"/>
    <n v="0"/>
    <x v="1"/>
    <m/>
  </r>
  <r>
    <x v="2"/>
    <n v="10"/>
    <x v="590"/>
    <d v="1899-12-30T00:10:00"/>
  </r>
  <r>
    <x v="2"/>
    <n v="10"/>
    <x v="389"/>
    <d v="1899-12-30T00:10:00"/>
  </r>
  <r>
    <x v="2"/>
    <n v="259"/>
    <x v="390"/>
    <d v="1899-12-30T04:19:00"/>
  </r>
  <r>
    <x v="2"/>
    <n v="0"/>
    <x v="1"/>
    <m/>
  </r>
  <r>
    <x v="2"/>
    <n v="71"/>
    <x v="391"/>
    <d v="1899-12-30T01:11:00"/>
  </r>
  <r>
    <x v="2"/>
    <n v="0"/>
    <x v="1"/>
    <m/>
  </r>
  <r>
    <x v="2"/>
    <n v="30"/>
    <x v="591"/>
    <d v="1899-12-30T00:30:00"/>
  </r>
  <r>
    <x v="2"/>
    <n v="0"/>
    <x v="1"/>
    <m/>
  </r>
  <r>
    <x v="2"/>
    <n v="10"/>
    <x v="392"/>
    <d v="1899-12-30T00:10:00"/>
  </r>
  <r>
    <x v="2"/>
    <n v="0"/>
    <x v="1"/>
    <m/>
  </r>
  <r>
    <x v="2"/>
    <n v="30"/>
    <x v="393"/>
    <d v="1899-12-30T00:30:00"/>
  </r>
  <r>
    <x v="2"/>
    <n v="0"/>
    <x v="1"/>
    <m/>
  </r>
  <r>
    <x v="2"/>
    <n v="0"/>
    <x v="592"/>
    <m/>
  </r>
  <r>
    <x v="2"/>
    <n v="56"/>
    <x v="394"/>
    <d v="1899-12-30T00:56:00"/>
  </r>
  <r>
    <x v="2"/>
    <n v="0"/>
    <x v="1"/>
    <m/>
  </r>
  <r>
    <x v="2"/>
    <n v="0"/>
    <x v="395"/>
    <m/>
  </r>
  <r>
    <x v="2"/>
    <n v="67"/>
    <x v="396"/>
    <d v="1899-12-30T01:07:00"/>
  </r>
  <r>
    <x v="2"/>
    <n v="0"/>
    <x v="1"/>
    <m/>
  </r>
  <r>
    <x v="2"/>
    <n v="10"/>
    <x v="593"/>
    <d v="1899-12-30T00:10:00"/>
  </r>
  <r>
    <x v="2"/>
    <n v="10"/>
    <x v="594"/>
    <d v="1899-12-30T00:10:00"/>
  </r>
  <r>
    <x v="2"/>
    <n v="10"/>
    <x v="595"/>
    <d v="1899-12-30T00:10:00"/>
  </r>
  <r>
    <x v="2"/>
    <n v="10"/>
    <x v="596"/>
    <d v="1899-12-30T00:10:00"/>
  </r>
  <r>
    <x v="2"/>
    <n v="10"/>
    <x v="597"/>
    <d v="1899-12-30T00:10:00"/>
  </r>
  <r>
    <x v="2"/>
    <n v="10"/>
    <x v="397"/>
    <d v="1899-12-30T00:10:00"/>
  </r>
  <r>
    <x v="2"/>
    <n v="60"/>
    <x v="598"/>
    <d v="1899-12-30T01:00:00"/>
  </r>
  <r>
    <x v="2"/>
    <n v="10"/>
    <x v="599"/>
    <d v="1899-12-30T00:10:00"/>
  </r>
  <r>
    <x v="2"/>
    <n v="10"/>
    <x v="600"/>
    <d v="1899-12-30T00:10:00"/>
  </r>
  <r>
    <x v="2"/>
    <n v="10"/>
    <x v="398"/>
    <d v="1899-12-30T00:10:00"/>
  </r>
  <r>
    <x v="2"/>
    <n v="10"/>
    <x v="601"/>
    <d v="1899-12-30T00:10:00"/>
  </r>
  <r>
    <x v="2"/>
    <n v="10"/>
    <x v="602"/>
    <d v="1899-12-30T00:10:00"/>
  </r>
  <r>
    <x v="2"/>
    <n v="10"/>
    <x v="399"/>
    <d v="1899-12-30T00:10:00"/>
  </r>
  <r>
    <x v="2"/>
    <n v="10"/>
    <x v="400"/>
    <d v="1899-12-30T00:10:00"/>
  </r>
  <r>
    <x v="2"/>
    <n v="10"/>
    <x v="603"/>
    <d v="1899-12-30T00:10:00"/>
  </r>
  <r>
    <x v="2"/>
    <n v="10"/>
    <x v="604"/>
    <d v="1899-12-30T00:10:00"/>
  </r>
  <r>
    <x v="2"/>
    <n v="10"/>
    <x v="605"/>
    <d v="1899-12-30T00:10:00"/>
  </r>
  <r>
    <x v="2"/>
    <n v="60"/>
    <x v="606"/>
    <d v="1899-12-30T01:00:00"/>
  </r>
  <r>
    <x v="2"/>
    <n v="10"/>
    <x v="607"/>
    <d v="1899-12-30T00:10:00"/>
  </r>
  <r>
    <x v="2"/>
    <n v="10"/>
    <x v="608"/>
    <d v="1899-12-30T00:10:00"/>
  </r>
  <r>
    <x v="2"/>
    <n v="10"/>
    <x v="609"/>
    <d v="1899-12-30T00:10:00"/>
  </r>
  <r>
    <x v="2"/>
    <n v="10"/>
    <x v="610"/>
    <d v="1899-12-30T00:10:00"/>
  </r>
  <r>
    <x v="2"/>
    <n v="10"/>
    <x v="611"/>
    <d v="1899-12-30T00:10:00"/>
  </r>
  <r>
    <x v="2"/>
    <n v="10"/>
    <x v="612"/>
    <d v="1899-12-30T00:10:00"/>
  </r>
  <r>
    <x v="2"/>
    <n v="10"/>
    <x v="401"/>
    <d v="1899-12-30T00:10:00"/>
  </r>
  <r>
    <x v="2"/>
    <n v="10"/>
    <x v="402"/>
    <d v="1899-12-30T00:10:00"/>
  </r>
  <r>
    <x v="2"/>
    <n v="10"/>
    <x v="403"/>
    <d v="1899-12-30T00:10:00"/>
  </r>
  <r>
    <x v="2"/>
    <n v="10"/>
    <x v="613"/>
    <d v="1899-12-30T00:10:00"/>
  </r>
  <r>
    <x v="2"/>
    <n v="10"/>
    <x v="404"/>
    <d v="1899-12-30T00:10:00"/>
  </r>
  <r>
    <x v="2"/>
    <n v="10"/>
    <x v="614"/>
    <d v="1899-12-30T00:10:00"/>
  </r>
  <r>
    <x v="2"/>
    <n v="10"/>
    <x v="615"/>
    <d v="1899-12-30T00:10:00"/>
  </r>
  <r>
    <x v="2"/>
    <n v="10"/>
    <x v="616"/>
    <d v="1899-12-30T00:10:00"/>
  </r>
  <r>
    <x v="2"/>
    <n v="60"/>
    <x v="617"/>
    <d v="1899-12-30T01:00:00"/>
  </r>
  <r>
    <x v="2"/>
    <n v="10"/>
    <x v="618"/>
    <d v="1899-12-30T00:10:00"/>
  </r>
  <r>
    <x v="2"/>
    <n v="10"/>
    <x v="405"/>
    <d v="1899-12-30T00:10:00"/>
  </r>
  <r>
    <x v="2"/>
    <n v="10"/>
    <x v="619"/>
    <d v="1899-12-30T00:10:00"/>
  </r>
  <r>
    <x v="2"/>
    <n v="10"/>
    <x v="406"/>
    <d v="1899-12-30T00:10:00"/>
  </r>
  <r>
    <x v="2"/>
    <n v="10"/>
    <x v="620"/>
    <d v="1899-12-30T00:10:00"/>
  </r>
  <r>
    <x v="2"/>
    <n v="10"/>
    <x v="621"/>
    <d v="1899-12-30T00:10:00"/>
  </r>
  <r>
    <x v="2"/>
    <n v="10"/>
    <x v="622"/>
    <d v="1899-12-30T00:10:00"/>
  </r>
  <r>
    <x v="2"/>
    <n v="10"/>
    <x v="623"/>
    <d v="1899-12-30T00:10:00"/>
  </r>
  <r>
    <x v="2"/>
    <n v="10"/>
    <x v="624"/>
    <d v="1899-12-30T00:10:00"/>
  </r>
  <r>
    <x v="2"/>
    <n v="10"/>
    <x v="407"/>
    <d v="1899-12-30T00:10:00"/>
  </r>
  <r>
    <x v="2"/>
    <n v="10"/>
    <x v="408"/>
    <d v="1899-12-30T00:10:00"/>
  </r>
  <r>
    <x v="2"/>
    <n v="10"/>
    <x v="409"/>
    <d v="1899-12-30T00:10:00"/>
  </r>
  <r>
    <x v="2"/>
    <n v="60"/>
    <x v="410"/>
    <d v="1899-12-30T01:00:00"/>
  </r>
  <r>
    <x v="2"/>
    <n v="10"/>
    <x v="411"/>
    <d v="1899-12-30T00:10:00"/>
  </r>
  <r>
    <x v="2"/>
    <n v="0"/>
    <x v="412"/>
    <m/>
  </r>
  <r>
    <x v="2"/>
    <n v="0"/>
    <x v="413"/>
    <m/>
  </r>
  <r>
    <x v="2"/>
    <n v="0"/>
    <x v="414"/>
    <m/>
  </r>
  <r>
    <x v="2"/>
    <n v="0"/>
    <x v="1"/>
    <m/>
  </r>
  <r>
    <x v="2"/>
    <n v="0"/>
    <x v="415"/>
    <m/>
  </r>
  <r>
    <x v="2"/>
    <n v="0"/>
    <x v="1"/>
    <m/>
  </r>
  <r>
    <x v="2"/>
    <n v="0"/>
    <x v="416"/>
    <m/>
  </r>
  <r>
    <x v="2"/>
    <n v="0"/>
    <x v="1"/>
    <m/>
  </r>
  <r>
    <x v="2"/>
    <n v="20"/>
    <x v="625"/>
    <d v="1899-12-30T00:20:00"/>
  </r>
  <r>
    <x v="2"/>
    <n v="0"/>
    <x v="1"/>
    <m/>
  </r>
  <r>
    <x v="2"/>
    <n v="0"/>
    <x v="418"/>
    <m/>
  </r>
  <r>
    <x v="2"/>
    <n v="0"/>
    <x v="1"/>
    <m/>
  </r>
  <r>
    <x v="2"/>
    <n v="10"/>
    <x v="419"/>
    <d v="1899-12-30T00:10:00"/>
  </r>
  <r>
    <x v="2"/>
    <n v="117.00000000000001"/>
    <x v="420"/>
    <d v="1899-12-30T01:57:00"/>
  </r>
  <r>
    <x v="2"/>
    <n v="0"/>
    <x v="1"/>
    <m/>
  </r>
  <r>
    <x v="2"/>
    <n v="16"/>
    <x v="421"/>
    <d v="1899-12-30T00:16:00"/>
  </r>
  <r>
    <x v="2"/>
    <n v="0"/>
    <x v="1"/>
    <m/>
  </r>
  <r>
    <x v="2"/>
    <n v="10"/>
    <x v="626"/>
    <d v="1899-12-30T00:10:00"/>
  </r>
  <r>
    <x v="2"/>
    <n v="0"/>
    <x v="422"/>
    <m/>
  </r>
  <r>
    <x v="2"/>
    <n v="0"/>
    <x v="423"/>
    <m/>
  </r>
  <r>
    <x v="2"/>
    <n v="0"/>
    <x v="424"/>
    <m/>
  </r>
  <r>
    <x v="2"/>
    <n v="0"/>
    <x v="425"/>
    <m/>
  </r>
  <r>
    <x v="2"/>
    <n v="10"/>
    <x v="426"/>
    <d v="1899-12-30T00:10:00"/>
  </r>
  <r>
    <x v="2"/>
    <n v="0"/>
    <x v="427"/>
    <m/>
  </r>
  <r>
    <x v="2"/>
    <n v="206.99999999999997"/>
    <x v="428"/>
    <d v="1899-12-30T03:27:00"/>
  </r>
  <r>
    <x v="2"/>
    <n v="0"/>
    <x v="1"/>
    <m/>
  </r>
  <r>
    <x v="2"/>
    <n v="0"/>
    <x v="429"/>
    <m/>
  </r>
  <r>
    <x v="2"/>
    <n v="0"/>
    <x v="430"/>
    <m/>
  </r>
  <r>
    <x v="2"/>
    <n v="10"/>
    <x v="431"/>
    <d v="1899-12-30T00:10:00"/>
  </r>
  <r>
    <x v="2"/>
    <n v="0"/>
    <x v="432"/>
    <m/>
  </r>
  <r>
    <x v="2"/>
    <n v="10"/>
    <x v="433"/>
    <d v="1899-12-30T00:10:00"/>
  </r>
  <r>
    <x v="2"/>
    <n v="10"/>
    <x v="435"/>
    <d v="1899-12-30T00:10:00"/>
  </r>
  <r>
    <x v="2"/>
    <n v="0"/>
    <x v="1"/>
    <m/>
  </r>
  <r>
    <x v="2"/>
    <n v="10"/>
    <x v="436"/>
    <d v="1899-12-30T00:10:00"/>
  </r>
  <r>
    <x v="2"/>
    <n v="0"/>
    <x v="437"/>
    <m/>
  </r>
  <r>
    <x v="2"/>
    <n v="10"/>
    <x v="438"/>
    <d v="1899-12-30T00:10:00"/>
  </r>
  <r>
    <x v="2"/>
    <n v="10"/>
    <x v="440"/>
    <d v="1899-12-30T00:10:00"/>
  </r>
  <r>
    <x v="2"/>
    <n v="10"/>
    <x v="441"/>
    <d v="1899-12-30T00:10:00"/>
  </r>
  <r>
    <x v="2"/>
    <n v="0"/>
    <x v="1"/>
    <m/>
  </r>
  <r>
    <x v="2"/>
    <n v="0"/>
    <x v="442"/>
    <m/>
  </r>
  <r>
    <x v="2"/>
    <n v="10"/>
    <x v="443"/>
    <d v="1899-12-30T00:10:00"/>
  </r>
  <r>
    <x v="2"/>
    <n v="0"/>
    <x v="444"/>
    <m/>
  </r>
  <r>
    <x v="2"/>
    <n v="0"/>
    <x v="445"/>
    <m/>
  </r>
  <r>
    <x v="2"/>
    <n v="30"/>
    <x v="446"/>
    <d v="1899-12-30T00:30:00"/>
  </r>
  <r>
    <x v="2"/>
    <n v="0"/>
    <x v="1"/>
    <m/>
  </r>
  <r>
    <x v="2"/>
    <n v="10"/>
    <x v="447"/>
    <d v="1899-12-30T00:10:00"/>
  </r>
  <r>
    <x v="2"/>
    <n v="10"/>
    <x v="448"/>
    <d v="1899-12-30T00:10:00"/>
  </r>
  <r>
    <x v="2"/>
    <n v="0"/>
    <x v="1"/>
    <m/>
  </r>
  <r>
    <x v="2"/>
    <n v="0"/>
    <x v="449"/>
    <m/>
  </r>
  <r>
    <x v="2"/>
    <n v="10"/>
    <x v="450"/>
    <d v="1899-12-30T00:10:00"/>
  </r>
  <r>
    <x v="2"/>
    <n v="0"/>
    <x v="451"/>
    <m/>
  </r>
  <r>
    <x v="2"/>
    <n v="10"/>
    <x v="452"/>
    <d v="1899-12-30T00:10:00"/>
  </r>
  <r>
    <x v="2"/>
    <n v="10"/>
    <x v="453"/>
    <d v="1899-12-30T00:10:00"/>
  </r>
  <r>
    <x v="2"/>
    <n v="10"/>
    <x v="454"/>
    <d v="1899-12-30T00:10:00"/>
  </r>
  <r>
    <x v="2"/>
    <n v="10"/>
    <x v="455"/>
    <d v="1899-12-30T00:10:00"/>
  </r>
  <r>
    <x v="2"/>
    <n v="10"/>
    <x v="456"/>
    <d v="1899-12-30T00:10:00"/>
  </r>
  <r>
    <x v="2"/>
    <n v="0"/>
    <x v="457"/>
    <m/>
  </r>
  <r>
    <x v="2"/>
    <n v="15"/>
    <x v="458"/>
    <d v="1899-12-30T00:15:00"/>
  </r>
  <r>
    <x v="2"/>
    <n v="0"/>
    <x v="1"/>
    <m/>
  </r>
  <r>
    <x v="2"/>
    <n v="10"/>
    <x v="459"/>
    <d v="1899-12-30T00:10:00"/>
  </r>
  <r>
    <x v="2"/>
    <n v="0"/>
    <x v="461"/>
    <m/>
  </r>
  <r>
    <x v="2"/>
    <n v="30.999999999999996"/>
    <x v="627"/>
    <d v="1899-12-30T00:31:00"/>
  </r>
  <r>
    <x v="2"/>
    <n v="0"/>
    <x v="1"/>
    <m/>
  </r>
  <r>
    <x v="2"/>
    <n v="94.000000000000014"/>
    <x v="462"/>
    <d v="1899-12-30T01:34:00"/>
  </r>
  <r>
    <x v="2"/>
    <n v="0"/>
    <x v="1"/>
    <m/>
  </r>
  <r>
    <x v="2"/>
    <n v="0"/>
    <x v="463"/>
    <m/>
  </r>
  <r>
    <x v="2"/>
    <n v="37"/>
    <x v="628"/>
    <d v="1899-12-30T00:37:00"/>
  </r>
  <r>
    <x v="2"/>
    <n v="0"/>
    <x v="1"/>
    <m/>
  </r>
  <r>
    <x v="2"/>
    <n v="10"/>
    <x v="464"/>
    <d v="1899-12-30T00:10:00"/>
  </r>
  <r>
    <x v="2"/>
    <n v="0"/>
    <x v="1"/>
    <m/>
  </r>
  <r>
    <x v="2"/>
    <n v="10"/>
    <x v="465"/>
    <d v="1899-12-30T00:10:00"/>
  </r>
  <r>
    <x v="2"/>
    <n v="0"/>
    <x v="469"/>
    <m/>
  </r>
  <r>
    <x v="2"/>
    <n v="10"/>
    <x v="471"/>
    <d v="1899-12-30T00:10:00"/>
  </r>
  <r>
    <x v="2"/>
    <n v="0"/>
    <x v="1"/>
    <m/>
  </r>
  <r>
    <x v="2"/>
    <n v="0"/>
    <x v="472"/>
    <m/>
  </r>
  <r>
    <x v="2"/>
    <n v="0"/>
    <x v="473"/>
    <m/>
  </r>
  <r>
    <x v="2"/>
    <n v="20"/>
    <x v="474"/>
    <d v="1899-12-30T00:20:00"/>
  </r>
  <r>
    <x v="2"/>
    <n v="0"/>
    <x v="1"/>
    <m/>
  </r>
  <r>
    <x v="2"/>
    <n v="0"/>
    <x v="475"/>
    <m/>
  </r>
  <r>
    <x v="2"/>
    <n v="0"/>
    <x v="477"/>
    <m/>
  </r>
  <r>
    <x v="2"/>
    <n v="10"/>
    <x v="478"/>
    <d v="1899-12-30T00:10:00"/>
  </r>
  <r>
    <x v="2"/>
    <n v="0"/>
    <x v="1"/>
    <m/>
  </r>
  <r>
    <x v="2"/>
    <n v="20"/>
    <x v="479"/>
    <d v="1899-12-30T00:20:00"/>
  </r>
  <r>
    <x v="2"/>
    <n v="0"/>
    <x v="1"/>
    <m/>
  </r>
  <r>
    <x v="2"/>
    <n v="0"/>
    <x v="480"/>
    <m/>
  </r>
  <r>
    <x v="2"/>
    <n v="16"/>
    <x v="481"/>
    <d v="1899-12-30T00:16:00"/>
  </r>
  <r>
    <x v="2"/>
    <n v="0"/>
    <x v="1"/>
    <m/>
  </r>
  <r>
    <x v="2"/>
    <n v="10"/>
    <x v="482"/>
    <d v="1899-12-30T00:10:00"/>
  </r>
  <r>
    <x v="2"/>
    <n v="10"/>
    <x v="483"/>
    <d v="1899-12-30T00:10:00"/>
  </r>
  <r>
    <x v="1"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16366-DC73-4502-9F30-99DF7EB1D671}" name="Pivottabell1" cacheId="20" applyNumberFormats="0" applyBorderFormats="0" applyFontFormats="0" applyPatternFormats="0" applyAlignmentFormats="0" applyWidthHeightFormats="1" dataCaption="Verdier" updatedVersion="8" minRefreshableVersion="3" useAutoFormatting="1" itemPrintTitles="1" createdVersion="8" indent="0" multipleFieldFilters="0">
  <location ref="B4:E635" firstHeaderRow="1" firstDataRow="2" firstDataCol="1"/>
  <pivotFields count="4">
    <pivotField axis="axisCol" showAll="0">
      <items count="4">
        <item x="0"/>
        <item h="1" x="1"/>
        <item x="2"/>
        <item t="default"/>
      </items>
    </pivotField>
    <pivotField dataField="1" showAll="0"/>
    <pivotField axis="axisRow" showAll="0" sortType="ascending">
      <items count="630">
        <item x="0"/>
        <item x="484"/>
        <item x="2"/>
        <item x="3"/>
        <item x="4"/>
        <item x="5"/>
        <item x="6"/>
        <item x="7"/>
        <item x="8"/>
        <item x="9"/>
        <item x="10"/>
        <item x="11"/>
        <item x="485"/>
        <item x="486"/>
        <item x="487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88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489"/>
        <item x="80"/>
        <item x="49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491"/>
        <item x="107"/>
        <item x="492"/>
        <item x="108"/>
        <item x="493"/>
        <item x="109"/>
        <item x="110"/>
        <item x="494"/>
        <item x="111"/>
        <item x="112"/>
        <item x="495"/>
        <item x="113"/>
        <item x="496"/>
        <item x="497"/>
        <item x="114"/>
        <item x="115"/>
        <item x="498"/>
        <item x="499"/>
        <item x="500"/>
        <item x="116"/>
        <item x="501"/>
        <item x="502"/>
        <item x="503"/>
        <item x="117"/>
        <item x="118"/>
        <item x="504"/>
        <item x="119"/>
        <item x="505"/>
        <item x="120"/>
        <item x="121"/>
        <item x="122"/>
        <item x="123"/>
        <item x="124"/>
        <item x="506"/>
        <item x="125"/>
        <item x="126"/>
        <item x="507"/>
        <item x="127"/>
        <item x="128"/>
        <item x="129"/>
        <item x="130"/>
        <item x="131"/>
        <item x="132"/>
        <item x="133"/>
        <item x="134"/>
        <item x="508"/>
        <item x="509"/>
        <item x="510"/>
        <item x="135"/>
        <item x="136"/>
        <item x="137"/>
        <item x="138"/>
        <item x="511"/>
        <item x="139"/>
        <item x="140"/>
        <item x="141"/>
        <item x="142"/>
        <item x="512"/>
        <item x="513"/>
        <item x="514"/>
        <item x="143"/>
        <item x="144"/>
        <item x="515"/>
        <item x="516"/>
        <item x="517"/>
        <item x="518"/>
        <item x="519"/>
        <item x="145"/>
        <item x="146"/>
        <item x="147"/>
        <item x="148"/>
        <item x="149"/>
        <item x="520"/>
        <item x="150"/>
        <item x="151"/>
        <item x="521"/>
        <item x="522"/>
        <item x="152"/>
        <item x="153"/>
        <item x="523"/>
        <item x="154"/>
        <item x="155"/>
        <item x="156"/>
        <item x="157"/>
        <item x="524"/>
        <item x="525"/>
        <item x="158"/>
        <item x="159"/>
        <item x="526"/>
        <item x="160"/>
        <item x="161"/>
        <item x="162"/>
        <item x="163"/>
        <item x="527"/>
        <item x="164"/>
        <item x="528"/>
        <item x="165"/>
        <item x="166"/>
        <item x="529"/>
        <item x="167"/>
        <item x="168"/>
        <item x="169"/>
        <item x="170"/>
        <item x="171"/>
        <item x="530"/>
        <item x="172"/>
        <item x="173"/>
        <item x="174"/>
        <item x="175"/>
        <item x="176"/>
        <item x="177"/>
        <item x="178"/>
        <item x="179"/>
        <item x="531"/>
        <item x="532"/>
        <item x="180"/>
        <item x="181"/>
        <item x="182"/>
        <item x="533"/>
        <item x="183"/>
        <item x="534"/>
        <item x="184"/>
        <item x="185"/>
        <item x="186"/>
        <item x="535"/>
        <item x="536"/>
        <item x="187"/>
        <item x="537"/>
        <item x="188"/>
        <item x="189"/>
        <item x="538"/>
        <item x="539"/>
        <item x="540"/>
        <item x="190"/>
        <item x="191"/>
        <item x="192"/>
        <item x="193"/>
        <item x="541"/>
        <item x="194"/>
        <item x="195"/>
        <item x="196"/>
        <item x="197"/>
        <item x="198"/>
        <item x="542"/>
        <item x="199"/>
        <item x="543"/>
        <item x="544"/>
        <item x="545"/>
        <item x="200"/>
        <item x="201"/>
        <item x="202"/>
        <item x="203"/>
        <item x="546"/>
        <item x="547"/>
        <item x="548"/>
        <item x="204"/>
        <item x="549"/>
        <item x="550"/>
        <item x="205"/>
        <item x="206"/>
        <item x="207"/>
        <item x="208"/>
        <item x="209"/>
        <item x="551"/>
        <item x="552"/>
        <item x="210"/>
        <item x="211"/>
        <item x="212"/>
        <item x="213"/>
        <item x="214"/>
        <item x="215"/>
        <item x="553"/>
        <item x="216"/>
        <item x="554"/>
        <item x="555"/>
        <item x="556"/>
        <item x="557"/>
        <item x="217"/>
        <item x="558"/>
        <item x="218"/>
        <item x="219"/>
        <item x="220"/>
        <item x="221"/>
        <item x="222"/>
        <item x="223"/>
        <item x="559"/>
        <item x="224"/>
        <item x="225"/>
        <item x="560"/>
        <item x="226"/>
        <item x="561"/>
        <item x="562"/>
        <item x="227"/>
        <item x="563"/>
        <item x="228"/>
        <item x="564"/>
        <item x="565"/>
        <item x="229"/>
        <item x="566"/>
        <item x="230"/>
        <item x="567"/>
        <item x="231"/>
        <item x="232"/>
        <item x="233"/>
        <item x="234"/>
        <item x="235"/>
        <item x="568"/>
        <item x="236"/>
        <item x="569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5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571"/>
        <item x="294"/>
        <item x="295"/>
        <item x="572"/>
        <item x="573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574"/>
        <item x="309"/>
        <item x="310"/>
        <item x="575"/>
        <item x="576"/>
        <item x="577"/>
        <item x="578"/>
        <item x="311"/>
        <item x="312"/>
        <item x="579"/>
        <item x="313"/>
        <item x="314"/>
        <item x="315"/>
        <item x="316"/>
        <item x="317"/>
        <item x="580"/>
        <item x="581"/>
        <item x="582"/>
        <item x="583"/>
        <item x="584"/>
        <item x="318"/>
        <item x="319"/>
        <item x="585"/>
        <item x="320"/>
        <item x="321"/>
        <item x="322"/>
        <item x="323"/>
        <item x="324"/>
        <item x="325"/>
        <item x="326"/>
        <item x="327"/>
        <item x="58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587"/>
        <item x="341"/>
        <item x="342"/>
        <item x="343"/>
        <item x="344"/>
        <item x="345"/>
        <item x="346"/>
        <item x="588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589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590"/>
        <item x="389"/>
        <item x="390"/>
        <item x="391"/>
        <item x="591"/>
        <item x="392"/>
        <item x="393"/>
        <item x="592"/>
        <item x="394"/>
        <item x="395"/>
        <item x="396"/>
        <item x="593"/>
        <item x="594"/>
        <item x="595"/>
        <item x="596"/>
        <item x="597"/>
        <item x="397"/>
        <item x="598"/>
        <item x="599"/>
        <item x="600"/>
        <item x="398"/>
        <item x="601"/>
        <item x="602"/>
        <item x="399"/>
        <item x="400"/>
        <item x="603"/>
        <item x="604"/>
        <item x="605"/>
        <item x="606"/>
        <item x="607"/>
        <item x="608"/>
        <item x="609"/>
        <item x="610"/>
        <item x="611"/>
        <item x="612"/>
        <item x="401"/>
        <item x="402"/>
        <item x="403"/>
        <item x="613"/>
        <item x="404"/>
        <item x="614"/>
        <item x="615"/>
        <item x="616"/>
        <item x="617"/>
        <item x="618"/>
        <item x="405"/>
        <item x="619"/>
        <item x="406"/>
        <item x="620"/>
        <item x="621"/>
        <item x="622"/>
        <item x="623"/>
        <item x="624"/>
        <item x="407"/>
        <item x="408"/>
        <item x="409"/>
        <item x="410"/>
        <item x="411"/>
        <item x="412"/>
        <item x="413"/>
        <item x="414"/>
        <item x="415"/>
        <item x="416"/>
        <item x="625"/>
        <item x="417"/>
        <item x="418"/>
        <item x="419"/>
        <item x="420"/>
        <item x="421"/>
        <item x="626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627"/>
        <item x="462"/>
        <item x="463"/>
        <item x="628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1"/>
        <item t="default"/>
      </items>
    </pivotField>
    <pivotField showAll="0"/>
  </pivotFields>
  <rowFields count="1">
    <field x="2"/>
  </rowFields>
  <rowItems count="6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 t="grand">
      <x/>
    </i>
  </rowItems>
  <colFields count="1">
    <field x="0"/>
  </colFields>
  <colItems count="3">
    <i>
      <x/>
    </i>
    <i>
      <x v="2"/>
    </i>
    <i t="grand">
      <x/>
    </i>
  </colItems>
  <dataFields count="1">
    <dataField name="Summer av Minut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src/env_17.0/src/openupgrade/openupgrade_scripts/scripts/l10n_nz/17.0.1.1/upgrade_analysis.txt" TargetMode="External"/><Relationship Id="rId299" Type="http://schemas.openxmlformats.org/officeDocument/2006/relationships/hyperlink" Target="src/env_18.0/src/openupgrade/openupgrade_scripts/scripts/l10n_be/18.0.2.0/upgrade_analysis.txt" TargetMode="External"/><Relationship Id="rId21" Type="http://schemas.openxmlformats.org/officeDocument/2006/relationships/hyperlink" Target="src/env_17.0/src/openupgrade/openupgrade_scripts/scripts/crm_sms/17.0.1.1/upgrade_analysis.txt" TargetMode="External"/><Relationship Id="rId63" Type="http://schemas.openxmlformats.org/officeDocument/2006/relationships/hyperlink" Target="src/env_17.0/src/openupgrade/openupgrade_scripts/scripts/l10n_co/17.0.0.9/upgrade_analysis.txt" TargetMode="External"/><Relationship Id="rId159" Type="http://schemas.openxmlformats.org/officeDocument/2006/relationships/hyperlink" Target="src/env_17.0/src/openupgrade/openupgrade_scripts/scripts/partner_autocomplete/17.0.1.1/upgrade_analysis.txt" TargetMode="External"/><Relationship Id="rId324" Type="http://schemas.openxmlformats.org/officeDocument/2006/relationships/hyperlink" Target="src/env_18.0/src/openupgrade/openupgrade_scripts/scripts/l10n_hu_edi/18.0.1.0.0/upgrade_analysis.txt" TargetMode="External"/><Relationship Id="rId366" Type="http://schemas.openxmlformats.org/officeDocument/2006/relationships/hyperlink" Target="src/env_18.0/src/openupgrade/openupgrade_scripts/scripts/lunch/18.0.1.0/upgrade_analysis.txt" TargetMode="External"/><Relationship Id="rId170" Type="http://schemas.openxmlformats.org/officeDocument/2006/relationships/hyperlink" Target="src/env_17.0/src/openupgrade/openupgrade_scripts/scripts/portal/17.0.1.0/upgrade_analysis.txt" TargetMode="External"/><Relationship Id="rId226" Type="http://schemas.openxmlformats.org/officeDocument/2006/relationships/hyperlink" Target="src/env_17.0/src/openupgrade/openupgrade_scripts/scripts/website_forum/17.0.1.2/upgrade_analysis.txt" TargetMode="External"/><Relationship Id="rId433" Type="http://schemas.openxmlformats.org/officeDocument/2006/relationships/hyperlink" Target="src/env_18.0/src/openupgrade/openupgrade_scripts/scripts/stock_landed_costs/18.0.1.1/upgrade_analysis.txt" TargetMode="External"/><Relationship Id="rId268" Type="http://schemas.openxmlformats.org/officeDocument/2006/relationships/hyperlink" Target="src/env_18.0/src/openupgrade/openupgrade_scripts/scripts/event_sale/18.0.1.3/upgrade_analysis.txt" TargetMode="External"/><Relationship Id="rId32" Type="http://schemas.openxmlformats.org/officeDocument/2006/relationships/hyperlink" Target="src/env_17.0/src/openupgrade/openupgrade_scripts/scripts/hr/17.0.1.1/upgrade_analysis.txt" TargetMode="External"/><Relationship Id="rId74" Type="http://schemas.openxmlformats.org/officeDocument/2006/relationships/hyperlink" Target="src/env_17.0/src/openupgrade/openupgrade_scripts/scripts/l10n_ec/17.0.3.9/upgrade_analysis.txt" TargetMode="External"/><Relationship Id="rId128" Type="http://schemas.openxmlformats.org/officeDocument/2006/relationships/hyperlink" Target="src/env_17.0/src/openupgrade/openupgrade_scripts/scripts/l10n_se/17.0.1.1/upgrade_analysis.txt" TargetMode="External"/><Relationship Id="rId335" Type="http://schemas.openxmlformats.org/officeDocument/2006/relationships/hyperlink" Target="src/env_18.0/src/openupgrade/openupgrade_scripts/scripts/l10n_jo_edi/18.0.1.0/upgrade_analysis.txt" TargetMode="External"/><Relationship Id="rId377" Type="http://schemas.openxmlformats.org/officeDocument/2006/relationships/hyperlink" Target="src/env_18.0/src/openupgrade/openupgrade_scripts/scripts/mrp_subcontracting/18.0.0.1/upgrade_analysis.txt" TargetMode="External"/><Relationship Id="rId5" Type="http://schemas.openxmlformats.org/officeDocument/2006/relationships/hyperlink" Target="src/env_17.0/src/openupgrade/openupgrade_scripts/scripts/account_edi_ubl_cii/17.0.1.0/upgrade_analysis.txt" TargetMode="External"/><Relationship Id="rId181" Type="http://schemas.openxmlformats.org/officeDocument/2006/relationships/hyperlink" Target="src/env_17.0/src/openupgrade/openupgrade_scripts/scripts/purchase/17.0.1.2/upgrade_analysis.txt" TargetMode="External"/><Relationship Id="rId237" Type="http://schemas.openxmlformats.org/officeDocument/2006/relationships/hyperlink" Target="src/env_17.0/src/openupgrade/openupgrade_scripts/scripts/website_sale_product_configurator/17.0.1.0/upgrade_analysis.txt" TargetMode="External"/><Relationship Id="rId402" Type="http://schemas.openxmlformats.org/officeDocument/2006/relationships/hyperlink" Target="src/env_18.0/src/openupgrade/openupgrade_scripts/scripts/project_account/18.0.1.0/upgrade_analysis.txt" TargetMode="External"/><Relationship Id="rId279" Type="http://schemas.openxmlformats.org/officeDocument/2006/relationships/hyperlink" Target="src/env_18.0/src/openupgrade/openupgrade_scripts/scripts/hr_maintenance/18.0.1.0/upgrade_analysis.txt" TargetMode="External"/><Relationship Id="rId444" Type="http://schemas.openxmlformats.org/officeDocument/2006/relationships/hyperlink" Target="src/env_18.0/src/openupgrade/openupgrade_scripts/scripts/website_event_exhibitor/18.0.1.1/upgrade_analysis.txt" TargetMode="External"/><Relationship Id="rId43" Type="http://schemas.openxmlformats.org/officeDocument/2006/relationships/hyperlink" Target="src/env_17.0/src/openupgrade/openupgrade_scripts/scripts/hr_skills/17.0.1.0/upgrade_analysis.txt" TargetMode="External"/><Relationship Id="rId139" Type="http://schemas.openxmlformats.org/officeDocument/2006/relationships/hyperlink" Target="src/env_17.0/src/openupgrade/openupgrade_scripts/scripts/l10n_ve/17.0.1.0/upgrade_analysis.txt" TargetMode="External"/><Relationship Id="rId290" Type="http://schemas.openxmlformats.org/officeDocument/2006/relationships/hyperlink" Target="src/env_18.0/src/openupgrade/openupgrade_scripts/scripts/iap/18.0.1.1/upgrade_analysis.txt" TargetMode="External"/><Relationship Id="rId304" Type="http://schemas.openxmlformats.org/officeDocument/2006/relationships/hyperlink" Target="src/env_18.0/src/openupgrade/openupgrade_scripts/scripts/l10n_co/18.0.0.9/upgrade_analysis.txt" TargetMode="External"/><Relationship Id="rId346" Type="http://schemas.openxmlformats.org/officeDocument/2006/relationships/hyperlink" Target="src/env_18.0/src/openupgrade/openupgrade_scripts/scripts/l10n_mx/18.0.2.2/upgrade_analysis.txt" TargetMode="External"/><Relationship Id="rId388" Type="http://schemas.openxmlformats.org/officeDocument/2006/relationships/hyperlink" Target="src/env_18.0/src/openupgrade/openupgrade_scripts/scripts/point_of_sale/18.0.1.0.2/upgrade_analysis.txt" TargetMode="External"/><Relationship Id="rId85" Type="http://schemas.openxmlformats.org/officeDocument/2006/relationships/hyperlink" Target="src/env_17.0/src/openupgrade/openupgrade_scripts/scripts/l10n_hk/17.0.1.0/upgrade_analysis.txt" TargetMode="External"/><Relationship Id="rId150" Type="http://schemas.openxmlformats.org/officeDocument/2006/relationships/hyperlink" Target="src/env_17.0/src/openupgrade/openupgrade_scripts/scripts/mass_mailing_themes/17.0.1.2/upgrade_analysis.txt" TargetMode="External"/><Relationship Id="rId192" Type="http://schemas.openxmlformats.org/officeDocument/2006/relationships/hyperlink" Target="src/env_17.0/src/openupgrade/openupgrade_scripts/scripts/sale_pdf_quote_builder/17.0.1.0/upgrade_analysis.txt" TargetMode="External"/><Relationship Id="rId206" Type="http://schemas.openxmlformats.org/officeDocument/2006/relationships/hyperlink" Target="src/env_17.0/src/openupgrade/openupgrade_scripts/scripts/stock_dropshipping/17.0.1.0/upgrade_analysis.txt" TargetMode="External"/><Relationship Id="rId413" Type="http://schemas.openxmlformats.org/officeDocument/2006/relationships/hyperlink" Target="src/env_18.0/src/openupgrade/openupgrade_scripts/scripts/resource/18.0.1.1/upgrade_analysis.txt" TargetMode="External"/><Relationship Id="rId248" Type="http://schemas.openxmlformats.org/officeDocument/2006/relationships/hyperlink" Target="src/env_18.0/src/openupgrade/openupgrade_scripts/scripts/account_edi_ubl_cii/18.0.1.0/upgrade_analysis.txt" TargetMode="External"/><Relationship Id="rId455" Type="http://schemas.openxmlformats.org/officeDocument/2006/relationships/hyperlink" Target="src/env_18.0/src/openupgrade/openupgrade_scripts/scripts/website_sale_wishlist/18.0.1.0/upgrade_analysis.txt" TargetMode="External"/><Relationship Id="rId12" Type="http://schemas.openxmlformats.org/officeDocument/2006/relationships/hyperlink" Target="src/env_17.0/src/openupgrade/openupgrade_scripts/scripts/base_automation/17.0.1.0/upgrade_analysis.txt" TargetMode="External"/><Relationship Id="rId108" Type="http://schemas.openxmlformats.org/officeDocument/2006/relationships/hyperlink" Target="src/env_17.0/src/openupgrade/openupgrade_scripts/scripts/l10n_lu/17.0.2.2/upgrade_analysis.txt" TargetMode="External"/><Relationship Id="rId315" Type="http://schemas.openxmlformats.org/officeDocument/2006/relationships/hyperlink" Target="src/env_18.0/src/openupgrade/openupgrade_scripts/scripts/l10n_es/18.0.5.4/upgrade_analysis.txt" TargetMode="External"/><Relationship Id="rId357" Type="http://schemas.openxmlformats.org/officeDocument/2006/relationships/hyperlink" Target="src/env_18.0/src/openupgrade/openupgrade_scripts/scripts/l10n_sg_ubl_pint/18.0.1.0/upgrade_analysis.txt" TargetMode="External"/><Relationship Id="rId54" Type="http://schemas.openxmlformats.org/officeDocument/2006/relationships/hyperlink" Target="src/env_17.0/src/openupgrade/openupgrade_scripts/scripts/l10n_au/17.0.1.1/upgrade_analysis.txt" TargetMode="External"/><Relationship Id="rId96" Type="http://schemas.openxmlformats.org/officeDocument/2006/relationships/hyperlink" Target="src/env_17.0/src/openupgrade/openupgrade_scripts/scripts/l10n_in_sale/17.0.1.0/upgrade_analysis.txt" TargetMode="External"/><Relationship Id="rId161" Type="http://schemas.openxmlformats.org/officeDocument/2006/relationships/hyperlink" Target="src/env_17.0/src/openupgrade/openupgrade_scripts/scripts/payment_adyen/17.0.2.0/upgrade_analysis.txt" TargetMode="External"/><Relationship Id="rId217" Type="http://schemas.openxmlformats.org/officeDocument/2006/relationships/hyperlink" Target="src/env_17.0/src/openupgrade/openupgrade_scripts/scripts/website_customer/17.0.1.0/upgrade_analysis.txt" TargetMode="External"/><Relationship Id="rId399" Type="http://schemas.openxmlformats.org/officeDocument/2006/relationships/hyperlink" Target="src/env_18.0/src/openupgrade/openupgrade_scripts/scripts/product/18.0.1.2/upgrade_analysis.txt" TargetMode="External"/><Relationship Id="rId259" Type="http://schemas.openxmlformats.org/officeDocument/2006/relationships/hyperlink" Target="src/env_18.0/src/openupgrade/openupgrade_scripts/scripts/base_setup/18.0.1.0/upgrade_analysis.txt" TargetMode="External"/><Relationship Id="rId424" Type="http://schemas.openxmlformats.org/officeDocument/2006/relationships/hyperlink" Target="src/env_18.0/src/openupgrade/openupgrade_scripts/scripts/sms/18.0.3.0/upgrade_analysis.txt" TargetMode="External"/><Relationship Id="rId23" Type="http://schemas.openxmlformats.org/officeDocument/2006/relationships/hyperlink" Target="src/env_17.0/src/openupgrade/openupgrade_scripts/scripts/digest/17.0.1.1/upgrade_analysis.txt" TargetMode="External"/><Relationship Id="rId119" Type="http://schemas.openxmlformats.org/officeDocument/2006/relationships/hyperlink" Target="src/env_17.0/src/openupgrade/openupgrade_scripts/scripts/l10n_pe/17.0.3.0/upgrade_analysis.txt" TargetMode="External"/><Relationship Id="rId270" Type="http://schemas.openxmlformats.org/officeDocument/2006/relationships/hyperlink" Target="src/env_18.0/src/openupgrade/openupgrade_scripts/scripts/google_calendar/18.0.1.0/upgrade_analysis.txt" TargetMode="External"/><Relationship Id="rId326" Type="http://schemas.openxmlformats.org/officeDocument/2006/relationships/hyperlink" Target="src/env_18.0/src/openupgrade/openupgrade_scripts/scripts/l10n_id_efaktur/18.0.1.0/upgrade_analysis.txt" TargetMode="External"/><Relationship Id="rId65" Type="http://schemas.openxmlformats.org/officeDocument/2006/relationships/hyperlink" Target="src/env_17.0/src/openupgrade/openupgrade_scripts/scripts/l10n_cz/17.0.1.1/upgrade_analysis.txt" TargetMode="External"/><Relationship Id="rId130" Type="http://schemas.openxmlformats.org/officeDocument/2006/relationships/hyperlink" Target="src/env_17.0/src/openupgrade/openupgrade_scripts/scripts/l10n_si/17.0.1.1/upgrade_analysis.txt" TargetMode="External"/><Relationship Id="rId368" Type="http://schemas.openxmlformats.org/officeDocument/2006/relationships/hyperlink" Target="src/env_18.0/src/openupgrade/openupgrade_scripts/scripts/mail_bot/18.0.1.2/upgrade_analysis.txt" TargetMode="External"/><Relationship Id="rId172" Type="http://schemas.openxmlformats.org/officeDocument/2006/relationships/hyperlink" Target="src/env_17.0/src/openupgrade/openupgrade_scripts/scripts/pos_hr/17.0.1.0/upgrade_analysis.txt" TargetMode="External"/><Relationship Id="rId228" Type="http://schemas.openxmlformats.org/officeDocument/2006/relationships/hyperlink" Target="src/env_17.0/src/openupgrade/openupgrade_scripts/scripts/website_livechat/17.0.1.0/upgrade_analysis.txt" TargetMode="External"/><Relationship Id="rId435" Type="http://schemas.openxmlformats.org/officeDocument/2006/relationships/hyperlink" Target="src/env_18.0/src/openupgrade/openupgrade_scripts/scripts/survey/18.0.3.7/upgrade_analysis.txt" TargetMode="External"/><Relationship Id="rId281" Type="http://schemas.openxmlformats.org/officeDocument/2006/relationships/hyperlink" Target="src/env_18.0/src/openupgrade/openupgrade_scripts/scripts/hr_presence/18.0.1.0/upgrade_analysis.txt" TargetMode="External"/><Relationship Id="rId337" Type="http://schemas.openxmlformats.org/officeDocument/2006/relationships/hyperlink" Target="src/env_18.0/src/openupgrade/openupgrade_scripts/scripts/l10n_ke/18.0.1.0/upgrade_analysis.txt" TargetMode="External"/><Relationship Id="rId34" Type="http://schemas.openxmlformats.org/officeDocument/2006/relationships/hyperlink" Target="src/env_17.0/src/openupgrade/openupgrade_scripts/scripts/hr_contract/17.0.1.0/upgrade_analysis.txt" TargetMode="External"/><Relationship Id="rId76" Type="http://schemas.openxmlformats.org/officeDocument/2006/relationships/hyperlink" Target="src/env_17.0/src/openupgrade/openupgrade_scripts/scripts/l10n_eg/17.0.1.0/upgrade_analysis.txt" TargetMode="External"/><Relationship Id="rId141" Type="http://schemas.openxmlformats.org/officeDocument/2006/relationships/hyperlink" Target="src/env_17.0/src/openupgrade/openupgrade_scripts/scripts/l10n_za/17.0.1.0/upgrade_analysis.txt" TargetMode="External"/><Relationship Id="rId379" Type="http://schemas.openxmlformats.org/officeDocument/2006/relationships/hyperlink" Target="src/env_18.0/src/openupgrade/openupgrade_scripts/scripts/partner_autocomplete/18.0.1.1/upgrade_analysis.txt" TargetMode="External"/><Relationship Id="rId7" Type="http://schemas.openxmlformats.org/officeDocument/2006/relationships/hyperlink" Target="src/env_17.0/src/openupgrade/openupgrade_scripts/scripts/account_tax_python/17.0.1.0/upgrade_analysis.txt" TargetMode="External"/><Relationship Id="rId183" Type="http://schemas.openxmlformats.org/officeDocument/2006/relationships/hyperlink" Target="src/env_17.0/src/openupgrade/openupgrade_scripts/scripts/purchase_requisition/17.0.0.1/upgrade_analysis.txt" TargetMode="External"/><Relationship Id="rId239" Type="http://schemas.openxmlformats.org/officeDocument/2006/relationships/hyperlink" Target="src/env_17.0/src/openupgrade/openupgrade_scripts/scripts/website_sale_wishlist/17.0.1.0/upgrade_analysis.txt" TargetMode="External"/><Relationship Id="rId390" Type="http://schemas.openxmlformats.org/officeDocument/2006/relationships/hyperlink" Target="src/env_18.0/src/openupgrade/openupgrade_scripts/scripts/pos_adyen/18.0.1.0/upgrade_analysis.txt" TargetMode="External"/><Relationship Id="rId404" Type="http://schemas.openxmlformats.org/officeDocument/2006/relationships/hyperlink" Target="src/env_18.0/src/openupgrade/openupgrade_scripts/scripts/project_mrp/18.0.1.0/upgrade_analysis.txt" TargetMode="External"/><Relationship Id="rId446" Type="http://schemas.openxmlformats.org/officeDocument/2006/relationships/hyperlink" Target="src/env_18.0/src/openupgrade/openupgrade_scripts/scripts/website_forum/18.0.1.2/upgrade_analysis.txt" TargetMode="External"/><Relationship Id="rId250" Type="http://schemas.openxmlformats.org/officeDocument/2006/relationships/hyperlink" Target="src/env_18.0/src/openupgrade/openupgrade_scripts/scripts/account_payment/18.0.2.0/upgrade_analysis.txt" TargetMode="External"/><Relationship Id="rId292" Type="http://schemas.openxmlformats.org/officeDocument/2006/relationships/hyperlink" Target="src/env_18.0/src/openupgrade/openupgrade_scripts/scripts/im_livechat/18.0.1.0/upgrade_analysis.txt" TargetMode="External"/><Relationship Id="rId306" Type="http://schemas.openxmlformats.org/officeDocument/2006/relationships/hyperlink" Target="src/env_18.0/src/openupgrade/openupgrade_scripts/scripts/l10n_de/18.0.2.0/upgrade_analysis.txt" TargetMode="External"/><Relationship Id="rId45" Type="http://schemas.openxmlformats.org/officeDocument/2006/relationships/hyperlink" Target="src/env_17.0/src/openupgrade/openupgrade_scripts/scripts/hr_timesheet/17.0.1.0/upgrade_analysis.txt" TargetMode="External"/><Relationship Id="rId87" Type="http://schemas.openxmlformats.org/officeDocument/2006/relationships/hyperlink" Target="src/env_17.0/src/openupgrade/openupgrade_scripts/scripts/l10n_hr/17.0.13.0/upgrade_analysis.txt" TargetMode="External"/><Relationship Id="rId110" Type="http://schemas.openxmlformats.org/officeDocument/2006/relationships/hyperlink" Target="src/env_17.0/src/openupgrade/openupgrade_scripts/scripts/l10n_ma/17.0.1.0/upgrade_analysis.txt" TargetMode="External"/><Relationship Id="rId348" Type="http://schemas.openxmlformats.org/officeDocument/2006/relationships/hyperlink" Target="src/env_18.0/src/openupgrade/openupgrade_scripts/scripts/l10n_my_edi/18.0.1.0/upgrade_analysis.txt" TargetMode="External"/><Relationship Id="rId152" Type="http://schemas.openxmlformats.org/officeDocument/2006/relationships/hyperlink" Target="src/env_17.0/src/openupgrade/openupgrade_scripts/scripts/microsoft_calendar/17.0.1.0/upgrade_analysis.txt" TargetMode="External"/><Relationship Id="rId194" Type="http://schemas.openxmlformats.org/officeDocument/2006/relationships/hyperlink" Target="src/env_17.0/src/openupgrade/openupgrade_scripts/scripts/sale_project/17.0.1.0/upgrade_analysis.txt" TargetMode="External"/><Relationship Id="rId208" Type="http://schemas.openxmlformats.org/officeDocument/2006/relationships/hyperlink" Target="src/env_17.0/src/openupgrade/openupgrade_scripts/scripts/stock_picking_batch/17.0.1.0/upgrade_analysis.txt" TargetMode="External"/><Relationship Id="rId415" Type="http://schemas.openxmlformats.org/officeDocument/2006/relationships/hyperlink" Target="src/env_18.0/src/openupgrade/openupgrade_scripts/scripts/sale_loyalty/18.0.1.0/upgrade_analysis.txt" TargetMode="External"/><Relationship Id="rId457" Type="http://schemas.openxmlformats.org/officeDocument/2006/relationships/hyperlink" Target="src/env_18.0/src/openupgrade/openupgrade_scripts/scripts/website_slides_survey/18.0.1.0/upgrade_analysis.txt" TargetMode="External"/><Relationship Id="rId261" Type="http://schemas.openxmlformats.org/officeDocument/2006/relationships/hyperlink" Target="src/env_18.0/src/openupgrade/openupgrade_scripts/scripts/calendar/18.0.1.1/upgrade_analysis.txt" TargetMode="External"/><Relationship Id="rId14" Type="http://schemas.openxmlformats.org/officeDocument/2006/relationships/hyperlink" Target="src/env_17.0/src/openupgrade/openupgrade_scripts/scripts/base_import/17.0.2.0/upgrade_analysis.txt" TargetMode="External"/><Relationship Id="rId56" Type="http://schemas.openxmlformats.org/officeDocument/2006/relationships/hyperlink" Target="src/env_17.0/src/openupgrade/openupgrade_scripts/scripts/l10n_bg/17.0.1.0/upgrade_analysis.txt" TargetMode="External"/><Relationship Id="rId317" Type="http://schemas.openxmlformats.org/officeDocument/2006/relationships/hyperlink" Target="src/env_18.0/src/openupgrade/openupgrade_scripts/scripts/l10n_es_edi_sii/18.0.1.1/upgrade_analysis.txt" TargetMode="External"/><Relationship Id="rId359" Type="http://schemas.openxmlformats.org/officeDocument/2006/relationships/hyperlink" Target="src/env_18.0/src/openupgrade/openupgrade_scripts/scripts/l10n_tr/18.0.1.3/upgrade_analysis.txt" TargetMode="External"/><Relationship Id="rId98" Type="http://schemas.openxmlformats.org/officeDocument/2006/relationships/hyperlink" Target="src/env_17.0/src/openupgrade/openupgrade_scripts/scripts/l10n_it/17.0.0.7/upgrade_analysis.txt" TargetMode="External"/><Relationship Id="rId121" Type="http://schemas.openxmlformats.org/officeDocument/2006/relationships/hyperlink" Target="src/env_17.0/src/openupgrade/openupgrade_scripts/scripts/l10n_pk/17.0.1.1/upgrade_analysis.txt" TargetMode="External"/><Relationship Id="rId163" Type="http://schemas.openxmlformats.org/officeDocument/2006/relationships/hyperlink" Target="src/env_17.0/src/openupgrade/openupgrade_scripts/scripts/payment_authorize/17.0.2.0/upgrade_analysis.txt" TargetMode="External"/><Relationship Id="rId219" Type="http://schemas.openxmlformats.org/officeDocument/2006/relationships/hyperlink" Target="src/env_17.0/src/openupgrade/openupgrade_scripts/scripts/website_event_booth/17.0.1.0/upgrade_analysis.txt" TargetMode="External"/><Relationship Id="rId370" Type="http://schemas.openxmlformats.org/officeDocument/2006/relationships/hyperlink" Target="src/env_18.0/src/openupgrade/openupgrade_scripts/scripts/mass_mailing/18.0.2.7/upgrade_analysis.txt" TargetMode="External"/><Relationship Id="rId426" Type="http://schemas.openxmlformats.org/officeDocument/2006/relationships/hyperlink" Target="src/env_18.0/src/openupgrade/openupgrade_scripts/scripts/snailmail_account/18.0.0.1/upgrade_analysis.txt" TargetMode="External"/><Relationship Id="rId230" Type="http://schemas.openxmlformats.org/officeDocument/2006/relationships/hyperlink" Target="src/env_17.0/src/openupgrade/openupgrade_scripts/scripts/website_membership/17.0.1.0/upgrade_analysis.txt" TargetMode="External"/><Relationship Id="rId25" Type="http://schemas.openxmlformats.org/officeDocument/2006/relationships/hyperlink" Target="src/env_17.0/src/openupgrade/openupgrade_scripts/scripts/event_booth/17.0.1.1/upgrade_analysis.txt" TargetMode="External"/><Relationship Id="rId67" Type="http://schemas.openxmlformats.org/officeDocument/2006/relationships/hyperlink" Target="src/env_17.0/src/openupgrade/openupgrade_scripts/scripts/l10n_din5008/17.0.1.0/upgrade_analysis.txt" TargetMode="External"/><Relationship Id="rId272" Type="http://schemas.openxmlformats.org/officeDocument/2006/relationships/hyperlink" Target="src/env_18.0/src/openupgrade/openupgrade_scripts/scripts/hr_attendance/18.0.2.0/upgrade_analysis.txt" TargetMode="External"/><Relationship Id="rId328" Type="http://schemas.openxmlformats.org/officeDocument/2006/relationships/hyperlink" Target="src/env_18.0/src/openupgrade/openupgrade_scripts/scripts/l10n_in_edi/18.0.1.03.00/upgrade_analysis.txt" TargetMode="External"/><Relationship Id="rId132" Type="http://schemas.openxmlformats.org/officeDocument/2006/relationships/hyperlink" Target="src/env_17.0/src/openupgrade/openupgrade_scripts/scripts/l10n_syscohada/17.0.1.0/upgrade_analysis.txt" TargetMode="External"/><Relationship Id="rId174" Type="http://schemas.openxmlformats.org/officeDocument/2006/relationships/hyperlink" Target="src/env_17.0/src/openupgrade/openupgrade_scripts/scripts/pos_mercury/17.0.1.0/upgrade_analysis.txt" TargetMode="External"/><Relationship Id="rId381" Type="http://schemas.openxmlformats.org/officeDocument/2006/relationships/hyperlink" Target="src/env_18.0/src/openupgrade/openupgrade_scripts/scripts/payment_custom/18.0.2.0/upgrade_analysis.txt" TargetMode="External"/><Relationship Id="rId241" Type="http://schemas.openxmlformats.org/officeDocument/2006/relationships/hyperlink" Target="src/env_17.0/src/openupgrade/openupgrade_scripts/scripts/website_slides_forum/17.0.1.0/upgrade_analysis.txt" TargetMode="External"/><Relationship Id="rId437" Type="http://schemas.openxmlformats.org/officeDocument/2006/relationships/hyperlink" Target="src/env_18.0/src/openupgrade/openupgrade_scripts/scripts/web/18.0.1.0/upgrade_analysis.txt" TargetMode="External"/><Relationship Id="rId36" Type="http://schemas.openxmlformats.org/officeDocument/2006/relationships/hyperlink" Target="src/env_17.0/src/openupgrade/openupgrade_scripts/scripts/hr_fleet/17.0.1.0/upgrade_analysis.txt" TargetMode="External"/><Relationship Id="rId283" Type="http://schemas.openxmlformats.org/officeDocument/2006/relationships/hyperlink" Target="src/env_18.0/src/openupgrade/openupgrade_scripts/scripts/hr_recruitment_skills/18.0.1.0/upgrade_analysis.txt" TargetMode="External"/><Relationship Id="rId339" Type="http://schemas.openxmlformats.org/officeDocument/2006/relationships/hyperlink" Target="src/env_18.0/src/openupgrade/openupgrade_scripts/scripts/l10n_latam_check/18.0.1.0.0/upgrade_analysis.txt" TargetMode="External"/><Relationship Id="rId78" Type="http://schemas.openxmlformats.org/officeDocument/2006/relationships/hyperlink" Target="src/env_17.0/src/openupgrade/openupgrade_scripts/scripts/l10n_es_edi_sii/17.0.1.0/upgrade_analysis.txt" TargetMode="External"/><Relationship Id="rId101" Type="http://schemas.openxmlformats.org/officeDocument/2006/relationships/hyperlink" Target="src/env_17.0/src/openupgrade/openupgrade_scripts/scripts/l10n_it_edi_withholding/17.0.0.1/upgrade_analysis.txt" TargetMode="External"/><Relationship Id="rId143" Type="http://schemas.openxmlformats.org/officeDocument/2006/relationships/hyperlink" Target="src/env_17.0/src/openupgrade/openupgrade_scripts/scripts/lunch/17.0.1.0/upgrade_analysis.txt" TargetMode="External"/><Relationship Id="rId185" Type="http://schemas.openxmlformats.org/officeDocument/2006/relationships/hyperlink" Target="src/env_17.0/src/openupgrade/openupgrade_scripts/scripts/rating/17.0.1.1/upgrade_analysis.txt" TargetMode="External"/><Relationship Id="rId350" Type="http://schemas.openxmlformats.org/officeDocument/2006/relationships/hyperlink" Target="src/env_18.0/src/openupgrade/openupgrade_scripts/scripts/l10n_nl/18.0.3.4/upgrade_analysis.txt" TargetMode="External"/><Relationship Id="rId406" Type="http://schemas.openxmlformats.org/officeDocument/2006/relationships/hyperlink" Target="src/env_18.0/src/openupgrade/openupgrade_scripts/scripts/project_todo/18.0.1.0/upgrade_analysis.txt" TargetMode="External"/><Relationship Id="rId9" Type="http://schemas.openxmlformats.org/officeDocument/2006/relationships/hyperlink" Target="src/env_17.0/src/openupgrade/openupgrade_scripts/scripts/auth_signup/17.0.1.0/upgrade_analysis.txt" TargetMode="External"/><Relationship Id="rId210" Type="http://schemas.openxmlformats.org/officeDocument/2006/relationships/hyperlink" Target="src/env_17.0/src/openupgrade/openupgrade_scripts/scripts/utm/17.0.1.1/upgrade_analysis.txt" TargetMode="External"/><Relationship Id="rId392" Type="http://schemas.openxmlformats.org/officeDocument/2006/relationships/hyperlink" Target="src/env_18.0/src/openupgrade/openupgrade_scripts/scripts/pos_hr/18.0.1.0/upgrade_analysis.txt" TargetMode="External"/><Relationship Id="rId448" Type="http://schemas.openxmlformats.org/officeDocument/2006/relationships/hyperlink" Target="src/env_18.0/src/openupgrade/openupgrade_scripts/scripts/website_payment/18.0.1.0/upgrade_analysis.txt" TargetMode="External"/><Relationship Id="rId252" Type="http://schemas.openxmlformats.org/officeDocument/2006/relationships/hyperlink" Target="src/env_18.0/src/openupgrade/openupgrade_scripts/scripts/account_qr_code_emv/18.0.1.0/upgrade_analysis.txt" TargetMode="External"/><Relationship Id="rId294" Type="http://schemas.openxmlformats.org/officeDocument/2006/relationships/hyperlink" Target="src/env_18.0/src/openupgrade/openupgrade_scripts/scripts/l10n_anz_ubl_pint/18.0.1.0/upgrade_analysis.txt" TargetMode="External"/><Relationship Id="rId308" Type="http://schemas.openxmlformats.org/officeDocument/2006/relationships/hyperlink" Target="src/env_18.0/src/openupgrade/openupgrade_scripts/scripts/l10n_din5008_purchase/18.0.1.0/upgrade_analysis.txt" TargetMode="External"/><Relationship Id="rId47" Type="http://schemas.openxmlformats.org/officeDocument/2006/relationships/hyperlink" Target="src/env_17.0/src/openupgrade/openupgrade_scripts/scripts/hr_work_entry/17.0.1.0/upgrade_analysis.txt" TargetMode="External"/><Relationship Id="rId89" Type="http://schemas.openxmlformats.org/officeDocument/2006/relationships/hyperlink" Target="src/env_17.0/src/openupgrade/openupgrade_scripts/scripts/l10n_id/17.0.1.1/upgrade_analysis.txt" TargetMode="External"/><Relationship Id="rId112" Type="http://schemas.openxmlformats.org/officeDocument/2006/relationships/hyperlink" Target="src/env_17.0/src/openupgrade/openupgrade_scripts/scripts/l10n_mx/17.0.2.2/upgrade_analysis.txt" TargetMode="External"/><Relationship Id="rId154" Type="http://schemas.openxmlformats.org/officeDocument/2006/relationships/hyperlink" Target="src/env_17.0/src/openupgrade/openupgrade_scripts/scripts/mrp/17.0.2.0/upgrade_analysis.txt" TargetMode="External"/><Relationship Id="rId361" Type="http://schemas.openxmlformats.org/officeDocument/2006/relationships/hyperlink" Target="src/env_18.0/src/openupgrade/openupgrade_scripts/scripts/l10n_tr_nilvera_einvoice/18.0.1.0/upgrade_analysis.txt" TargetMode="External"/><Relationship Id="rId196" Type="http://schemas.openxmlformats.org/officeDocument/2006/relationships/hyperlink" Target="src/env_17.0/src/openupgrade/openupgrade_scripts/scripts/sale_timesheet/17.0.1.0/upgrade_analysis.txt" TargetMode="External"/><Relationship Id="rId417" Type="http://schemas.openxmlformats.org/officeDocument/2006/relationships/hyperlink" Target="src/env_18.0/src/openupgrade/openupgrade_scripts/scripts/sale_mrp/18.0.1.0/upgrade_analysis.txt" TargetMode="External"/><Relationship Id="rId16" Type="http://schemas.openxmlformats.org/officeDocument/2006/relationships/hyperlink" Target="src/env_17.0/src/openupgrade/openupgrade_scripts/scripts/base_vat/17.0.1.0/upgrade_analysis.txt" TargetMode="External"/><Relationship Id="rId221" Type="http://schemas.openxmlformats.org/officeDocument/2006/relationships/hyperlink" Target="src/env_17.0/src/openupgrade/openupgrade_scripts/scripts/website_event_exhibitor/17.0.1.1/upgrade_analysis.txt" TargetMode="External"/><Relationship Id="rId263" Type="http://schemas.openxmlformats.org/officeDocument/2006/relationships/hyperlink" Target="src/env_18.0/src/openupgrade/openupgrade_scripts/scripts/delivery/18.0.1.0/upgrade_analysis.txt" TargetMode="External"/><Relationship Id="rId319" Type="http://schemas.openxmlformats.org/officeDocument/2006/relationships/hyperlink" Target="src/env_18.0/src/openupgrade/openupgrade_scripts/scripts/l10n_es_edi_tbai_pos/18.0.1.0/upgrade_analysis.txt" TargetMode="External"/><Relationship Id="rId58" Type="http://schemas.openxmlformats.org/officeDocument/2006/relationships/hyperlink" Target="src/env_17.0/src/openupgrade/openupgrade_scripts/scripts/l10n_br/17.0.1.0/upgrade_analysis.txt" TargetMode="External"/><Relationship Id="rId123" Type="http://schemas.openxmlformats.org/officeDocument/2006/relationships/hyperlink" Target="src/env_17.0/src/openupgrade/openupgrade_scripts/scripts/l10n_pt/17.0.1.0/upgrade_analysis.txt" TargetMode="External"/><Relationship Id="rId330" Type="http://schemas.openxmlformats.org/officeDocument/2006/relationships/hyperlink" Target="src/env_18.0/src/openupgrade/openupgrade_scripts/scripts/l10n_in_withholding/18.0.1.0/upgrade_analysis.txt" TargetMode="External"/><Relationship Id="rId165" Type="http://schemas.openxmlformats.org/officeDocument/2006/relationships/hyperlink" Target="src/env_17.0/src/openupgrade/openupgrade_scripts/scripts/payment_demo/17.0.2.0/upgrade_analysis.txt" TargetMode="External"/><Relationship Id="rId372" Type="http://schemas.openxmlformats.org/officeDocument/2006/relationships/hyperlink" Target="src/env_18.0/src/openupgrade/openupgrade_scripts/scripts/membership/18.0.1.0/upgrade_analysis.txt" TargetMode="External"/><Relationship Id="rId428" Type="http://schemas.openxmlformats.org/officeDocument/2006/relationships/hyperlink" Target="src/env_18.0/src/openupgrade/openupgrade_scripts/scripts/spreadsheet_dashboard_stock_account/18.0.1.0/upgrade_analysis.txt" TargetMode="External"/><Relationship Id="rId232" Type="http://schemas.openxmlformats.org/officeDocument/2006/relationships/hyperlink" Target="src/env_17.0/src/openupgrade/openupgrade_scripts/scripts/website_profile/17.0.1.0/upgrade_analysis.txt" TargetMode="External"/><Relationship Id="rId274" Type="http://schemas.openxmlformats.org/officeDocument/2006/relationships/hyperlink" Target="src/env_18.0/src/openupgrade/openupgrade_scripts/scripts/hr_expense/18.0.2.0/upgrade_analysis.txt" TargetMode="External"/><Relationship Id="rId27" Type="http://schemas.openxmlformats.org/officeDocument/2006/relationships/hyperlink" Target="src/env_17.0/src/openupgrade/openupgrade_scripts/scripts/event_sale/17.0.1.3/upgrade_analysis.txt" TargetMode="External"/><Relationship Id="rId69" Type="http://schemas.openxmlformats.org/officeDocument/2006/relationships/hyperlink" Target="src/env_17.0/src/openupgrade/openupgrade_scripts/scripts/l10n_din5008_sale/17.0.1.0/upgrade_analysis.txt" TargetMode="External"/><Relationship Id="rId134" Type="http://schemas.openxmlformats.org/officeDocument/2006/relationships/hyperlink" Target="src/env_17.0/src/openupgrade/openupgrade_scripts/scripts/l10n_tr/17.0.1.3/upgrade_analysis.txt" TargetMode="External"/><Relationship Id="rId80" Type="http://schemas.openxmlformats.org/officeDocument/2006/relationships/hyperlink" Target="src/env_17.0/src/openupgrade/openupgrade_scripts/scripts/l10n_fi/17.0.13.0.2/upgrade_analysis.txt" TargetMode="External"/><Relationship Id="rId176" Type="http://schemas.openxmlformats.org/officeDocument/2006/relationships/hyperlink" Target="src/env_17.0/src/openupgrade/openupgrade_scripts/scripts/product/17.0.1.2/upgrade_analysis.txt" TargetMode="External"/><Relationship Id="rId341" Type="http://schemas.openxmlformats.org/officeDocument/2006/relationships/hyperlink" Target="src/env_18.0/src/openupgrade/openupgrade_scripts/scripts/l10n_lt/18.0.1.0.0/upgrade_analysis.txt" TargetMode="External"/><Relationship Id="rId383" Type="http://schemas.openxmlformats.org/officeDocument/2006/relationships/hyperlink" Target="src/env_18.0/src/openupgrade/openupgrade_scripts/scripts/payment_paypal/18.0.2.0/upgrade_analysis.txt" TargetMode="External"/><Relationship Id="rId439" Type="http://schemas.openxmlformats.org/officeDocument/2006/relationships/hyperlink" Target="src/env_18.0/src/openupgrade/openupgrade_scripts/scripts/web_hierarchy/18.0.1.0/upgrade_analysis.txt" TargetMode="External"/><Relationship Id="rId201" Type="http://schemas.openxmlformats.org/officeDocument/2006/relationships/hyperlink" Target="src/env_17.0/src/openupgrade/openupgrade_scripts/scripts/social_media/17.0.0.1/upgrade_analysis.txt" TargetMode="External"/><Relationship Id="rId243" Type="http://schemas.openxmlformats.org/officeDocument/2006/relationships/hyperlink" Target="src/env_17.0/src/openupgrade/openupgrade_scripts/scripts/website_twitter/17.0.1.0/upgrade_analysis.txt" TargetMode="External"/><Relationship Id="rId285" Type="http://schemas.openxmlformats.org/officeDocument/2006/relationships/hyperlink" Target="src/env_18.0/src/openupgrade/openupgrade_scripts/scripts/hr_skills/18.0.1.0/upgrade_analysis.txt" TargetMode="External"/><Relationship Id="rId450" Type="http://schemas.openxmlformats.org/officeDocument/2006/relationships/hyperlink" Target="src/env_18.0/src/openupgrade/openupgrade_scripts/scripts/website_sale/18.0.1.1/upgrade_analysis.txt" TargetMode="External"/><Relationship Id="rId38" Type="http://schemas.openxmlformats.org/officeDocument/2006/relationships/hyperlink" Target="src/env_17.0/src/openupgrade/openupgrade_scripts/scripts/hr_holidays_attendance/17.0.1.0/upgrade_analysis.txt" TargetMode="External"/><Relationship Id="rId103" Type="http://schemas.openxmlformats.org/officeDocument/2006/relationships/hyperlink" Target="src/env_17.0/src/openupgrade/openupgrade_scripts/scripts/l10n_ke/17.0.1.0/upgrade_analysis.txt" TargetMode="External"/><Relationship Id="rId310" Type="http://schemas.openxmlformats.org/officeDocument/2006/relationships/hyperlink" Target="src/env_18.0/src/openupgrade/openupgrade_scripts/scripts/l10n_din5008_sale/18.0.1.0/upgrade_analysis.txt" TargetMode="External"/><Relationship Id="rId91" Type="http://schemas.openxmlformats.org/officeDocument/2006/relationships/hyperlink" Target="src/env_17.0/src/openupgrade/openupgrade_scripts/scripts/l10n_il/17.0.1.1/upgrade_analysis.txt" TargetMode="External"/><Relationship Id="rId145" Type="http://schemas.openxmlformats.org/officeDocument/2006/relationships/hyperlink" Target="src/env_17.0/src/openupgrade/openupgrade_scripts/scripts/mail_group/17.0.1.1/upgrade_analysis.txt" TargetMode="External"/><Relationship Id="rId187" Type="http://schemas.openxmlformats.org/officeDocument/2006/relationships/hyperlink" Target="src/env_17.0/src/openupgrade/openupgrade_scripts/scripts/resource/17.0.1.1/upgrade_analysis.txt" TargetMode="External"/><Relationship Id="rId352" Type="http://schemas.openxmlformats.org/officeDocument/2006/relationships/hyperlink" Target="src/env_18.0/src/openupgrade/openupgrade_scripts/scripts/l10n_ph/18.0.1.1/upgrade_analysis.txt" TargetMode="External"/><Relationship Id="rId394" Type="http://schemas.openxmlformats.org/officeDocument/2006/relationships/hyperlink" Target="src/env_18.0/src/openupgrade/openupgrade_scripts/scripts/pos_paytm/18.0.1.0/upgrade_analysis.txt" TargetMode="External"/><Relationship Id="rId408" Type="http://schemas.openxmlformats.org/officeDocument/2006/relationships/hyperlink" Target="src/env_18.0/src/openupgrade/openupgrade_scripts/scripts/purchase_product_matrix/18.0.1.0/upgrade_analysis.txt" TargetMode="External"/><Relationship Id="rId212" Type="http://schemas.openxmlformats.org/officeDocument/2006/relationships/hyperlink" Target="src/env_17.0/src/openupgrade/openupgrade_scripts/scripts/web_editor/17.0.1.0/upgrade_analysis.txt" TargetMode="External"/><Relationship Id="rId254" Type="http://schemas.openxmlformats.org/officeDocument/2006/relationships/hyperlink" Target="src/env_18.0/src/openupgrade/openupgrade_scripts/scripts/analytic/18.0.1.2/upgrade_analysis.txt" TargetMode="External"/><Relationship Id="rId49" Type="http://schemas.openxmlformats.org/officeDocument/2006/relationships/hyperlink" Target="src/env_17.0/src/openupgrade/openupgrade_scripts/scripts/iap/17.0.1.1/upgrade_analysis.txt" TargetMode="External"/><Relationship Id="rId114" Type="http://schemas.openxmlformats.org/officeDocument/2006/relationships/hyperlink" Target="src/env_17.0/src/openupgrade/openupgrade_scripts/scripts/l10n_mz/17.0.1.0/upgrade_analysis.txt" TargetMode="External"/><Relationship Id="rId296" Type="http://schemas.openxmlformats.org/officeDocument/2006/relationships/hyperlink" Target="src/env_18.0/src/openupgrade/openupgrade_scripts/scripts/l10n_ar_website_sale/18.0.1.0/upgrade_analysis.txt" TargetMode="External"/><Relationship Id="rId60" Type="http://schemas.openxmlformats.org/officeDocument/2006/relationships/hyperlink" Target="src/env_17.0/src/openupgrade/openupgrade_scripts/scripts/l10n_ch/17.0.11.3/upgrade_analysis.txt" TargetMode="External"/><Relationship Id="rId156" Type="http://schemas.openxmlformats.org/officeDocument/2006/relationships/hyperlink" Target="src/env_17.0/src/openupgrade/openupgrade_scripts/scripts/mrp_subcontracting/17.0.0.1/upgrade_analysis.txt" TargetMode="External"/><Relationship Id="rId198" Type="http://schemas.openxmlformats.org/officeDocument/2006/relationships/hyperlink" Target="src/env_17.0/src/openupgrade/openupgrade_scripts/scripts/sms/17.0.3.0/upgrade_analysis.txt" TargetMode="External"/><Relationship Id="rId321" Type="http://schemas.openxmlformats.org/officeDocument/2006/relationships/hyperlink" Target="src/env_18.0/src/openupgrade/openupgrade_scripts/scripts/l10n_fr/18.0.2.1/upgrade_analysis.txt" TargetMode="External"/><Relationship Id="rId363" Type="http://schemas.openxmlformats.org/officeDocument/2006/relationships/hyperlink" Target="src/env_18.0/src/openupgrade/openupgrade_scripts/scripts/l10n_vn/18.0.2.0.3/upgrade_analysis.txt" TargetMode="External"/><Relationship Id="rId419" Type="http://schemas.openxmlformats.org/officeDocument/2006/relationships/hyperlink" Target="src/env_18.0/src/openupgrade/openupgrade_scripts/scripts/sale_project/18.0.1.0/upgrade_analysis.txt" TargetMode="External"/><Relationship Id="rId223" Type="http://schemas.openxmlformats.org/officeDocument/2006/relationships/hyperlink" Target="src/env_17.0/src/openupgrade/openupgrade_scripts/scripts/website_event_sale/17.0.1.0/upgrade_analysis.txt" TargetMode="External"/><Relationship Id="rId430" Type="http://schemas.openxmlformats.org/officeDocument/2006/relationships/hyperlink" Target="src/env_18.0/src/openupgrade/openupgrade_scripts/scripts/stock_account/18.0.1.1/upgrade_analysis.txt" TargetMode="External"/><Relationship Id="rId18" Type="http://schemas.openxmlformats.org/officeDocument/2006/relationships/hyperlink" Target="src/env_17.0/src/openupgrade/openupgrade_scripts/scripts/calendar_sms/17.0.1.1/upgrade_analysis.txt" TargetMode="External"/><Relationship Id="rId265" Type="http://schemas.openxmlformats.org/officeDocument/2006/relationships/hyperlink" Target="src/env_18.0/src/openupgrade/openupgrade_scripts/scripts/event/18.0.1.9/upgrade_analysis.txt" TargetMode="External"/><Relationship Id="rId125" Type="http://schemas.openxmlformats.org/officeDocument/2006/relationships/hyperlink" Target="src/env_17.0/src/openupgrade/openupgrade_scripts/scripts/l10n_rs/17.0.1.0/upgrade_analysis.txt" TargetMode="External"/><Relationship Id="rId167" Type="http://schemas.openxmlformats.org/officeDocument/2006/relationships/hyperlink" Target="src/env_17.0/src/openupgrade/openupgrade_scripts/scripts/payment_stripe/17.0.2.0/upgrade_analysis.txt" TargetMode="External"/><Relationship Id="rId332" Type="http://schemas.openxmlformats.org/officeDocument/2006/relationships/hyperlink" Target="src/env_18.0/src/openupgrade/openupgrade_scripts/scripts/l10n_it_edi/18.0.0.4/upgrade_analysis.txt" TargetMode="External"/><Relationship Id="rId374" Type="http://schemas.openxmlformats.org/officeDocument/2006/relationships/hyperlink" Target="src/env_18.0/src/openupgrade/openupgrade_scripts/scripts/mrp/18.0.2.0/upgrade_analysis.txt" TargetMode="External"/><Relationship Id="rId71" Type="http://schemas.openxmlformats.org/officeDocument/2006/relationships/hyperlink" Target="src/env_17.0/src/openupgrade/openupgrade_scripts/scripts/l10n_dk/17.0.1.3/upgrade_analysis.txt" TargetMode="External"/><Relationship Id="rId234" Type="http://schemas.openxmlformats.org/officeDocument/2006/relationships/hyperlink" Target="src/env_17.0/src/openupgrade/openupgrade_scripts/scripts/website_sale_comparison/17.0.1.0/upgrade_analysis.txt" TargetMode="External"/><Relationship Id="rId2" Type="http://schemas.openxmlformats.org/officeDocument/2006/relationships/hyperlink" Target="src/env_17.0/src/openupgrade/openupgrade_scripts/scripts/account_debit_note/17.0.1.0/upgrade_analysis.txt" TargetMode="External"/><Relationship Id="rId29" Type="http://schemas.openxmlformats.org/officeDocument/2006/relationships/hyperlink" Target="src/env_17.0/src/openupgrade/openupgrade_scripts/scripts/gamification/17.0.1.0/upgrade_analysis.txt" TargetMode="External"/><Relationship Id="rId255" Type="http://schemas.openxmlformats.org/officeDocument/2006/relationships/hyperlink" Target="src/env_18.0/src/openupgrade/openupgrade_scripts/scripts/auth_signup/18.0.1.0/upgrade_analysis.txt" TargetMode="External"/><Relationship Id="rId276" Type="http://schemas.openxmlformats.org/officeDocument/2006/relationships/hyperlink" Target="src/env_18.0/src/openupgrade/openupgrade_scripts/scripts/hr_gamification/18.0.1.0/upgrade_analysis.txt" TargetMode="External"/><Relationship Id="rId297" Type="http://schemas.openxmlformats.org/officeDocument/2006/relationships/hyperlink" Target="src/env_18.0/src/openupgrade/openupgrade_scripts/scripts/l10n_ar_withholding/18.0.1.0/upgrade_analysis.txt" TargetMode="External"/><Relationship Id="rId441" Type="http://schemas.openxmlformats.org/officeDocument/2006/relationships/hyperlink" Target="src/env_18.0/src/openupgrade/openupgrade_scripts/scripts/website/18.0.1.0/upgrade_analysis.txt" TargetMode="External"/><Relationship Id="rId40" Type="http://schemas.openxmlformats.org/officeDocument/2006/relationships/hyperlink" Target="src/env_17.0/src/openupgrade/openupgrade_scripts/scripts/hr_recruitment/17.0.1.1/upgrade_analysis.txt" TargetMode="External"/><Relationship Id="rId115" Type="http://schemas.openxmlformats.org/officeDocument/2006/relationships/hyperlink" Target="src/env_17.0/src/openupgrade/openupgrade_scripts/scripts/l10n_nl/17.0.3.4/upgrade_analysis.txt" TargetMode="External"/><Relationship Id="rId136" Type="http://schemas.openxmlformats.org/officeDocument/2006/relationships/hyperlink" Target="src/env_17.0/src/openupgrade/openupgrade_scripts/scripts/l10n_ua/17.0.1.4/upgrade_analysis.txt" TargetMode="External"/><Relationship Id="rId157" Type="http://schemas.openxmlformats.org/officeDocument/2006/relationships/hyperlink" Target="src/env_17.0/src/openupgrade/openupgrade_scripts/scripts/mrp_subcontracting_repair/17.0.1.0/upgrade_analysis.txt" TargetMode="External"/><Relationship Id="rId178" Type="http://schemas.openxmlformats.org/officeDocument/2006/relationships/hyperlink" Target="src/env_17.0/src/openupgrade/openupgrade_scripts/scripts/project/17.0.1.3/upgrade_analysis.txt" TargetMode="External"/><Relationship Id="rId301" Type="http://schemas.openxmlformats.org/officeDocument/2006/relationships/hyperlink" Target="src/env_18.0/src/openupgrade/openupgrade_scripts/scripts/l10n_br_website_sale/18.0.1.0/upgrade_analysis.txt" TargetMode="External"/><Relationship Id="rId322" Type="http://schemas.openxmlformats.org/officeDocument/2006/relationships/hyperlink" Target="src/env_18.0/src/openupgrade/openupgrade_scripts/scripts/l10n_fr_account/18.0.2.2/upgrade_analysis.txt" TargetMode="External"/><Relationship Id="rId343" Type="http://schemas.openxmlformats.org/officeDocument/2006/relationships/hyperlink" Target="src/env_18.0/src/openupgrade/openupgrade_scripts/scripts/l10n_lv/18.0.1.0.0/upgrade_analysis.txt" TargetMode="External"/><Relationship Id="rId364" Type="http://schemas.openxmlformats.org/officeDocument/2006/relationships/hyperlink" Target="src/env_18.0/src/openupgrade/openupgrade_scripts/scripts/l10n_vn_edi_viettel/18.0.1.0/upgrade_analysis.txt" TargetMode="External"/><Relationship Id="rId61" Type="http://schemas.openxmlformats.org/officeDocument/2006/relationships/hyperlink" Target="src/env_17.0/src/openupgrade/openupgrade_scripts/scripts/l10n_cl/17.0.3.0/upgrade_analysis.txt" TargetMode="External"/><Relationship Id="rId82" Type="http://schemas.openxmlformats.org/officeDocument/2006/relationships/hyperlink" Target="src/env_17.0/src/openupgrade/openupgrade_scripts/scripts/l10n_gcc_invoice/17.0.1.0.0/upgrade_analysis.txt" TargetMode="External"/><Relationship Id="rId199" Type="http://schemas.openxmlformats.org/officeDocument/2006/relationships/hyperlink" Target="src/env_17.0/src/openupgrade/openupgrade_scripts/scripts/snailmail/17.0.0.4/upgrade_analysis.txt" TargetMode="External"/><Relationship Id="rId203" Type="http://schemas.openxmlformats.org/officeDocument/2006/relationships/hyperlink" Target="src/env_17.0/src/openupgrade/openupgrade_scripts/scripts/spreadsheet_dashboard/17.0.1.0/upgrade_analysis.txt" TargetMode="External"/><Relationship Id="rId385" Type="http://schemas.openxmlformats.org/officeDocument/2006/relationships/hyperlink" Target="src/env_18.0/src/openupgrade/openupgrade_scripts/scripts/payment_stripe/18.0.2.0/upgrade_analysis.txt" TargetMode="External"/><Relationship Id="rId19" Type="http://schemas.openxmlformats.org/officeDocument/2006/relationships/hyperlink" Target="src/env_17.0/src/openupgrade/openupgrade_scripts/scripts/crm/17.0.1.8/upgrade_analysis.txt" TargetMode="External"/><Relationship Id="rId224" Type="http://schemas.openxmlformats.org/officeDocument/2006/relationships/hyperlink" Target="src/env_17.0/src/openupgrade/openupgrade_scripts/scripts/website_event_track/17.0.1.3/upgrade_analysis.txt" TargetMode="External"/><Relationship Id="rId245" Type="http://schemas.openxmlformats.org/officeDocument/2006/relationships/hyperlink" Target="src/env_18.0/src/openupgrade/openupgrade_scripts/scripts/account_check_printing/18.0.1.0/upgrade_analysis.txt" TargetMode="External"/><Relationship Id="rId266" Type="http://schemas.openxmlformats.org/officeDocument/2006/relationships/hyperlink" Target="src/env_18.0/src/openupgrade/openupgrade_scripts/scripts/event_booth_sale/18.0.1.2/upgrade_analysis.txt" TargetMode="External"/><Relationship Id="rId287" Type="http://schemas.openxmlformats.org/officeDocument/2006/relationships/hyperlink" Target="src/env_18.0/src/openupgrade/openupgrade_scripts/scripts/hr_timesheet/18.0.1.0/upgrade_analysis.txt" TargetMode="External"/><Relationship Id="rId410" Type="http://schemas.openxmlformats.org/officeDocument/2006/relationships/hyperlink" Target="src/env_18.0/src/openupgrade/openupgrade_scripts/scripts/purchase_stock/18.0.1.2/upgrade_analysis.txt" TargetMode="External"/><Relationship Id="rId431" Type="http://schemas.openxmlformats.org/officeDocument/2006/relationships/hyperlink" Target="src/env_18.0/src/openupgrade/openupgrade_scripts/scripts/stock_delivery/18.0.1.0/upgrade_analysis.txt" TargetMode="External"/><Relationship Id="rId452" Type="http://schemas.openxmlformats.org/officeDocument/2006/relationships/hyperlink" Target="src/env_18.0/src/openupgrade/openupgrade_scripts/scripts/website_sale_comparison/18.0.1.0/upgrade_analysis.txt" TargetMode="External"/><Relationship Id="rId30" Type="http://schemas.openxmlformats.org/officeDocument/2006/relationships/hyperlink" Target="src/env_17.0/src/openupgrade/openupgrade_scripts/scripts/google_calendar/17.0.1.0/upgrade_analysis.txt" TargetMode="External"/><Relationship Id="rId105" Type="http://schemas.openxmlformats.org/officeDocument/2006/relationships/hyperlink" Target="src/env_17.0/src/openupgrade/openupgrade_scripts/scripts/l10n_latam_base/17.0.1.0/upgrade_analysis.txt" TargetMode="External"/><Relationship Id="rId126" Type="http://schemas.openxmlformats.org/officeDocument/2006/relationships/hyperlink" Target="src/env_17.0/src/openupgrade/openupgrade_scripts/scripts/l10n_sa/17.0.2.0/upgrade_analysis.txt" TargetMode="External"/><Relationship Id="rId147" Type="http://schemas.openxmlformats.org/officeDocument/2006/relationships/hyperlink" Target="src/env_17.0/src/openupgrade/openupgrade_scripts/scripts/maintenance/17.0.1.0/upgrade_analysis.txt" TargetMode="External"/><Relationship Id="rId168" Type="http://schemas.openxmlformats.org/officeDocument/2006/relationships/hyperlink" Target="src/env_17.0/src/openupgrade/openupgrade_scripts/scripts/phone_validation/17.0.2.1/upgrade_analysis.txt" TargetMode="External"/><Relationship Id="rId312" Type="http://schemas.openxmlformats.org/officeDocument/2006/relationships/hyperlink" Target="src/env_18.0/src/openupgrade/openupgrade_scripts/scripts/l10n_dk/18.0.1.3/upgrade_analysis.txt" TargetMode="External"/><Relationship Id="rId333" Type="http://schemas.openxmlformats.org/officeDocument/2006/relationships/hyperlink" Target="src/env_18.0/src/openupgrade/openupgrade_scripts/scripts/l10n_it_edi_doi/18.0.0.1/upgrade_analysis.txt" TargetMode="External"/><Relationship Id="rId354" Type="http://schemas.openxmlformats.org/officeDocument/2006/relationships/hyperlink" Target="src/env_18.0/src/openupgrade/openupgrade_scripts/scripts/l10n_ro_edi/18.0.1.0/upgrade_analysis.txt" TargetMode="External"/><Relationship Id="rId51" Type="http://schemas.openxmlformats.org/officeDocument/2006/relationships/hyperlink" Target="src/env_17.0/src/openupgrade/openupgrade_scripts/scripts/l10n_ae/17.0.1.0/upgrade_analysis.txt" TargetMode="External"/><Relationship Id="rId72" Type="http://schemas.openxmlformats.org/officeDocument/2006/relationships/hyperlink" Target="src/env_17.0/src/openupgrade/openupgrade_scripts/scripts/l10n_do/17.0.2.0/upgrade_analysis.txt" TargetMode="External"/><Relationship Id="rId93" Type="http://schemas.openxmlformats.org/officeDocument/2006/relationships/hyperlink" Target="src/env_17.0/src/openupgrade/openupgrade_scripts/scripts/l10n_in_pos/17.0.1.0/upgrade_analysis.txt" TargetMode="External"/><Relationship Id="rId189" Type="http://schemas.openxmlformats.org/officeDocument/2006/relationships/hyperlink" Target="src/env_17.0/src/openupgrade/openupgrade_scripts/scripts/sale_loyalty/17.0.1.0/upgrade_analysis.txt" TargetMode="External"/><Relationship Id="rId375" Type="http://schemas.openxmlformats.org/officeDocument/2006/relationships/hyperlink" Target="src/env_18.0/src/openupgrade/openupgrade_scripts/scripts/mrp_account/18.0.1.0/upgrade_analysis.txt" TargetMode="External"/><Relationship Id="rId396" Type="http://schemas.openxmlformats.org/officeDocument/2006/relationships/hyperlink" Target="src/env_18.0/src/openupgrade/openupgrade_scripts/scripts/pos_restaurant/18.0.1.0/upgrade_analysis.txt" TargetMode="External"/><Relationship Id="rId3" Type="http://schemas.openxmlformats.org/officeDocument/2006/relationships/hyperlink" Target="src/env_17.0/src/openupgrade/openupgrade_scripts/scripts/account_edi/17.0.1.0/upgrade_analysis.txt" TargetMode="External"/><Relationship Id="rId214" Type="http://schemas.openxmlformats.org/officeDocument/2006/relationships/hyperlink" Target="src/env_17.0/src/openupgrade/openupgrade_scripts/scripts/website/17.0.1.0/upgrade_analysis.txt" TargetMode="External"/><Relationship Id="rId235" Type="http://schemas.openxmlformats.org/officeDocument/2006/relationships/hyperlink" Target="src/env_17.0/src/openupgrade/openupgrade_scripts/scripts/website_sale_mondialrelay/17.0.0.1/upgrade_analysis.txt" TargetMode="External"/><Relationship Id="rId256" Type="http://schemas.openxmlformats.org/officeDocument/2006/relationships/hyperlink" Target="src/env_18.0/src/openupgrade/openupgrade_scripts/scripts/base/18.0.1.3/upgrade_analysis.txt" TargetMode="External"/><Relationship Id="rId277" Type="http://schemas.openxmlformats.org/officeDocument/2006/relationships/hyperlink" Target="src/env_18.0/src/openupgrade/openupgrade_scripts/scripts/hr_holidays/18.0.1.6/upgrade_analysis.txt" TargetMode="External"/><Relationship Id="rId298" Type="http://schemas.openxmlformats.org/officeDocument/2006/relationships/hyperlink" Target="src/env_18.0/src/openupgrade/openupgrade_scripts/scripts/l10n_au/18.0.1.1/upgrade_analysis.txt" TargetMode="External"/><Relationship Id="rId400" Type="http://schemas.openxmlformats.org/officeDocument/2006/relationships/hyperlink" Target="src/env_18.0/src/openupgrade/openupgrade_scripts/scripts/product_expiry/18.0.1.0/upgrade_analysis.txt" TargetMode="External"/><Relationship Id="rId421" Type="http://schemas.openxmlformats.org/officeDocument/2006/relationships/hyperlink" Target="src/env_18.0/src/openupgrade/openupgrade_scripts/scripts/sale_stock/18.0.1.0/upgrade_analysis.txt" TargetMode="External"/><Relationship Id="rId442" Type="http://schemas.openxmlformats.org/officeDocument/2006/relationships/hyperlink" Target="src/env_18.0/src/openupgrade/openupgrade_scripts/scripts/website_blog/18.0.1.1/upgrade_analysis.txt" TargetMode="External"/><Relationship Id="rId116" Type="http://schemas.openxmlformats.org/officeDocument/2006/relationships/hyperlink" Target="src/env_17.0/src/openupgrade/openupgrade_scripts/scripts/l10n_no/17.0.2.1/upgrade_analysis.txt" TargetMode="External"/><Relationship Id="rId137" Type="http://schemas.openxmlformats.org/officeDocument/2006/relationships/hyperlink" Target="src/env_17.0/src/openupgrade/openupgrade_scripts/scripts/l10n_uk/17.0.1.1/upgrade_analysis.txt" TargetMode="External"/><Relationship Id="rId158" Type="http://schemas.openxmlformats.org/officeDocument/2006/relationships/hyperlink" Target="src/env_17.0/src/openupgrade/openupgrade_scripts/scripts/onboarding/17.0.1.2/upgrade_analysis.txt" TargetMode="External"/><Relationship Id="rId302" Type="http://schemas.openxmlformats.org/officeDocument/2006/relationships/hyperlink" Target="src/env_18.0/src/openupgrade/openupgrade_scripts/scripts/l10n_ca/18.0.1.0/upgrade_analysis.txt" TargetMode="External"/><Relationship Id="rId323" Type="http://schemas.openxmlformats.org/officeDocument/2006/relationships/hyperlink" Target="src/env_18.0/src/openupgrade/openupgrade_scripts/scripts/l10n_fr_pos_cert/18.0.1.0/upgrade_analysis.txt" TargetMode="External"/><Relationship Id="rId344" Type="http://schemas.openxmlformats.org/officeDocument/2006/relationships/hyperlink" Target="src/env_18.0/src/openupgrade/openupgrade_scripts/scripts/l10n_ma/18.0.1.0/upgrade_analysis.txt" TargetMode="External"/><Relationship Id="rId20" Type="http://schemas.openxmlformats.org/officeDocument/2006/relationships/hyperlink" Target="src/env_17.0/src/openupgrade/openupgrade_scripts/scripts/crm_iap_mine/17.0.1.2/upgrade_analysis.txt" TargetMode="External"/><Relationship Id="rId41" Type="http://schemas.openxmlformats.org/officeDocument/2006/relationships/hyperlink" Target="src/env_17.0/src/openupgrade/openupgrade_scripts/scripts/hr_recruitment_skills/17.0.1.0/upgrade_analysis.txt" TargetMode="External"/><Relationship Id="rId62" Type="http://schemas.openxmlformats.org/officeDocument/2006/relationships/hyperlink" Target="src/env_17.0/src/openupgrade/openupgrade_scripts/scripts/l10n_cn/17.0.1.8/upgrade_analysis.txt" TargetMode="External"/><Relationship Id="rId83" Type="http://schemas.openxmlformats.org/officeDocument/2006/relationships/hyperlink" Target="src/env_17.0/src/openupgrade/openupgrade_scripts/scripts/l10n_gr/17.0.1.0/upgrade_analysis.txt" TargetMode="External"/><Relationship Id="rId179" Type="http://schemas.openxmlformats.org/officeDocument/2006/relationships/hyperlink" Target="src/env_17.0/src/openupgrade/openupgrade_scripts/scripts/project_timesheet_holidays/17.0.1.0/upgrade_analysis.txt" TargetMode="External"/><Relationship Id="rId365" Type="http://schemas.openxmlformats.org/officeDocument/2006/relationships/hyperlink" Target="src/env_18.0/src/openupgrade/openupgrade_scripts/scripts/loyalty/18.0.1.0/upgrade_analysis.txt" TargetMode="External"/><Relationship Id="rId386" Type="http://schemas.openxmlformats.org/officeDocument/2006/relationships/hyperlink" Target="src/env_18.0/src/openupgrade/openupgrade_scripts/scripts/payment_worldline/18.0.1.0/upgrade_analysis.txt" TargetMode="External"/><Relationship Id="rId190" Type="http://schemas.openxmlformats.org/officeDocument/2006/relationships/hyperlink" Target="src/env_17.0/src/openupgrade/openupgrade_scripts/scripts/sale_loyalty_delivery/17.0.1.0/upgrade_analysis.txt" TargetMode="External"/><Relationship Id="rId204" Type="http://schemas.openxmlformats.org/officeDocument/2006/relationships/hyperlink" Target="src/env_17.0/src/openupgrade/openupgrade_scripts/scripts/stock/17.0.1.1/upgrade_analysis.txt" TargetMode="External"/><Relationship Id="rId225" Type="http://schemas.openxmlformats.org/officeDocument/2006/relationships/hyperlink" Target="src/env_17.0/src/openupgrade/openupgrade_scripts/scripts/website_form_project/17.0.1.0/upgrade_analysis.txt" TargetMode="External"/><Relationship Id="rId246" Type="http://schemas.openxmlformats.org/officeDocument/2006/relationships/hyperlink" Target="src/env_18.0/src/openupgrade/openupgrade_scripts/scripts/account_debit_note/18.0.1.0/upgrade_analysis.txt" TargetMode="External"/><Relationship Id="rId267" Type="http://schemas.openxmlformats.org/officeDocument/2006/relationships/hyperlink" Target="src/env_18.0/src/openupgrade/openupgrade_scripts/scripts/event_crm/18.0.1.0/upgrade_analysis.txt" TargetMode="External"/><Relationship Id="rId288" Type="http://schemas.openxmlformats.org/officeDocument/2006/relationships/hyperlink" Target="src/env_18.0/src/openupgrade/openupgrade_scripts/scripts/hr_work_entry/18.0.1.0/upgrade_analysis.txt" TargetMode="External"/><Relationship Id="rId411" Type="http://schemas.openxmlformats.org/officeDocument/2006/relationships/hyperlink" Target="src/env_18.0/src/openupgrade/openupgrade_scripts/scripts/rating/18.0.1.1/upgrade_analysis.txt" TargetMode="External"/><Relationship Id="rId432" Type="http://schemas.openxmlformats.org/officeDocument/2006/relationships/hyperlink" Target="src/env_18.0/src/openupgrade/openupgrade_scripts/scripts/stock_dropshipping/18.0.1.0/upgrade_analysis.txt" TargetMode="External"/><Relationship Id="rId453" Type="http://schemas.openxmlformats.org/officeDocument/2006/relationships/hyperlink" Target="src/env_18.0/src/openupgrade/openupgrade_scripts/scripts/website_sale_mondialrelay/18.0.0.1/upgrade_analysis.txt" TargetMode="External"/><Relationship Id="rId106" Type="http://schemas.openxmlformats.org/officeDocument/2006/relationships/hyperlink" Target="src/env_17.0/src/openupgrade/openupgrade_scripts/scripts/l10n_latam_invoice_document/17.0.1.0/upgrade_analysis.txt" TargetMode="External"/><Relationship Id="rId127" Type="http://schemas.openxmlformats.org/officeDocument/2006/relationships/hyperlink" Target="src/env_17.0/src/openupgrade/openupgrade_scripts/scripts/l10n_sa_edi/17.0.0.1/upgrade_analysis.txt" TargetMode="External"/><Relationship Id="rId313" Type="http://schemas.openxmlformats.org/officeDocument/2006/relationships/hyperlink" Target="src/env_18.0/src/openupgrade/openupgrade_scripts/scripts/l10n_dk_oioubl/18.0.0.1/upgrade_analysis.txt" TargetMode="External"/><Relationship Id="rId10" Type="http://schemas.openxmlformats.org/officeDocument/2006/relationships/hyperlink" Target="src/env_17.0/src/openupgrade/openupgrade_scripts/scripts/auth_totp_mail/17.0.1.0/upgrade_analysis.txt" TargetMode="External"/><Relationship Id="rId31" Type="http://schemas.openxmlformats.org/officeDocument/2006/relationships/hyperlink" Target="src/env_17.0/src/openupgrade/openupgrade_scripts/scripts/google_gmail/17.0.1.2/upgrade_analysis.txt" TargetMode="External"/><Relationship Id="rId52" Type="http://schemas.openxmlformats.org/officeDocument/2006/relationships/hyperlink" Target="src/env_17.0/src/openupgrade/openupgrade_scripts/scripts/l10n_ar/17.0.3.6/upgrade_analysis.txt" TargetMode="External"/><Relationship Id="rId73" Type="http://schemas.openxmlformats.org/officeDocument/2006/relationships/hyperlink" Target="src/env_17.0/src/openupgrade/openupgrade_scripts/scripts/l10n_dz/17.0.1.0/upgrade_analysis.txt" TargetMode="External"/><Relationship Id="rId94" Type="http://schemas.openxmlformats.org/officeDocument/2006/relationships/hyperlink" Target="src/env_17.0/src/openupgrade/openupgrade_scripts/scripts/l10n_in_purchase/17.0.1.0/upgrade_analysis.txt" TargetMode="External"/><Relationship Id="rId148" Type="http://schemas.openxmlformats.org/officeDocument/2006/relationships/hyperlink" Target="src/env_17.0/src/openupgrade/openupgrade_scripts/scripts/mass_mailing/17.0.2.7/upgrade_analysis.txt" TargetMode="External"/><Relationship Id="rId169" Type="http://schemas.openxmlformats.org/officeDocument/2006/relationships/hyperlink" Target="src/env_17.0/src/openupgrade/openupgrade_scripts/scripts/point_of_sale/17.0.1.0.1/upgrade_analysis.txt" TargetMode="External"/><Relationship Id="rId334" Type="http://schemas.openxmlformats.org/officeDocument/2006/relationships/hyperlink" Target="src/env_18.0/src/openupgrade/openupgrade_scripts/scripts/l10n_it_edi_withholding/18.0.0.1/upgrade_analysis.txt" TargetMode="External"/><Relationship Id="rId355" Type="http://schemas.openxmlformats.org/officeDocument/2006/relationships/hyperlink" Target="src/env_18.0/src/openupgrade/openupgrade_scripts/scripts/l10n_ro_edi_stock/18.0.1.0/upgrade_analysis.txt" TargetMode="External"/><Relationship Id="rId376" Type="http://schemas.openxmlformats.org/officeDocument/2006/relationships/hyperlink" Target="src/env_18.0/src/openupgrade/openupgrade_scripts/scripts/mrp_repair/18.0.1.0/upgrade_analysis.txt" TargetMode="External"/><Relationship Id="rId397" Type="http://schemas.openxmlformats.org/officeDocument/2006/relationships/hyperlink" Target="src/env_18.0/src/openupgrade/openupgrade_scripts/scripts/pos_sale/18.0.1.1/upgrade_analysis.txt" TargetMode="External"/><Relationship Id="rId4" Type="http://schemas.openxmlformats.org/officeDocument/2006/relationships/hyperlink" Target="src/env_17.0/src/openupgrade/openupgrade_scripts/scripts/account_edi_proxy_client/17.0.1.0/upgrade_analysis.txt" TargetMode="External"/><Relationship Id="rId180" Type="http://schemas.openxmlformats.org/officeDocument/2006/relationships/hyperlink" Target="src/env_17.0/src/openupgrade/openupgrade_scripts/scripts/project_todo/17.0.1.0/upgrade_analysis.txt" TargetMode="External"/><Relationship Id="rId215" Type="http://schemas.openxmlformats.org/officeDocument/2006/relationships/hyperlink" Target="src/env_17.0/src/openupgrade/openupgrade_scripts/scripts/website_blog/17.0.1.1/upgrade_analysis.txt" TargetMode="External"/><Relationship Id="rId236" Type="http://schemas.openxmlformats.org/officeDocument/2006/relationships/hyperlink" Target="src/env_17.0/src/openupgrade/openupgrade_scripts/scripts/website_sale_picking/17.0.1.0/upgrade_analysis.txt" TargetMode="External"/><Relationship Id="rId257" Type="http://schemas.openxmlformats.org/officeDocument/2006/relationships/hyperlink" Target="src/env_18.0/src/openupgrade/openupgrade_scripts/scripts/base_automation/18.0.1.0/upgrade_analysis.txt" TargetMode="External"/><Relationship Id="rId278" Type="http://schemas.openxmlformats.org/officeDocument/2006/relationships/hyperlink" Target="src/env_18.0/src/openupgrade/openupgrade_scripts/scripts/hr_homeworking/18.0.2.0/upgrade_analysis.txt" TargetMode="External"/><Relationship Id="rId401" Type="http://schemas.openxmlformats.org/officeDocument/2006/relationships/hyperlink" Target="src/env_18.0/src/openupgrade/openupgrade_scripts/scripts/project/18.0.1.3/upgrade_analysis.txt" TargetMode="External"/><Relationship Id="rId422" Type="http://schemas.openxmlformats.org/officeDocument/2006/relationships/hyperlink" Target="src/env_18.0/src/openupgrade/openupgrade_scripts/scripts/sale_timesheet/18.0.1.0/upgrade_analysis.txt" TargetMode="External"/><Relationship Id="rId443" Type="http://schemas.openxmlformats.org/officeDocument/2006/relationships/hyperlink" Target="src/env_18.0/src/openupgrade/openupgrade_scripts/scripts/website_event/18.0.1.4/upgrade_analysis.txt" TargetMode="External"/><Relationship Id="rId303" Type="http://schemas.openxmlformats.org/officeDocument/2006/relationships/hyperlink" Target="src/env_18.0/src/openupgrade/openupgrade_scripts/scripts/l10n_ch/18.0.11.3/upgrade_analysis.txt" TargetMode="External"/><Relationship Id="rId42" Type="http://schemas.openxmlformats.org/officeDocument/2006/relationships/hyperlink" Target="src/env_17.0/src/openupgrade/openupgrade_scripts/scripts/hr_recruitment_survey/17.0.1.0/upgrade_analysis.txt" TargetMode="External"/><Relationship Id="rId84" Type="http://schemas.openxmlformats.org/officeDocument/2006/relationships/hyperlink" Target="src/env_17.0/src/openupgrade/openupgrade_scripts/scripts/l10n_gt/17.0.3.0/upgrade_analysis.txt" TargetMode="External"/><Relationship Id="rId138" Type="http://schemas.openxmlformats.org/officeDocument/2006/relationships/hyperlink" Target="src/env_17.0/src/openupgrade/openupgrade_scripts/scripts/l10n_uy/17.0.0.1/upgrade_analysis.txt" TargetMode="External"/><Relationship Id="rId345" Type="http://schemas.openxmlformats.org/officeDocument/2006/relationships/hyperlink" Target="src/env_18.0/src/openupgrade/openupgrade_scripts/scripts/l10n_mu_account/18.0.1.0/upgrade_analysis.txt" TargetMode="External"/><Relationship Id="rId387" Type="http://schemas.openxmlformats.org/officeDocument/2006/relationships/hyperlink" Target="src/env_18.0/src/openupgrade/openupgrade_scripts/scripts/payment_xendit/18.0.1.0/upgrade_analysis.txt" TargetMode="External"/><Relationship Id="rId191" Type="http://schemas.openxmlformats.org/officeDocument/2006/relationships/hyperlink" Target="src/env_17.0/src/openupgrade/openupgrade_scripts/scripts/sale_management/17.0.1.0/upgrade_analysis.txt" TargetMode="External"/><Relationship Id="rId205" Type="http://schemas.openxmlformats.org/officeDocument/2006/relationships/hyperlink" Target="src/env_17.0/src/openupgrade/openupgrade_scripts/scripts/stock_account/17.0.1.1/upgrade_analysis.txt" TargetMode="External"/><Relationship Id="rId247" Type="http://schemas.openxmlformats.org/officeDocument/2006/relationships/hyperlink" Target="src/env_18.0/src/openupgrade/openupgrade_scripts/scripts/account_edi_proxy_client/18.0.1.0/upgrade_analysis.txt" TargetMode="External"/><Relationship Id="rId412" Type="http://schemas.openxmlformats.org/officeDocument/2006/relationships/hyperlink" Target="src/env_18.0/src/openupgrade/openupgrade_scripts/scripts/repair/18.0.1.0/upgrade_analysis.txt" TargetMode="External"/><Relationship Id="rId107" Type="http://schemas.openxmlformats.org/officeDocument/2006/relationships/hyperlink" Target="src/env_17.0/src/openupgrade/openupgrade_scripts/scripts/l10n_lt/17.0.1.0.0/upgrade_analysis.txt" TargetMode="External"/><Relationship Id="rId289" Type="http://schemas.openxmlformats.org/officeDocument/2006/relationships/hyperlink" Target="src/env_18.0/src/openupgrade/openupgrade_scripts/scripts/hr_work_entry_holidays/18.0.1.0/upgrade_analysis.txt" TargetMode="External"/><Relationship Id="rId454" Type="http://schemas.openxmlformats.org/officeDocument/2006/relationships/hyperlink" Target="src/env_18.0/src/openupgrade/openupgrade_scripts/scripts/website_sale_slides/18.0.1.0/upgrade_analysis.txt" TargetMode="External"/><Relationship Id="rId11" Type="http://schemas.openxmlformats.org/officeDocument/2006/relationships/hyperlink" Target="src/env_17.0/src/openupgrade/openupgrade_scripts/scripts/base_address_extended/17.0.1.1/upgrade_analysis.txt" TargetMode="External"/><Relationship Id="rId53" Type="http://schemas.openxmlformats.org/officeDocument/2006/relationships/hyperlink" Target="src/env_17.0/src/openupgrade/openupgrade_scripts/scripts/l10n_at/17.0.3.2.1/upgrade_analysis.txt" TargetMode="External"/><Relationship Id="rId149" Type="http://schemas.openxmlformats.org/officeDocument/2006/relationships/hyperlink" Target="src/env_17.0/src/openupgrade/openupgrade_scripts/scripts/mass_mailing_sms/17.0.1.1/upgrade_analysis.txt" TargetMode="External"/><Relationship Id="rId314" Type="http://schemas.openxmlformats.org/officeDocument/2006/relationships/hyperlink" Target="src/env_18.0/src/openupgrade/openupgrade_scripts/scripts/l10n_ec_website_sale/18.0.1.0/upgrade_analysis.txt" TargetMode="External"/><Relationship Id="rId356" Type="http://schemas.openxmlformats.org/officeDocument/2006/relationships/hyperlink" Target="src/env_18.0/src/openupgrade/openupgrade_scripts/scripts/l10n_sa_edi/18.0.0.1/upgrade_analysis.txt" TargetMode="External"/><Relationship Id="rId398" Type="http://schemas.openxmlformats.org/officeDocument/2006/relationships/hyperlink" Target="src/env_18.0/src/openupgrade/openupgrade_scripts/scripts/pos_self_order/18.0.1.0/upgrade_analysis.txt" TargetMode="External"/><Relationship Id="rId95" Type="http://schemas.openxmlformats.org/officeDocument/2006/relationships/hyperlink" Target="src/env_17.0/src/openupgrade/openupgrade_scripts/scripts/l10n_in_purchase_stock/17.0.1.0/upgrade_analysis.txt" TargetMode="External"/><Relationship Id="rId160" Type="http://schemas.openxmlformats.org/officeDocument/2006/relationships/hyperlink" Target="src/env_17.0/src/openupgrade/openupgrade_scripts/scripts/payment/17.0.2.0/upgrade_analysis.txt" TargetMode="External"/><Relationship Id="rId216" Type="http://schemas.openxmlformats.org/officeDocument/2006/relationships/hyperlink" Target="src/env_17.0/src/openupgrade/openupgrade_scripts/scripts/website_crm_partner_assign/17.0.1.2/upgrade_analysis.txt" TargetMode="External"/><Relationship Id="rId423" Type="http://schemas.openxmlformats.org/officeDocument/2006/relationships/hyperlink" Target="src/env_18.0/src/openupgrade/openupgrade_scripts/scripts/sales_team/18.0.1.1/upgrade_analysis.txt" TargetMode="External"/><Relationship Id="rId258" Type="http://schemas.openxmlformats.org/officeDocument/2006/relationships/hyperlink" Target="src/env_18.0/src/openupgrade/openupgrade_scripts/scripts/base_install_request/18.0.1.0/upgrade_analysis.txt" TargetMode="External"/><Relationship Id="rId22" Type="http://schemas.openxmlformats.org/officeDocument/2006/relationships/hyperlink" Target="src/env_17.0/src/openupgrade/openupgrade_scripts/scripts/delivery/17.0.1.0/upgrade_analysis.txt" TargetMode="External"/><Relationship Id="rId64" Type="http://schemas.openxmlformats.org/officeDocument/2006/relationships/hyperlink" Target="src/env_17.0/src/openupgrade/openupgrade_scripts/scripts/l10n_cr/17.0.1.0/upgrade_analysis.txt" TargetMode="External"/><Relationship Id="rId118" Type="http://schemas.openxmlformats.org/officeDocument/2006/relationships/hyperlink" Target="src/env_17.0/src/openupgrade/openupgrade_scripts/scripts/l10n_pa/17.0.1.0/upgrade_analysis.txt" TargetMode="External"/><Relationship Id="rId325" Type="http://schemas.openxmlformats.org/officeDocument/2006/relationships/hyperlink" Target="src/env_18.0/src/openupgrade/openupgrade_scripts/scripts/l10n_id/18.0.1.1/upgrade_analysis.txt" TargetMode="External"/><Relationship Id="rId367" Type="http://schemas.openxmlformats.org/officeDocument/2006/relationships/hyperlink" Target="src/env_18.0/src/openupgrade/openupgrade_scripts/scripts/mail/18.0.1.18/upgrade_analysis.txt" TargetMode="External"/><Relationship Id="rId171" Type="http://schemas.openxmlformats.org/officeDocument/2006/relationships/hyperlink" Target="src/env_17.0/src/openupgrade/openupgrade_scripts/scripts/pos_epson_printer/17.0.1.0/upgrade_analysis.txt" TargetMode="External"/><Relationship Id="rId227" Type="http://schemas.openxmlformats.org/officeDocument/2006/relationships/hyperlink" Target="src/env_17.0/src/openupgrade/openupgrade_scripts/scripts/website_hr_recruitment/17.0.1.1/upgrade_analysis.txt" TargetMode="External"/><Relationship Id="rId269" Type="http://schemas.openxmlformats.org/officeDocument/2006/relationships/hyperlink" Target="src/env_18.0/src/openupgrade/openupgrade_scripts/scripts/fleet/18.0.0.1/upgrade_analysis.txt" TargetMode="External"/><Relationship Id="rId434" Type="http://schemas.openxmlformats.org/officeDocument/2006/relationships/hyperlink" Target="src/env_18.0/src/openupgrade/openupgrade_scripts/scripts/stock_picking_batch/18.0.1.0/upgrade_analysis.txt" TargetMode="External"/><Relationship Id="rId33" Type="http://schemas.openxmlformats.org/officeDocument/2006/relationships/hyperlink" Target="src/env_17.0/src/openupgrade/openupgrade_scripts/scripts/hr_attendance/17.0.2.0/upgrade_analysis.txt" TargetMode="External"/><Relationship Id="rId129" Type="http://schemas.openxmlformats.org/officeDocument/2006/relationships/hyperlink" Target="src/env_17.0/src/openupgrade/openupgrade_scripts/scripts/l10n_sg/17.0.2.2/upgrade_analysis.txt" TargetMode="External"/><Relationship Id="rId280" Type="http://schemas.openxmlformats.org/officeDocument/2006/relationships/hyperlink" Target="src/env_18.0/src/openupgrade/openupgrade_scripts/scripts/hr_org_chart/18.0.1.0/upgrade_analysis.txt" TargetMode="External"/><Relationship Id="rId336" Type="http://schemas.openxmlformats.org/officeDocument/2006/relationships/hyperlink" Target="src/env_18.0/src/openupgrade/openupgrade_scripts/scripts/l10n_jp_ubl_pint/18.0.1.0/upgrade_analysis.txt" TargetMode="External"/><Relationship Id="rId75" Type="http://schemas.openxmlformats.org/officeDocument/2006/relationships/hyperlink" Target="src/env_17.0/src/openupgrade/openupgrade_scripts/scripts/l10n_ee/17.0.1.2/upgrade_analysis.txt" TargetMode="External"/><Relationship Id="rId140" Type="http://schemas.openxmlformats.org/officeDocument/2006/relationships/hyperlink" Target="src/env_17.0/src/openupgrade/openupgrade_scripts/scripts/l10n_vn/17.0.2.0.3/upgrade_analysis.txt" TargetMode="External"/><Relationship Id="rId182" Type="http://schemas.openxmlformats.org/officeDocument/2006/relationships/hyperlink" Target="src/env_17.0/src/openupgrade/openupgrade_scripts/scripts/purchase_mrp/17.0.1.0/upgrade_analysis.txt" TargetMode="External"/><Relationship Id="rId378" Type="http://schemas.openxmlformats.org/officeDocument/2006/relationships/hyperlink" Target="src/env_18.0/src/openupgrade/openupgrade_scripts/scripts/mrp_subcontracting_landed_costs/18.0.1.0/upgrade_analysis.txt" TargetMode="External"/><Relationship Id="rId403" Type="http://schemas.openxmlformats.org/officeDocument/2006/relationships/hyperlink" Target="src/env_18.0/src/openupgrade/openupgrade_scripts/scripts/project_hr_expense/18.0.1.0/upgrade_analysis.txt" TargetMode="External"/><Relationship Id="rId6" Type="http://schemas.openxmlformats.org/officeDocument/2006/relationships/hyperlink" Target="src/env_17.0/src/openupgrade/openupgrade_scripts/scripts/account_payment/17.0.2.0/upgrade_analysis.txt" TargetMode="External"/><Relationship Id="rId238" Type="http://schemas.openxmlformats.org/officeDocument/2006/relationships/hyperlink" Target="src/env_17.0/src/openupgrade/openupgrade_scripts/scripts/website_sale_slides/17.0.1.0/upgrade_analysis.txt" TargetMode="External"/><Relationship Id="rId445" Type="http://schemas.openxmlformats.org/officeDocument/2006/relationships/hyperlink" Target="src/env_18.0/src/openupgrade/openupgrade_scripts/scripts/website_event_track/18.0.1.3/upgrade_analysis.txt" TargetMode="External"/><Relationship Id="rId291" Type="http://schemas.openxmlformats.org/officeDocument/2006/relationships/hyperlink" Target="src/env_18.0/src/openupgrade/openupgrade_scripts/scripts/iap_mail/18.0.1.0/upgrade_analysis.txt" TargetMode="External"/><Relationship Id="rId305" Type="http://schemas.openxmlformats.org/officeDocument/2006/relationships/hyperlink" Target="src/env_18.0/src/openupgrade/openupgrade_scripts/scripts/l10n_cz/18.0.1.1/upgrade_analysis.txt" TargetMode="External"/><Relationship Id="rId347" Type="http://schemas.openxmlformats.org/officeDocument/2006/relationships/hyperlink" Target="src/env_18.0/src/openupgrade/openupgrade_scripts/scripts/l10n_mx_hr/18.0.1.0/upgrade_analysis.txt" TargetMode="External"/><Relationship Id="rId44" Type="http://schemas.openxmlformats.org/officeDocument/2006/relationships/hyperlink" Target="src/env_17.0/src/openupgrade/openupgrade_scripts/scripts/hr_skills_survey/17.0.1.0/upgrade_analysis.txt" TargetMode="External"/><Relationship Id="rId86" Type="http://schemas.openxmlformats.org/officeDocument/2006/relationships/hyperlink" Target="src/env_17.0/src/openupgrade/openupgrade_scripts/scripts/l10n_hn/17.0.0.2/upgrade_analysis.txt" TargetMode="External"/><Relationship Id="rId151" Type="http://schemas.openxmlformats.org/officeDocument/2006/relationships/hyperlink" Target="src/env_17.0/src/openupgrade/openupgrade_scripts/scripts/membership/17.0.1.0/upgrade_analysis.txt" TargetMode="External"/><Relationship Id="rId389" Type="http://schemas.openxmlformats.org/officeDocument/2006/relationships/hyperlink" Target="src/env_18.0/src/openupgrade/openupgrade_scripts/scripts/portal/18.0.1.0/upgrade_analysis.txt" TargetMode="External"/><Relationship Id="rId193" Type="http://schemas.openxmlformats.org/officeDocument/2006/relationships/hyperlink" Target="src/env_17.0/src/openupgrade/openupgrade_scripts/scripts/sale_product_configurator/17.0.1.0/upgrade_analysis.txt" TargetMode="External"/><Relationship Id="rId207" Type="http://schemas.openxmlformats.org/officeDocument/2006/relationships/hyperlink" Target="src/env_17.0/src/openupgrade/openupgrade_scripts/scripts/stock_landed_costs/17.0.1.1/upgrade_analysis.txt" TargetMode="External"/><Relationship Id="rId249" Type="http://schemas.openxmlformats.org/officeDocument/2006/relationships/hyperlink" Target="src/env_18.0/src/openupgrade/openupgrade_scripts/scripts/account_fleet/18.0.1.0/upgrade_analysis.txt" TargetMode="External"/><Relationship Id="rId414" Type="http://schemas.openxmlformats.org/officeDocument/2006/relationships/hyperlink" Target="src/env_18.0/src/openupgrade/openupgrade_scripts/scripts/sale/18.0.1.2/upgrade_analysis.txt" TargetMode="External"/><Relationship Id="rId456" Type="http://schemas.openxmlformats.org/officeDocument/2006/relationships/hyperlink" Target="src/env_18.0/src/openupgrade/openupgrade_scripts/scripts/website_slides/18.0.2.7/upgrade_analysis.txt" TargetMode="External"/><Relationship Id="rId13" Type="http://schemas.openxmlformats.org/officeDocument/2006/relationships/hyperlink" Target="src/env_17.0/src/openupgrade/openupgrade_scripts/scripts/base_geolocalize/17.0.2.1/upgrade_analysis.txt" TargetMode="External"/><Relationship Id="rId109" Type="http://schemas.openxmlformats.org/officeDocument/2006/relationships/hyperlink" Target="src/env_17.0/src/openupgrade/openupgrade_scripts/scripts/l10n_lv/17.0.1.0.0/upgrade_analysis.txt" TargetMode="External"/><Relationship Id="rId260" Type="http://schemas.openxmlformats.org/officeDocument/2006/relationships/hyperlink" Target="src/env_18.0/src/openupgrade/openupgrade_scripts/scripts/bus/18.0.1.0/upgrade_analysis.txt" TargetMode="External"/><Relationship Id="rId316" Type="http://schemas.openxmlformats.org/officeDocument/2006/relationships/hyperlink" Target="src/env_18.0/src/openupgrade/openupgrade_scripts/scripts/l10n_es_edi_facturae/18.0.1.0/upgrade_analysis.txt" TargetMode="External"/><Relationship Id="rId55" Type="http://schemas.openxmlformats.org/officeDocument/2006/relationships/hyperlink" Target="src/env_17.0/src/openupgrade/openupgrade_scripts/scripts/l10n_be/17.0.2.0/upgrade_analysis.txt" TargetMode="External"/><Relationship Id="rId97" Type="http://schemas.openxmlformats.org/officeDocument/2006/relationships/hyperlink" Target="src/env_17.0/src/openupgrade/openupgrade_scripts/scripts/l10n_in_sale_stock/17.0.0.1/upgrade_analysis.txt" TargetMode="External"/><Relationship Id="rId120" Type="http://schemas.openxmlformats.org/officeDocument/2006/relationships/hyperlink" Target="src/env_17.0/src/openupgrade/openupgrade_scripts/scripts/l10n_ph/17.0.1.1/upgrade_analysis.txt" TargetMode="External"/><Relationship Id="rId358" Type="http://schemas.openxmlformats.org/officeDocument/2006/relationships/hyperlink" Target="src/env_18.0/src/openupgrade/openupgrade_scripts/scripts/l10n_sk/18.0.1.0/upgrade_analysis.txt" TargetMode="External"/><Relationship Id="rId162" Type="http://schemas.openxmlformats.org/officeDocument/2006/relationships/hyperlink" Target="src/env_17.0/src/openupgrade/openupgrade_scripts/scripts/payment_asiapay/17.0.1.0/upgrade_analysis.txt" TargetMode="External"/><Relationship Id="rId218" Type="http://schemas.openxmlformats.org/officeDocument/2006/relationships/hyperlink" Target="src/env_17.0/src/openupgrade/openupgrade_scripts/scripts/website_event/17.0.1.4/upgrade_analysis.txt" TargetMode="External"/><Relationship Id="rId425" Type="http://schemas.openxmlformats.org/officeDocument/2006/relationships/hyperlink" Target="src/env_18.0/src/openupgrade/openupgrade_scripts/scripts/snailmail/18.0.0.4/upgrade_analysis.txt" TargetMode="External"/><Relationship Id="rId271" Type="http://schemas.openxmlformats.org/officeDocument/2006/relationships/hyperlink" Target="src/env_18.0/src/openupgrade/openupgrade_scripts/scripts/hr/18.0.1.1/upgrade_analysis.txt" TargetMode="External"/><Relationship Id="rId24" Type="http://schemas.openxmlformats.org/officeDocument/2006/relationships/hyperlink" Target="src/env_17.0/src/openupgrade/openupgrade_scripts/scripts/event/17.0.1.8/upgrade_analysis.txt" TargetMode="External"/><Relationship Id="rId66" Type="http://schemas.openxmlformats.org/officeDocument/2006/relationships/hyperlink" Target="src/env_17.0/src/openupgrade/openupgrade_scripts/scripts/l10n_de/17.0.2.0/upgrade_analysis.txt" TargetMode="External"/><Relationship Id="rId131" Type="http://schemas.openxmlformats.org/officeDocument/2006/relationships/hyperlink" Target="src/env_17.0/src/openupgrade/openupgrade_scripts/scripts/l10n_sk/17.0.1.0/upgrade_analysis.txt" TargetMode="External"/><Relationship Id="rId327" Type="http://schemas.openxmlformats.org/officeDocument/2006/relationships/hyperlink" Target="src/env_18.0/src/openupgrade/openupgrade_scripts/scripts/l10n_in/18.0.2.0/upgrade_analysis.txt" TargetMode="External"/><Relationship Id="rId369" Type="http://schemas.openxmlformats.org/officeDocument/2006/relationships/hyperlink" Target="src/env_18.0/src/openupgrade/openupgrade_scripts/scripts/maintenance/18.0.1.0/upgrade_analysis.txt" TargetMode="External"/><Relationship Id="rId173" Type="http://schemas.openxmlformats.org/officeDocument/2006/relationships/hyperlink" Target="src/env_17.0/src/openupgrade/openupgrade_scripts/scripts/pos_loyalty/17.0.2.0/upgrade_analysis.txt" TargetMode="External"/><Relationship Id="rId229" Type="http://schemas.openxmlformats.org/officeDocument/2006/relationships/hyperlink" Target="src/env_17.0/src/openupgrade/openupgrade_scripts/scripts/website_mass_mailing/17.0.1.0/upgrade_analysis.txt" TargetMode="External"/><Relationship Id="rId380" Type="http://schemas.openxmlformats.org/officeDocument/2006/relationships/hyperlink" Target="src/env_18.0/src/openupgrade/openupgrade_scripts/scripts/payment/18.0.2.0/upgrade_analysis.txt" TargetMode="External"/><Relationship Id="rId436" Type="http://schemas.openxmlformats.org/officeDocument/2006/relationships/hyperlink" Target="src/env_18.0/src/openupgrade/openupgrade_scripts/scripts/utm/18.0.1.1/upgrade_analysis.txt" TargetMode="External"/><Relationship Id="rId240" Type="http://schemas.openxmlformats.org/officeDocument/2006/relationships/hyperlink" Target="src/env_17.0/src/openupgrade/openupgrade_scripts/scripts/website_slides/17.0.2.7/upgrade_analysis.txt" TargetMode="External"/><Relationship Id="rId35" Type="http://schemas.openxmlformats.org/officeDocument/2006/relationships/hyperlink" Target="src/env_17.0/src/openupgrade/openupgrade_scripts/scripts/hr_expense/17.0.2.0/upgrade_analysis.txt" TargetMode="External"/><Relationship Id="rId77" Type="http://schemas.openxmlformats.org/officeDocument/2006/relationships/hyperlink" Target="src/env_17.0/src/openupgrade/openupgrade_scripts/scripts/l10n_es/17.0.5.4/upgrade_analysis.txt" TargetMode="External"/><Relationship Id="rId100" Type="http://schemas.openxmlformats.org/officeDocument/2006/relationships/hyperlink" Target="src/env_17.0/src/openupgrade/openupgrade_scripts/scripts/l10n_it_edi_doi/17.0.0.1/upgrade_analysis.txt" TargetMode="External"/><Relationship Id="rId282" Type="http://schemas.openxmlformats.org/officeDocument/2006/relationships/hyperlink" Target="src/env_18.0/src/openupgrade/openupgrade_scripts/scripts/hr_recruitment/18.0.1.1/upgrade_analysis.txt" TargetMode="External"/><Relationship Id="rId338" Type="http://schemas.openxmlformats.org/officeDocument/2006/relationships/hyperlink" Target="src/env_18.0/src/openupgrade/openupgrade_scripts/scripts/l10n_ke_edi_tremol/18.0.1.0/upgrade_analysis.txt" TargetMode="External"/><Relationship Id="rId8" Type="http://schemas.openxmlformats.org/officeDocument/2006/relationships/hyperlink" Target="src/env_17.0/src/openupgrade/openupgrade_scripts/scripts/analytic/17.0.1.2/upgrade_analysis.txt" TargetMode="External"/><Relationship Id="rId142" Type="http://schemas.openxmlformats.org/officeDocument/2006/relationships/hyperlink" Target="src/env_17.0/src/openupgrade/openupgrade_scripts/scripts/loyalty/17.0.1.0/upgrade_analysis.txt" TargetMode="External"/><Relationship Id="rId184" Type="http://schemas.openxmlformats.org/officeDocument/2006/relationships/hyperlink" Target="src/env_17.0/src/openupgrade/openupgrade_scripts/scripts/purchase_stock/17.0.1.2/upgrade_analysis.txt" TargetMode="External"/><Relationship Id="rId391" Type="http://schemas.openxmlformats.org/officeDocument/2006/relationships/hyperlink" Target="src/env_18.0/src/openupgrade/openupgrade_scripts/scripts/pos_discount/18.0.1.0/upgrade_analysis.txt" TargetMode="External"/><Relationship Id="rId405" Type="http://schemas.openxmlformats.org/officeDocument/2006/relationships/hyperlink" Target="src/env_18.0/src/openupgrade/openupgrade_scripts/scripts/project_purchase/18.0.1.0/upgrade_analysis.txt" TargetMode="External"/><Relationship Id="rId447" Type="http://schemas.openxmlformats.org/officeDocument/2006/relationships/hyperlink" Target="src/env_18.0/src/openupgrade/openupgrade_scripts/scripts/website_hr_recruitment/18.0.1.1/upgrade_analysis.txt" TargetMode="External"/><Relationship Id="rId251" Type="http://schemas.openxmlformats.org/officeDocument/2006/relationships/hyperlink" Target="src/env_18.0/src/openupgrade/openupgrade_scripts/scripts/account_peppol/18.0.1.1/upgrade_analysis.txt" TargetMode="External"/><Relationship Id="rId46" Type="http://schemas.openxmlformats.org/officeDocument/2006/relationships/hyperlink" Target="src/env_17.0/src/openupgrade/openupgrade_scripts/scripts/hr_timesheet_attendance/17.0.1.1/upgrade_analysis.txt" TargetMode="External"/><Relationship Id="rId293" Type="http://schemas.openxmlformats.org/officeDocument/2006/relationships/hyperlink" Target="src/env_18.0/src/openupgrade/openupgrade_scripts/scripts/l10n_ae/18.0.1.0/upgrade_analysis.txt" TargetMode="External"/><Relationship Id="rId307" Type="http://schemas.openxmlformats.org/officeDocument/2006/relationships/hyperlink" Target="src/env_18.0/src/openupgrade/openupgrade_scripts/scripts/l10n_din5008/18.0.1.0/upgrade_analysis.txt" TargetMode="External"/><Relationship Id="rId349" Type="http://schemas.openxmlformats.org/officeDocument/2006/relationships/hyperlink" Target="src/env_18.0/src/openupgrade/openupgrade_scripts/scripts/l10n_my_ubl_pint/18.0.1.0/upgrade_analysis.txt" TargetMode="External"/><Relationship Id="rId88" Type="http://schemas.openxmlformats.org/officeDocument/2006/relationships/hyperlink" Target="src/env_17.0/src/openupgrade/openupgrade_scripts/scripts/l10n_hu/17.0.3.0/upgrade_analysis.txt" TargetMode="External"/><Relationship Id="rId111" Type="http://schemas.openxmlformats.org/officeDocument/2006/relationships/hyperlink" Target="src/env_17.0/src/openupgrade/openupgrade_scripts/scripts/l10n_mn/17.0.1.1/upgrade_analysis.txt" TargetMode="External"/><Relationship Id="rId153" Type="http://schemas.openxmlformats.org/officeDocument/2006/relationships/hyperlink" Target="src/env_17.0/src/openupgrade/openupgrade_scripts/scripts/microsoft_outlook/17.0.1.1/upgrade_analysis.txt" TargetMode="External"/><Relationship Id="rId195" Type="http://schemas.openxmlformats.org/officeDocument/2006/relationships/hyperlink" Target="src/env_17.0/src/openupgrade/openupgrade_scripts/scripts/sale_stock/17.0.1.0/upgrade_analysis.txt" TargetMode="External"/><Relationship Id="rId209" Type="http://schemas.openxmlformats.org/officeDocument/2006/relationships/hyperlink" Target="src/env_17.0/src/openupgrade/openupgrade_scripts/scripts/survey/17.0.3.6/upgrade_analysis.txt" TargetMode="External"/><Relationship Id="rId360" Type="http://schemas.openxmlformats.org/officeDocument/2006/relationships/hyperlink" Target="src/env_18.0/src/openupgrade/openupgrade_scripts/scripts/l10n_tr_nilvera/18.0.1.0/upgrade_analysis.txt" TargetMode="External"/><Relationship Id="rId416" Type="http://schemas.openxmlformats.org/officeDocument/2006/relationships/hyperlink" Target="src/env_18.0/src/openupgrade/openupgrade_scripts/scripts/sale_management/18.0.1.0/upgrade_analysis.txt" TargetMode="External"/><Relationship Id="rId220" Type="http://schemas.openxmlformats.org/officeDocument/2006/relationships/hyperlink" Target="src/env_17.0/src/openupgrade/openupgrade_scripts/scripts/website_event_booth_sale/17.0.1.0/upgrade_analysis.txt" TargetMode="External"/><Relationship Id="rId15" Type="http://schemas.openxmlformats.org/officeDocument/2006/relationships/hyperlink" Target="src/env_17.0/src/openupgrade/openupgrade_scripts/scripts/base_import_module/17.0.1.0/upgrade_analysis.txt" TargetMode="External"/><Relationship Id="rId57" Type="http://schemas.openxmlformats.org/officeDocument/2006/relationships/hyperlink" Target="src/env_17.0/src/openupgrade/openupgrade_scripts/scripts/l10n_bo/17.0.2.0/upgrade_analysis.txt" TargetMode="External"/><Relationship Id="rId262" Type="http://schemas.openxmlformats.org/officeDocument/2006/relationships/hyperlink" Target="src/env_18.0/src/openupgrade/openupgrade_scripts/scripts/crm/18.0.1.8/upgrade_analysis.txt" TargetMode="External"/><Relationship Id="rId318" Type="http://schemas.openxmlformats.org/officeDocument/2006/relationships/hyperlink" Target="src/env_18.0/src/openupgrade/openupgrade_scripts/scripts/l10n_es_edi_tbai/18.0.1.1/upgrade_analysis.txt" TargetMode="External"/><Relationship Id="rId99" Type="http://schemas.openxmlformats.org/officeDocument/2006/relationships/hyperlink" Target="src/env_17.0/src/openupgrade/openupgrade_scripts/scripts/l10n_it_edi/17.0.0.4/upgrade_analysis.txt" TargetMode="External"/><Relationship Id="rId122" Type="http://schemas.openxmlformats.org/officeDocument/2006/relationships/hyperlink" Target="src/env_17.0/src/openupgrade/openupgrade_scripts/scripts/l10n_pl/17.0.2.0/upgrade_analysis.txt" TargetMode="External"/><Relationship Id="rId164" Type="http://schemas.openxmlformats.org/officeDocument/2006/relationships/hyperlink" Target="src/env_17.0/src/openupgrade/openupgrade_scripts/scripts/payment_custom/17.0.2.0/upgrade_analysis.txt" TargetMode="External"/><Relationship Id="rId371" Type="http://schemas.openxmlformats.org/officeDocument/2006/relationships/hyperlink" Target="src/env_18.0/src/openupgrade/openupgrade_scripts/scripts/mass_mailing_themes/18.0.1.2/upgrade_analysis.txt" TargetMode="External"/><Relationship Id="rId427" Type="http://schemas.openxmlformats.org/officeDocument/2006/relationships/hyperlink" Target="src/env_18.0/src/openupgrade/openupgrade_scripts/scripts/spreadsheet_dashboard/18.0.1.0/upgrade_analysis.txt" TargetMode="External"/><Relationship Id="rId26" Type="http://schemas.openxmlformats.org/officeDocument/2006/relationships/hyperlink" Target="src/env_17.0/src/openupgrade/openupgrade_scripts/scripts/event_booth_sale/17.0.1.2/upgrade_analysis.txt" TargetMode="External"/><Relationship Id="rId231" Type="http://schemas.openxmlformats.org/officeDocument/2006/relationships/hyperlink" Target="src/env_17.0/src/openupgrade/openupgrade_scripts/scripts/website_payment/17.0.1.0/upgrade_analysis.txt" TargetMode="External"/><Relationship Id="rId273" Type="http://schemas.openxmlformats.org/officeDocument/2006/relationships/hyperlink" Target="src/env_18.0/src/openupgrade/openupgrade_scripts/scripts/hr_contract/18.0.1.0/upgrade_analysis.txt" TargetMode="External"/><Relationship Id="rId329" Type="http://schemas.openxmlformats.org/officeDocument/2006/relationships/hyperlink" Target="src/env_18.0/src/openupgrade/openupgrade_scripts/scripts/l10n_in_pos/18.0.1.0/upgrade_analysis.txt" TargetMode="External"/><Relationship Id="rId68" Type="http://schemas.openxmlformats.org/officeDocument/2006/relationships/hyperlink" Target="src/env_17.0/src/openupgrade/openupgrade_scripts/scripts/l10n_din5008_repair/17.0.1.0/upgrade_analysis.txt" TargetMode="External"/><Relationship Id="rId133" Type="http://schemas.openxmlformats.org/officeDocument/2006/relationships/hyperlink" Target="src/env_17.0/src/openupgrade/openupgrade_scripts/scripts/l10n_th/17.0.2.0/upgrade_analysis.txt" TargetMode="External"/><Relationship Id="rId175" Type="http://schemas.openxmlformats.org/officeDocument/2006/relationships/hyperlink" Target="src/env_17.0/src/openupgrade/openupgrade_scripts/scripts/pos_restaurant/17.0.1.0/upgrade_analysis.txt" TargetMode="External"/><Relationship Id="rId340" Type="http://schemas.openxmlformats.org/officeDocument/2006/relationships/hyperlink" Target="src/env_18.0/src/openupgrade/openupgrade_scripts/scripts/l10n_latam_invoice_document/18.0.1.0/upgrade_analysis.txt" TargetMode="External"/><Relationship Id="rId200" Type="http://schemas.openxmlformats.org/officeDocument/2006/relationships/hyperlink" Target="src/env_17.0/src/openupgrade/openupgrade_scripts/scripts/snailmail_account/17.0.0.1/upgrade_analysis.txt" TargetMode="External"/><Relationship Id="rId382" Type="http://schemas.openxmlformats.org/officeDocument/2006/relationships/hyperlink" Target="src/env_18.0/src/openupgrade/openupgrade_scripts/scripts/payment_demo/18.0.2.0/upgrade_analysis.txt" TargetMode="External"/><Relationship Id="rId438" Type="http://schemas.openxmlformats.org/officeDocument/2006/relationships/hyperlink" Target="src/env_18.0/src/openupgrade/openupgrade_scripts/scripts/web_editor/18.0.1.0/upgrade_analysis.txt" TargetMode="External"/><Relationship Id="rId242" Type="http://schemas.openxmlformats.org/officeDocument/2006/relationships/hyperlink" Target="src/env_17.0/src/openupgrade/openupgrade_scripts/scripts/website_slides_survey/17.0.1.0/upgrade_analysis.txt" TargetMode="External"/><Relationship Id="rId284" Type="http://schemas.openxmlformats.org/officeDocument/2006/relationships/hyperlink" Target="src/env_18.0/src/openupgrade/openupgrade_scripts/scripts/hr_recruitment_survey/18.0.1.0/upgrade_analysis.txt" TargetMode="External"/><Relationship Id="rId37" Type="http://schemas.openxmlformats.org/officeDocument/2006/relationships/hyperlink" Target="src/env_17.0/src/openupgrade/openupgrade_scripts/scripts/hr_holidays/17.0.1.6/upgrade_analysis.txt" TargetMode="External"/><Relationship Id="rId79" Type="http://schemas.openxmlformats.org/officeDocument/2006/relationships/hyperlink" Target="src/env_17.0/src/openupgrade/openupgrade_scripts/scripts/l10n_et/17.0.2.0/upgrade_analysis.txt" TargetMode="External"/><Relationship Id="rId102" Type="http://schemas.openxmlformats.org/officeDocument/2006/relationships/hyperlink" Target="src/env_17.0/src/openupgrade/openupgrade_scripts/scripts/l10n_jp/17.0.2.3/upgrade_analysis.txt" TargetMode="External"/><Relationship Id="rId144" Type="http://schemas.openxmlformats.org/officeDocument/2006/relationships/hyperlink" Target="src/env_17.0/src/openupgrade/openupgrade_scripts/scripts/mail/17.0.1.15/upgrade_analysis.txt" TargetMode="External"/><Relationship Id="rId90" Type="http://schemas.openxmlformats.org/officeDocument/2006/relationships/hyperlink" Target="src/env_17.0/src/openupgrade/openupgrade_scripts/scripts/l10n_ie/17.0.2.0/upgrade_analysis.txt" TargetMode="External"/><Relationship Id="rId186" Type="http://schemas.openxmlformats.org/officeDocument/2006/relationships/hyperlink" Target="src/env_17.0/src/openupgrade/openupgrade_scripts/scripts/repair/17.0.1.0/upgrade_analysis.txt" TargetMode="External"/><Relationship Id="rId351" Type="http://schemas.openxmlformats.org/officeDocument/2006/relationships/hyperlink" Target="src/env_18.0/src/openupgrade/openupgrade_scripts/scripts/l10n_pe/18.0.3.0/upgrade_analysis.txt" TargetMode="External"/><Relationship Id="rId393" Type="http://schemas.openxmlformats.org/officeDocument/2006/relationships/hyperlink" Target="src/env_18.0/src/openupgrade/openupgrade_scripts/scripts/pos_loyalty/18.0.2.0/upgrade_analysis.txt" TargetMode="External"/><Relationship Id="rId407" Type="http://schemas.openxmlformats.org/officeDocument/2006/relationships/hyperlink" Target="src/env_18.0/src/openupgrade/openupgrade_scripts/scripts/purchase/18.0.1.2/upgrade_analysis.txt" TargetMode="External"/><Relationship Id="rId449" Type="http://schemas.openxmlformats.org/officeDocument/2006/relationships/hyperlink" Target="src/env_18.0/src/openupgrade/openupgrade_scripts/scripts/website_project/18.0.1.0/upgrade_analysis.txt" TargetMode="External"/><Relationship Id="rId211" Type="http://schemas.openxmlformats.org/officeDocument/2006/relationships/hyperlink" Target="src/env_17.0/src/openupgrade/openupgrade_scripts/scripts/web/17.0.1.0/upgrade_analysis.txt" TargetMode="External"/><Relationship Id="rId253" Type="http://schemas.openxmlformats.org/officeDocument/2006/relationships/hyperlink" Target="src/env_18.0/src/openupgrade/openupgrade_scripts/scripts/account_tax_python/18.0.1.0/upgrade_analysis.txt" TargetMode="External"/><Relationship Id="rId295" Type="http://schemas.openxmlformats.org/officeDocument/2006/relationships/hyperlink" Target="src/env_18.0/src/openupgrade/openupgrade_scripts/scripts/l10n_ar/18.0.3.7/upgrade_analysis.txt" TargetMode="External"/><Relationship Id="rId309" Type="http://schemas.openxmlformats.org/officeDocument/2006/relationships/hyperlink" Target="src/env_18.0/src/openupgrade/openupgrade_scripts/scripts/l10n_din5008_repair/18.0.1.0/upgrade_analysis.txt" TargetMode="External"/><Relationship Id="rId48" Type="http://schemas.openxmlformats.org/officeDocument/2006/relationships/hyperlink" Target="src/env_17.0/src/openupgrade/openupgrade_scripts/scripts/hr_work_entry_holidays/17.0.1.0/upgrade_analysis.txt" TargetMode="External"/><Relationship Id="rId113" Type="http://schemas.openxmlformats.org/officeDocument/2006/relationships/hyperlink" Target="src/env_17.0/src/openupgrade/openupgrade_scripts/scripts/l10n_my/17.0.1.1/upgrade_analysis.txt" TargetMode="External"/><Relationship Id="rId320" Type="http://schemas.openxmlformats.org/officeDocument/2006/relationships/hyperlink" Target="src/env_18.0/src/openupgrade/openupgrade_scripts/scripts/l10n_es_pos/18.0.1.0/upgrade_analysis.txt" TargetMode="External"/><Relationship Id="rId155" Type="http://schemas.openxmlformats.org/officeDocument/2006/relationships/hyperlink" Target="src/env_17.0/src/openupgrade/openupgrade_scripts/scripts/mrp_account/17.0.1.0/upgrade_analysis.txt" TargetMode="External"/><Relationship Id="rId197" Type="http://schemas.openxmlformats.org/officeDocument/2006/relationships/hyperlink" Target="src/env_17.0/src/openupgrade/openupgrade_scripts/scripts/sales_team/17.0.1.1/upgrade_analysis.txt" TargetMode="External"/><Relationship Id="rId362" Type="http://schemas.openxmlformats.org/officeDocument/2006/relationships/hyperlink" Target="src/env_18.0/src/openupgrade/openupgrade_scripts/scripts/l10n_ug/18.0.1.0.0/upgrade_analysis.txt" TargetMode="External"/><Relationship Id="rId418" Type="http://schemas.openxmlformats.org/officeDocument/2006/relationships/hyperlink" Target="src/env_18.0/src/openupgrade/openupgrade_scripts/scripts/sale_pdf_quote_builder/18.0.1.0/upgrade_analysis.txt" TargetMode="External"/><Relationship Id="rId222" Type="http://schemas.openxmlformats.org/officeDocument/2006/relationships/hyperlink" Target="src/env_17.0/src/openupgrade/openupgrade_scripts/scripts/website_event_meet/17.0.1.0/upgrade_analysis.txt" TargetMode="External"/><Relationship Id="rId264" Type="http://schemas.openxmlformats.org/officeDocument/2006/relationships/hyperlink" Target="src/env_18.0/src/openupgrade/openupgrade_scripts/scripts/digest/18.0.1.1/upgrade_analysis.txt" TargetMode="External"/><Relationship Id="rId17" Type="http://schemas.openxmlformats.org/officeDocument/2006/relationships/hyperlink" Target="src/env_17.0/src/openupgrade/openupgrade_scripts/scripts/calendar/17.0.1.1/upgrade_analysis.txt" TargetMode="External"/><Relationship Id="rId59" Type="http://schemas.openxmlformats.org/officeDocument/2006/relationships/hyperlink" Target="src/env_17.0/src/openupgrade/openupgrade_scripts/scripts/l10n_ca/17.0.1.0/upgrade_analysis.txt" TargetMode="External"/><Relationship Id="rId124" Type="http://schemas.openxmlformats.org/officeDocument/2006/relationships/hyperlink" Target="src/env_17.0/src/openupgrade/openupgrade_scripts/scripts/l10n_ro/17.0.1.0/upgrade_analysis.txt" TargetMode="External"/><Relationship Id="rId70" Type="http://schemas.openxmlformats.org/officeDocument/2006/relationships/hyperlink" Target="src/env_17.0/src/openupgrade/openupgrade_scripts/scripts/l10n_din5008_stock/17.0.1.0/upgrade_analysis.txt" TargetMode="External"/><Relationship Id="rId166" Type="http://schemas.openxmlformats.org/officeDocument/2006/relationships/hyperlink" Target="src/env_17.0/src/openupgrade/openupgrade_scripts/scripts/payment_paypal/17.0.2.0/upgrade_analysis.txt" TargetMode="External"/><Relationship Id="rId331" Type="http://schemas.openxmlformats.org/officeDocument/2006/relationships/hyperlink" Target="src/env_18.0/src/openupgrade/openupgrade_scripts/scripts/l10n_it/18.0.0.7/upgrade_analysis.txt" TargetMode="External"/><Relationship Id="rId373" Type="http://schemas.openxmlformats.org/officeDocument/2006/relationships/hyperlink" Target="src/env_18.0/src/openupgrade/openupgrade_scripts/scripts/microsoft_calendar/18.0.1.0/upgrade_analysis.txt" TargetMode="External"/><Relationship Id="rId429" Type="http://schemas.openxmlformats.org/officeDocument/2006/relationships/hyperlink" Target="src/env_18.0/src/openupgrade/openupgrade_scripts/scripts/stock/18.0.1.1/upgrade_analysis.txt" TargetMode="External"/><Relationship Id="rId1" Type="http://schemas.openxmlformats.org/officeDocument/2006/relationships/hyperlink" Target="src/env_17.0/src/openupgrade/openupgrade_scripts/scripts/account/17.0.1.2/upgrade_analysis.txt" TargetMode="External"/><Relationship Id="rId233" Type="http://schemas.openxmlformats.org/officeDocument/2006/relationships/hyperlink" Target="src/env_17.0/src/openupgrade/openupgrade_scripts/scripts/website_sale/17.0.1.1/upgrade_analysis.txt" TargetMode="External"/><Relationship Id="rId440" Type="http://schemas.openxmlformats.org/officeDocument/2006/relationships/hyperlink" Target="src/env_18.0/src/openupgrade/openupgrade_scripts/scripts/web_tour/18.0.1.0/upgrade_analysis.txt" TargetMode="External"/><Relationship Id="rId28" Type="http://schemas.openxmlformats.org/officeDocument/2006/relationships/hyperlink" Target="src/env_17.0/src/openupgrade/openupgrade_scripts/scripts/fleet/17.0.0.1/upgrade_analysis.txt" TargetMode="External"/><Relationship Id="rId275" Type="http://schemas.openxmlformats.org/officeDocument/2006/relationships/hyperlink" Target="src/env_18.0/src/openupgrade/openupgrade_scripts/scripts/hr_fleet/18.0.1.0/upgrade_analysis.txt" TargetMode="External"/><Relationship Id="rId300" Type="http://schemas.openxmlformats.org/officeDocument/2006/relationships/hyperlink" Target="src/env_18.0/src/openupgrade/openupgrade_scripts/scripts/l10n_br/18.0.1.0/upgrade_analysis.txt" TargetMode="External"/><Relationship Id="rId81" Type="http://schemas.openxmlformats.org/officeDocument/2006/relationships/hyperlink" Target="src/env_17.0/src/openupgrade/openupgrade_scripts/scripts/l10n_fr/17.0.2.1/upgrade_analysis.txt" TargetMode="External"/><Relationship Id="rId135" Type="http://schemas.openxmlformats.org/officeDocument/2006/relationships/hyperlink" Target="src/env_17.0/src/openupgrade/openupgrade_scripts/scripts/l10n_tw/17.0.1.0/upgrade_analysis.txt" TargetMode="External"/><Relationship Id="rId177" Type="http://schemas.openxmlformats.org/officeDocument/2006/relationships/hyperlink" Target="src/env_17.0/src/openupgrade/openupgrade_scripts/scripts/product_expiry/17.0.1.0/upgrade_analysis.txt" TargetMode="External"/><Relationship Id="rId342" Type="http://schemas.openxmlformats.org/officeDocument/2006/relationships/hyperlink" Target="src/env_18.0/src/openupgrade/openupgrade_scripts/scripts/l10n_lu/18.0.2.2/upgrade_analysis.txt" TargetMode="External"/><Relationship Id="rId384" Type="http://schemas.openxmlformats.org/officeDocument/2006/relationships/hyperlink" Target="src/env_18.0/src/openupgrade/openupgrade_scripts/scripts/payment_razorpay/18.0.1.0/upgrade_analysis.txt" TargetMode="External"/><Relationship Id="rId202" Type="http://schemas.openxmlformats.org/officeDocument/2006/relationships/hyperlink" Target="src/env_17.0/src/openupgrade/openupgrade_scripts/scripts/spreadsheet/17.0.1.0/upgrade_analysis.txt" TargetMode="External"/><Relationship Id="rId244" Type="http://schemas.openxmlformats.org/officeDocument/2006/relationships/hyperlink" Target="src/env_18.0/src/openupgrade/openupgrade_scripts/scripts/account/18.0.1.3/upgrade_analysis.txt" TargetMode="External"/><Relationship Id="rId39" Type="http://schemas.openxmlformats.org/officeDocument/2006/relationships/hyperlink" Target="src/env_17.0/src/openupgrade/openupgrade_scripts/scripts/hr_org_chart/17.0.1.0/upgrade_analysis.txt" TargetMode="External"/><Relationship Id="rId286" Type="http://schemas.openxmlformats.org/officeDocument/2006/relationships/hyperlink" Target="src/env_18.0/src/openupgrade/openupgrade_scripts/scripts/hr_skills_survey/18.0.1.0/upgrade_analysis.txt" TargetMode="External"/><Relationship Id="rId451" Type="http://schemas.openxmlformats.org/officeDocument/2006/relationships/hyperlink" Target="src/env_18.0/src/openupgrade/openupgrade_scripts/scripts/website_sale_collect/18.0.1.0/upgrade_analysis.txt" TargetMode="External"/><Relationship Id="rId50" Type="http://schemas.openxmlformats.org/officeDocument/2006/relationships/hyperlink" Target="src/env_17.0/src/openupgrade/openupgrade_scripts/scripts/im_livechat/17.0.1.0/upgrade_analysis.txt" TargetMode="External"/><Relationship Id="rId104" Type="http://schemas.openxmlformats.org/officeDocument/2006/relationships/hyperlink" Target="src/env_17.0/src/openupgrade/openupgrade_scripts/scripts/l10n_ke_edi_tremol/17.0.1.0/upgrade_analysis.txt" TargetMode="External"/><Relationship Id="rId146" Type="http://schemas.openxmlformats.org/officeDocument/2006/relationships/hyperlink" Target="src/env_17.0/src/openupgrade/openupgrade_scripts/scripts/mail_plugin/17.0.1.0/upgrade_analysis.txt" TargetMode="External"/><Relationship Id="rId188" Type="http://schemas.openxmlformats.org/officeDocument/2006/relationships/hyperlink" Target="src/env_17.0/src/openupgrade/openupgrade_scripts/scripts/sale/17.0.1.2/upgrade_analysis.txt" TargetMode="External"/><Relationship Id="rId311" Type="http://schemas.openxmlformats.org/officeDocument/2006/relationships/hyperlink" Target="src/env_18.0/src/openupgrade/openupgrade_scripts/scripts/l10n_din5008_stock/18.0.1.0/upgrade_analysis.txt" TargetMode="External"/><Relationship Id="rId353" Type="http://schemas.openxmlformats.org/officeDocument/2006/relationships/hyperlink" Target="src/env_18.0/src/openupgrade/openupgrade_scripts/scripts/l10n_pk/18.0.1.1/upgrade_analysis.txt" TargetMode="External"/><Relationship Id="rId395" Type="http://schemas.openxmlformats.org/officeDocument/2006/relationships/hyperlink" Target="src/env_18.0/src/openupgrade/openupgrade_scripts/scripts/pos_razorpay/18.0.1.0/upgrade_analysis.txt" TargetMode="External"/><Relationship Id="rId409" Type="http://schemas.openxmlformats.org/officeDocument/2006/relationships/hyperlink" Target="src/env_18.0/src/openupgrade/openupgrade_scripts/scripts/purchase_requisition/18.0.0.1/upgrade_analysis.txt" TargetMode="External"/><Relationship Id="rId92" Type="http://schemas.openxmlformats.org/officeDocument/2006/relationships/hyperlink" Target="src/env_17.0/src/openupgrade/openupgrade_scripts/scripts/l10n_in/17.0.2.0/upgrade_analysis.txt" TargetMode="External"/><Relationship Id="rId213" Type="http://schemas.openxmlformats.org/officeDocument/2006/relationships/hyperlink" Target="src/env_17.0/src/openupgrade/openupgrade_scripts/scripts/web_tour/17.0.0.1/upgrade_analysis.txt" TargetMode="External"/><Relationship Id="rId420" Type="http://schemas.openxmlformats.org/officeDocument/2006/relationships/hyperlink" Target="src/env_18.0/src/openupgrade/openupgrade_scripts/scripts/sale_purchase/18.0.1.0/upgrade_analysi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760E-9A00-4322-8563-7F365BBD0BB6}">
  <dimension ref="A1:AB716"/>
  <sheetViews>
    <sheetView tabSelected="1" workbookViewId="0">
      <pane ySplit="3" topLeftCell="A4" activePane="bottomLeft" state="frozen"/>
      <selection pane="bottomLeft" activeCell="A716" sqref="A3:A716"/>
    </sheetView>
  </sheetViews>
  <sheetFormatPr baseColWidth="10" defaultRowHeight="15" x14ac:dyDescent="0.25"/>
  <cols>
    <col min="1" max="1" width="48.7109375" bestFit="1" customWidth="1"/>
    <col min="2" max="6" width="8" bestFit="1" customWidth="1"/>
    <col min="7" max="9" width="9" bestFit="1" customWidth="1"/>
    <col min="10" max="10" width="46.42578125" bestFit="1" customWidth="1"/>
    <col min="11" max="11" width="15.7109375" bestFit="1" customWidth="1"/>
    <col min="12" max="12" width="15.7109375" style="27" customWidth="1"/>
    <col min="13" max="13" width="15.7109375" bestFit="1" customWidth="1"/>
    <col min="14" max="14" width="12.140625" bestFit="1" customWidth="1"/>
    <col min="15" max="15" width="7.5703125" bestFit="1" customWidth="1"/>
    <col min="16" max="16" width="11.5703125" bestFit="1" customWidth="1"/>
    <col min="17" max="17" width="8" bestFit="1" customWidth="1"/>
    <col min="18" max="18" width="5.140625" bestFit="1" customWidth="1"/>
    <col min="19" max="19" width="4.85546875" bestFit="1" customWidth="1"/>
    <col min="20" max="21" width="7.85546875" bestFit="1" customWidth="1"/>
    <col min="22" max="22" width="8.140625" bestFit="1" customWidth="1"/>
    <col min="25" max="25" width="7.42578125" bestFit="1" customWidth="1"/>
    <col min="26" max="26" width="7.85546875" bestFit="1" customWidth="1"/>
    <col min="27" max="27" width="4.85546875" bestFit="1" customWidth="1"/>
    <col min="28" max="28" width="6.140625" bestFit="1" customWidth="1"/>
  </cols>
  <sheetData>
    <row r="1" spans="1:28" x14ac:dyDescent="0.25">
      <c r="O1">
        <v>1000</v>
      </c>
      <c r="Q1" s="10" t="s">
        <v>1039</v>
      </c>
      <c r="R1">
        <v>1000</v>
      </c>
      <c r="S1">
        <v>10</v>
      </c>
      <c r="T1">
        <v>10</v>
      </c>
      <c r="U1">
        <v>10</v>
      </c>
      <c r="V1">
        <v>5</v>
      </c>
      <c r="W1">
        <v>5</v>
      </c>
      <c r="X1">
        <v>5</v>
      </c>
      <c r="Y1">
        <v>3</v>
      </c>
      <c r="Z1">
        <v>1</v>
      </c>
      <c r="AA1">
        <v>1</v>
      </c>
      <c r="AB1">
        <v>1</v>
      </c>
    </row>
    <row r="3" spans="1:28" s="10" customFormat="1" x14ac:dyDescent="0.25">
      <c r="A3" s="10" t="str">
        <f>J3&amp;";"&amp;K3&amp;";"&amp;B3&amp;";"&amp;C3&amp;";"&amp;D3&amp;";"&amp;E3&amp;";"&amp;F3&amp;";"&amp;G3&amp;";"&amp;H3&amp;";"&amp;I3</f>
        <v>App;User Group;1;2;3;4;5;6;7;8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26" t="s">
        <v>754</v>
      </c>
      <c r="K3" s="26" t="s">
        <v>1061</v>
      </c>
      <c r="L3" s="28" t="s">
        <v>1166</v>
      </c>
      <c r="M3" s="10" t="s">
        <v>1163</v>
      </c>
      <c r="N3" s="10" t="s">
        <v>1164</v>
      </c>
      <c r="O3" s="26" t="s">
        <v>1162</v>
      </c>
      <c r="P3" s="26" t="s">
        <v>1165</v>
      </c>
      <c r="Q3" s="26" t="s">
        <v>1040</v>
      </c>
      <c r="R3" s="10" t="s">
        <v>775</v>
      </c>
      <c r="S3" s="10" t="s">
        <v>437</v>
      </c>
      <c r="T3" s="10" t="s">
        <v>540</v>
      </c>
      <c r="U3" s="10" t="s">
        <v>0</v>
      </c>
      <c r="V3" s="10" t="s">
        <v>672</v>
      </c>
      <c r="W3" s="10" t="s">
        <v>1044</v>
      </c>
      <c r="X3" s="10" t="s">
        <v>1047</v>
      </c>
      <c r="Y3" s="10" t="s">
        <v>1068</v>
      </c>
      <c r="Z3" s="10" t="s">
        <v>1160</v>
      </c>
      <c r="AA3" s="10" t="s">
        <v>1161</v>
      </c>
      <c r="AB3" s="10" t="s">
        <v>1135</v>
      </c>
    </row>
    <row r="4" spans="1:28" x14ac:dyDescent="0.25">
      <c r="A4" s="25" t="str">
        <f>J4&amp;";"&amp;K4&amp;";"&amp;B4&amp;";"&amp;C4&amp;";"&amp;D4&amp;";"&amp;E4&amp;";"&amp;F4&amp;";"&amp;G4&amp;";"&amp;H4&amp;";"&amp;I4</f>
        <v>account;base.group_user;24;48;72;96;120;144;168;192</v>
      </c>
      <c r="B4">
        <f>$P4*MIN($Q4,B$3)</f>
        <v>24</v>
      </c>
      <c r="C4">
        <f t="shared" ref="C4:I19" si="0">$P4*MIN($Q4,C$3)</f>
        <v>48</v>
      </c>
      <c r="D4">
        <f t="shared" si="0"/>
        <v>72</v>
      </c>
      <c r="E4">
        <f t="shared" si="0"/>
        <v>96</v>
      </c>
      <c r="F4">
        <f t="shared" si="0"/>
        <v>120</v>
      </c>
      <c r="G4">
        <f t="shared" si="0"/>
        <v>144</v>
      </c>
      <c r="H4">
        <f t="shared" si="0"/>
        <v>168</v>
      </c>
      <c r="I4">
        <f t="shared" si="0"/>
        <v>192</v>
      </c>
      <c r="J4" s="12" t="s">
        <v>0</v>
      </c>
      <c r="K4" s="14" t="s">
        <v>1060</v>
      </c>
      <c r="L4" s="29"/>
      <c r="M4" s="14">
        <f>INDEX('Pivot Analysis'!A:B,MATCH(J4,'Pivot Analysis'!B:B,0),1)</f>
        <v>240</v>
      </c>
      <c r="N4" s="14">
        <f>INDEX(Cloc!E:F,MATCH(J4,Cloc!F:F,0),1)</f>
        <v>2988.36</v>
      </c>
      <c r="O4" s="14">
        <f>IFERROR(IFERROR(IF(L4&lt;&gt;"",L4,M4),N4),$O$1)</f>
        <v>240</v>
      </c>
      <c r="P4" s="14">
        <f>O4/Q4</f>
        <v>24</v>
      </c>
      <c r="Q4">
        <f>MAX(1,SUMPRODUCT($R$1:$AD$1,R4:AD4))</f>
        <v>10</v>
      </c>
      <c r="U4">
        <v>1</v>
      </c>
      <c r="X4" t="str">
        <f>IF(SUM(R4:W4)=0,VLOOKUP(J4,#REF!,1,0),"")</f>
        <v/>
      </c>
      <c r="Y4" t="str">
        <f>IF(SUM(R4:X4)&gt;0,"",VLOOKUP(J4,'Apps-from-odoo'!A:A,1,0))</f>
        <v/>
      </c>
    </row>
    <row r="5" spans="1:28" x14ac:dyDescent="0.25">
      <c r="A5" s="25" t="str">
        <f t="shared" ref="A5:A8" si="1">J5&amp;";"&amp;K5&amp;";"&amp;B5&amp;";"&amp;C5&amp;";"&amp;D5&amp;";"&amp;E5&amp;";"&amp;F5&amp;";"&amp;G5&amp;";"&amp;H5&amp;";"&amp;I5</f>
        <v>account_audit_trail;base.group_user;0;0;0;0;0;0;0;0</v>
      </c>
      <c r="B5">
        <f t="shared" ref="B5:I20" si="2">$P5*MIN($Q5,B$3)</f>
        <v>0</v>
      </c>
      <c r="C5">
        <f t="shared" si="0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 s="12" t="s">
        <v>765</v>
      </c>
      <c r="K5" s="14" t="s">
        <v>1060</v>
      </c>
      <c r="L5" s="29"/>
      <c r="M5" s="14">
        <f>INDEX('Pivot Analysis'!A:B,MATCH(J5,'Pivot Analysis'!B:B,0),1)</f>
        <v>0</v>
      </c>
      <c r="N5" s="14" t="e">
        <f>INDEX(Cloc!E:F,MATCH(J5,Cloc!F:F,0),1)</f>
        <v>#N/A</v>
      </c>
      <c r="O5" s="14">
        <f t="shared" ref="O5:O68" si="3">IFERROR(IFERROR(IF(L5&lt;&gt;"",L5,M5),N5),$O$1)</f>
        <v>0</v>
      </c>
      <c r="P5" s="14">
        <f>O5/Q5</f>
        <v>0</v>
      </c>
      <c r="Q5">
        <f>MAX(1,SUMPRODUCT($R$1:$AD$1,R5:AD5))</f>
        <v>1</v>
      </c>
    </row>
    <row r="6" spans="1:28" x14ac:dyDescent="0.25">
      <c r="A6" s="25" t="str">
        <f t="shared" si="1"/>
        <v>account_check_printing;base.group_user;7,5;7,5;7,5;7,5;7,5;7,5;7,5;7,5</v>
      </c>
      <c r="B6">
        <f t="shared" si="2"/>
        <v>7.5</v>
      </c>
      <c r="C6">
        <f t="shared" si="0"/>
        <v>7.5</v>
      </c>
      <c r="D6">
        <f t="shared" si="0"/>
        <v>7.5</v>
      </c>
      <c r="E6">
        <f t="shared" si="0"/>
        <v>7.5</v>
      </c>
      <c r="F6">
        <f t="shared" si="0"/>
        <v>7.5</v>
      </c>
      <c r="G6">
        <f t="shared" si="0"/>
        <v>7.5</v>
      </c>
      <c r="H6">
        <f t="shared" si="0"/>
        <v>7.5</v>
      </c>
      <c r="I6">
        <f t="shared" si="0"/>
        <v>7.5</v>
      </c>
      <c r="J6" s="12" t="s">
        <v>4</v>
      </c>
      <c r="K6" s="14" t="s">
        <v>1060</v>
      </c>
      <c r="L6" s="29"/>
      <c r="M6" s="14">
        <f>INDEX('Pivot Analysis'!A:B,MATCH(J6,'Pivot Analysis'!B:B,0),1)</f>
        <v>7.5</v>
      </c>
      <c r="N6" s="14" t="e">
        <f>INDEX(Cloc!E:F,MATCH(J6,Cloc!F:F,0),1)</f>
        <v>#N/A</v>
      </c>
      <c r="O6" s="14">
        <f t="shared" si="3"/>
        <v>7.5</v>
      </c>
      <c r="P6" s="14">
        <f>O6/Q6</f>
        <v>7.5</v>
      </c>
      <c r="Q6">
        <f>MAX(1,SUMPRODUCT($R$1:$AD$1,R6:AD6))</f>
        <v>1</v>
      </c>
    </row>
    <row r="7" spans="1:28" x14ac:dyDescent="0.25">
      <c r="A7" s="25" t="str">
        <f t="shared" si="1"/>
        <v>account_debit_note;base.group_user;34,5;34,5;34,5;34,5;34,5;34,5;34,5;34,5</v>
      </c>
      <c r="B7">
        <f t="shared" si="2"/>
        <v>34.5</v>
      </c>
      <c r="C7">
        <f t="shared" si="0"/>
        <v>34.5</v>
      </c>
      <c r="D7">
        <f t="shared" si="0"/>
        <v>34.5</v>
      </c>
      <c r="E7">
        <f t="shared" si="0"/>
        <v>34.5</v>
      </c>
      <c r="F7">
        <f t="shared" si="0"/>
        <v>34.5</v>
      </c>
      <c r="G7">
        <f t="shared" si="0"/>
        <v>34.5</v>
      </c>
      <c r="H7">
        <f t="shared" si="0"/>
        <v>34.5</v>
      </c>
      <c r="I7">
        <f t="shared" si="0"/>
        <v>34.5</v>
      </c>
      <c r="J7" s="12" t="s">
        <v>6</v>
      </c>
      <c r="K7" s="14" t="s">
        <v>1060</v>
      </c>
      <c r="L7" s="29"/>
      <c r="M7" s="14">
        <f>INDEX('Pivot Analysis'!A:B,MATCH(J7,'Pivot Analysis'!B:B,0),1)</f>
        <v>34.5</v>
      </c>
      <c r="N7" s="14" t="e">
        <f>INDEX(Cloc!E:F,MATCH(J7,Cloc!F:F,0),1)</f>
        <v>#N/A</v>
      </c>
      <c r="O7" s="14">
        <f t="shared" si="3"/>
        <v>34.5</v>
      </c>
      <c r="P7" s="14">
        <f>O7/Q7</f>
        <v>34.5</v>
      </c>
      <c r="Q7">
        <f>MAX(1,SUMPRODUCT($R$1:$AD$1,R7:AD7))</f>
        <v>1</v>
      </c>
    </row>
    <row r="8" spans="1:28" x14ac:dyDescent="0.25">
      <c r="A8" s="25" t="str">
        <f t="shared" si="1"/>
        <v>account_edi;base.group_user;0;0;0;0;0;0;0;0</v>
      </c>
      <c r="B8">
        <f t="shared" si="2"/>
        <v>0</v>
      </c>
      <c r="C8">
        <f t="shared" si="0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 s="12" t="s">
        <v>9</v>
      </c>
      <c r="K8" s="14" t="s">
        <v>1060</v>
      </c>
      <c r="L8" s="29"/>
      <c r="M8" s="14">
        <f>INDEX('Pivot Analysis'!A:B,MATCH(J8,'Pivot Analysis'!B:B,0),1)</f>
        <v>0</v>
      </c>
      <c r="N8" s="14" t="e">
        <f>INDEX(Cloc!E:F,MATCH(J8,Cloc!F:F,0),1)</f>
        <v>#N/A</v>
      </c>
      <c r="O8" s="14">
        <f t="shared" si="3"/>
        <v>0</v>
      </c>
      <c r="P8" s="14">
        <f>O8/Q8</f>
        <v>0</v>
      </c>
      <c r="Q8">
        <f>MAX(1,SUMPRODUCT($R$1:$AD$1,R8:AD8))</f>
        <v>1</v>
      </c>
    </row>
    <row r="9" spans="1:28" x14ac:dyDescent="0.25">
      <c r="A9" s="25" t="str">
        <f t="shared" ref="A9:A72" si="4">J9&amp;";"&amp;K9&amp;";"&amp;B9&amp;";"&amp;C9&amp;";"&amp;D9&amp;";"&amp;E9&amp;";"&amp;F9&amp;";"&amp;G9&amp;";"&amp;H9&amp;";"&amp;I9</f>
        <v>account_edi_proxy_client;base.group_user;81;81;81;81;81;81;81;81</v>
      </c>
      <c r="B9">
        <f t="shared" si="2"/>
        <v>81</v>
      </c>
      <c r="C9">
        <f t="shared" si="0"/>
        <v>81</v>
      </c>
      <c r="D9">
        <f t="shared" si="0"/>
        <v>81</v>
      </c>
      <c r="E9">
        <f t="shared" si="0"/>
        <v>81</v>
      </c>
      <c r="F9">
        <f t="shared" si="0"/>
        <v>81</v>
      </c>
      <c r="G9">
        <f t="shared" si="0"/>
        <v>81</v>
      </c>
      <c r="H9">
        <f t="shared" si="0"/>
        <v>81</v>
      </c>
      <c r="I9">
        <f t="shared" si="0"/>
        <v>81</v>
      </c>
      <c r="J9" s="12" t="s">
        <v>11</v>
      </c>
      <c r="K9" s="14" t="s">
        <v>1060</v>
      </c>
      <c r="L9" s="29"/>
      <c r="M9" s="14">
        <f>INDEX('Pivot Analysis'!A:B,MATCH(J9,'Pivot Analysis'!B:B,0),1)</f>
        <v>81</v>
      </c>
      <c r="N9" s="14" t="e">
        <f>INDEX(Cloc!E:F,MATCH(J9,Cloc!F:F,0),1)</f>
        <v>#N/A</v>
      </c>
      <c r="O9" s="14">
        <f t="shared" si="3"/>
        <v>81</v>
      </c>
      <c r="P9" s="14">
        <f>O9/Q9</f>
        <v>81</v>
      </c>
      <c r="Q9">
        <f>MAX(1,SUMPRODUCT($R$1:$AD$1,R9:AD9))</f>
        <v>1</v>
      </c>
    </row>
    <row r="10" spans="1:28" x14ac:dyDescent="0.25">
      <c r="A10" s="25" t="str">
        <f t="shared" si="4"/>
        <v>account_edi_ubl_cii;base.group_user;1,23;2,46;3,69;4,92;6,15;7,38;8,61;9,84</v>
      </c>
      <c r="B10">
        <f t="shared" si="2"/>
        <v>1.23</v>
      </c>
      <c r="C10">
        <f t="shared" si="0"/>
        <v>2.46</v>
      </c>
      <c r="D10">
        <f t="shared" si="0"/>
        <v>3.69</v>
      </c>
      <c r="E10">
        <f t="shared" si="0"/>
        <v>4.92</v>
      </c>
      <c r="F10">
        <f t="shared" si="0"/>
        <v>6.15</v>
      </c>
      <c r="G10">
        <f t="shared" si="0"/>
        <v>7.38</v>
      </c>
      <c r="H10">
        <f t="shared" si="0"/>
        <v>8.61</v>
      </c>
      <c r="I10">
        <f t="shared" si="0"/>
        <v>9.84</v>
      </c>
      <c r="J10" s="12" t="s">
        <v>14</v>
      </c>
      <c r="K10" s="14" t="s">
        <v>1060</v>
      </c>
      <c r="L10" s="29"/>
      <c r="M10" s="14">
        <f>INDEX('Pivot Analysis'!A:B,MATCH(J10,'Pivot Analysis'!B:B,0),1)</f>
        <v>12.299999999999999</v>
      </c>
      <c r="N10" s="14">
        <f>INDEX(Cloc!E:F,MATCH(J10,Cloc!F:F,0),1)</f>
        <v>284.10000000000002</v>
      </c>
      <c r="O10" s="14">
        <f t="shared" si="3"/>
        <v>12.299999999999999</v>
      </c>
      <c r="P10" s="14">
        <f>O10/Q10</f>
        <v>1.23</v>
      </c>
      <c r="Q10">
        <f>MAX(1,SUMPRODUCT($R$1:$AD$1,R10:AD10))</f>
        <v>10</v>
      </c>
      <c r="U10">
        <v>1</v>
      </c>
      <c r="X10" t="str">
        <f>IF(SUM(R10:W10)=0,VLOOKUP(J10,#REF!,1,0),"")</f>
        <v/>
      </c>
      <c r="Y10" t="str">
        <f>IF(SUM(R10:X10)&gt;0,"",VLOOKUP(J10,'Apps-from-odoo'!A:A,1,0))</f>
        <v/>
      </c>
    </row>
    <row r="11" spans="1:28" x14ac:dyDescent="0.25">
      <c r="A11" s="25" t="str">
        <f t="shared" si="4"/>
        <v>account_edi_ubl_cii_tax_extension;base.group_user;0;0;0;0;0;0;0;0</v>
      </c>
      <c r="B11">
        <f t="shared" si="2"/>
        <v>0</v>
      </c>
      <c r="C11">
        <f t="shared" si="0"/>
        <v>0</v>
      </c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 s="12" t="s">
        <v>16</v>
      </c>
      <c r="K11" s="14" t="s">
        <v>1060</v>
      </c>
      <c r="L11" s="29"/>
      <c r="M11" s="14">
        <f>INDEX('Pivot Analysis'!A:B,MATCH(J11,'Pivot Analysis'!B:B,0),1)</f>
        <v>0</v>
      </c>
      <c r="N11" s="14" t="e">
        <f>INDEX(Cloc!E:F,MATCH(J11,Cloc!F:F,0),1)</f>
        <v>#N/A</v>
      </c>
      <c r="O11" s="14">
        <f t="shared" si="3"/>
        <v>0</v>
      </c>
      <c r="P11" s="14">
        <f>O11/Q11</f>
        <v>0</v>
      </c>
      <c r="Q11">
        <f>MAX(1,SUMPRODUCT($R$1:$AD$1,R11:AD11))</f>
        <v>1</v>
      </c>
    </row>
    <row r="12" spans="1:28" x14ac:dyDescent="0.25">
      <c r="A12" s="25" t="str">
        <f t="shared" si="4"/>
        <v>account_fleet;base.group_user;1,5;3;4,5;6;7,5;7,5;7,5;7,5</v>
      </c>
      <c r="B12">
        <f t="shared" si="2"/>
        <v>1.5</v>
      </c>
      <c r="C12">
        <f t="shared" si="0"/>
        <v>3</v>
      </c>
      <c r="D12">
        <f t="shared" si="0"/>
        <v>4.5</v>
      </c>
      <c r="E12">
        <f t="shared" si="0"/>
        <v>6</v>
      </c>
      <c r="F12">
        <f t="shared" si="0"/>
        <v>7.5</v>
      </c>
      <c r="G12">
        <f t="shared" si="0"/>
        <v>7.5</v>
      </c>
      <c r="H12">
        <f t="shared" si="0"/>
        <v>7.5</v>
      </c>
      <c r="I12">
        <f t="shared" si="0"/>
        <v>7.5</v>
      </c>
      <c r="J12" s="12" t="s">
        <v>18</v>
      </c>
      <c r="K12" s="14" t="s">
        <v>1060</v>
      </c>
      <c r="L12" s="29"/>
      <c r="M12" s="14">
        <f>INDEX('Pivot Analysis'!A:B,MATCH(J12,'Pivot Analysis'!B:B,0),1)</f>
        <v>7.5</v>
      </c>
      <c r="N12" s="14">
        <f>INDEX(Cloc!E:F,MATCH(J12,Cloc!F:F,0),1)</f>
        <v>17.28</v>
      </c>
      <c r="O12" s="14">
        <f t="shared" si="3"/>
        <v>7.5</v>
      </c>
      <c r="P12" s="14">
        <f>O12/Q12</f>
        <v>1.5</v>
      </c>
      <c r="Q12">
        <f>MAX(1,SUMPRODUCT($R$1:$AD$1,R12:AD12))</f>
        <v>5</v>
      </c>
      <c r="X12">
        <v>1</v>
      </c>
      <c r="Y12" t="str">
        <f>IF(SUM(R12:X12)&gt;0,"",VLOOKUP(J12,'Apps-from-odoo'!A:A,1,0))</f>
        <v/>
      </c>
    </row>
    <row r="13" spans="1:28" x14ac:dyDescent="0.25">
      <c r="A13" s="25" t="str">
        <f t="shared" si="4"/>
        <v>account_lock;base.group_user;30;30;30;30;30;30;30;30</v>
      </c>
      <c r="B13">
        <f t="shared" si="2"/>
        <v>30</v>
      </c>
      <c r="C13">
        <f t="shared" si="0"/>
        <v>30</v>
      </c>
      <c r="D13">
        <f t="shared" si="0"/>
        <v>30</v>
      </c>
      <c r="E13">
        <f t="shared" si="0"/>
        <v>30</v>
      </c>
      <c r="F13">
        <f t="shared" si="0"/>
        <v>30</v>
      </c>
      <c r="G13">
        <f t="shared" si="0"/>
        <v>30</v>
      </c>
      <c r="H13">
        <f t="shared" si="0"/>
        <v>30</v>
      </c>
      <c r="I13">
        <f t="shared" si="0"/>
        <v>30</v>
      </c>
      <c r="J13" s="12" t="s">
        <v>19</v>
      </c>
      <c r="K13" s="14" t="s">
        <v>1060</v>
      </c>
      <c r="L13" s="29"/>
      <c r="M13" s="14">
        <f>INDEX('Pivot Analysis'!A:B,MATCH(J13,'Pivot Analysis'!B:B,0),1)</f>
        <v>30</v>
      </c>
      <c r="N13" s="14" t="e">
        <f>INDEX(Cloc!E:F,MATCH(J13,Cloc!F:F,0),1)</f>
        <v>#N/A</v>
      </c>
      <c r="O13" s="14">
        <f t="shared" si="3"/>
        <v>30</v>
      </c>
      <c r="P13" s="14">
        <f>O13/Q13</f>
        <v>30</v>
      </c>
      <c r="Q13">
        <f>MAX(1,SUMPRODUCT($R$1:$AD$1,R13:AD13))</f>
        <v>1</v>
      </c>
    </row>
    <row r="14" spans="1:28" x14ac:dyDescent="0.25">
      <c r="A14" s="25" t="str">
        <f t="shared" si="4"/>
        <v>account_payment;base.group_user;0,33;0,66;0,99;1,32;1,65;1,98;2,31;2,64</v>
      </c>
      <c r="B14">
        <f t="shared" si="2"/>
        <v>0.32999999999999996</v>
      </c>
      <c r="C14">
        <f t="shared" si="0"/>
        <v>0.65999999999999992</v>
      </c>
      <c r="D14">
        <f t="shared" si="0"/>
        <v>0.98999999999999988</v>
      </c>
      <c r="E14">
        <f t="shared" si="0"/>
        <v>1.3199999999999998</v>
      </c>
      <c r="F14">
        <f t="shared" si="0"/>
        <v>1.65</v>
      </c>
      <c r="G14">
        <f t="shared" si="0"/>
        <v>1.9799999999999998</v>
      </c>
      <c r="H14">
        <f t="shared" si="0"/>
        <v>2.3099999999999996</v>
      </c>
      <c r="I14">
        <f t="shared" si="0"/>
        <v>2.6399999999999997</v>
      </c>
      <c r="J14" s="12" t="s">
        <v>20</v>
      </c>
      <c r="K14" s="14" t="s">
        <v>1060</v>
      </c>
      <c r="L14" s="29"/>
      <c r="M14" s="14">
        <f>INDEX('Pivot Analysis'!A:B,MATCH(J14,'Pivot Analysis'!B:B,0),1)</f>
        <v>3.3</v>
      </c>
      <c r="N14" s="14">
        <f>INDEX(Cloc!E:F,MATCH(J14,Cloc!F:F,0),1)</f>
        <v>140.94</v>
      </c>
      <c r="O14" s="14">
        <f t="shared" si="3"/>
        <v>3.3</v>
      </c>
      <c r="P14" s="14">
        <f>O14/Q14</f>
        <v>0.32999999999999996</v>
      </c>
      <c r="Q14">
        <f>MAX(1,SUMPRODUCT($R$1:$AD$1,R14:AD14))</f>
        <v>10</v>
      </c>
      <c r="U14">
        <v>1</v>
      </c>
      <c r="X14" t="str">
        <f>IF(SUM(R14:W14)=0,VLOOKUP(J14,#REF!,1,0),"")</f>
        <v/>
      </c>
      <c r="Y14" t="str">
        <f>IF(SUM(R14:X14)&gt;0,"",VLOOKUP(J14,'Apps-from-odoo'!A:A,1,0))</f>
        <v/>
      </c>
    </row>
    <row r="15" spans="1:28" x14ac:dyDescent="0.25">
      <c r="A15" s="25" t="str">
        <f t="shared" si="4"/>
        <v>account_payment_invoice_online_payment_patch;base.group_user;0;0;0;0;0;0;0;0</v>
      </c>
      <c r="B15">
        <f t="shared" si="2"/>
        <v>0</v>
      </c>
      <c r="C15">
        <f t="shared" si="0"/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 s="12" t="s">
        <v>22</v>
      </c>
      <c r="K15" s="14" t="s">
        <v>1060</v>
      </c>
      <c r="L15" s="29"/>
      <c r="M15" s="14">
        <f>INDEX('Pivot Analysis'!A:B,MATCH(J15,'Pivot Analysis'!B:B,0),1)</f>
        <v>0</v>
      </c>
      <c r="N15" s="14" t="e">
        <f>INDEX(Cloc!E:F,MATCH(J15,Cloc!F:F,0),1)</f>
        <v>#N/A</v>
      </c>
      <c r="O15" s="14">
        <f t="shared" si="3"/>
        <v>0</v>
      </c>
      <c r="P15" s="14">
        <f>O15/Q15</f>
        <v>0</v>
      </c>
      <c r="Q15">
        <f>MAX(1,SUMPRODUCT($R$1:$AD$1,R15:AD15))</f>
        <v>1</v>
      </c>
    </row>
    <row r="16" spans="1:28" x14ac:dyDescent="0.25">
      <c r="A16" s="25" t="str">
        <f t="shared" si="4"/>
        <v>account_payment_term;base.group_user;0;0;0;0;0;0;0;0</v>
      </c>
      <c r="B16">
        <f t="shared" si="2"/>
        <v>0</v>
      </c>
      <c r="C16">
        <f t="shared" si="0"/>
        <v>0</v>
      </c>
      <c r="D16">
        <f t="shared" si="0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 s="12" t="s">
        <v>769</v>
      </c>
      <c r="K16" s="14" t="s">
        <v>1060</v>
      </c>
      <c r="L16" s="29"/>
      <c r="M16" s="14">
        <f>INDEX('Pivot Analysis'!A:B,MATCH(J16,'Pivot Analysis'!B:B,0),1)</f>
        <v>0</v>
      </c>
      <c r="N16" s="14" t="e">
        <f>INDEX(Cloc!E:F,MATCH(J16,Cloc!F:F,0),1)</f>
        <v>#N/A</v>
      </c>
      <c r="O16" s="14">
        <f t="shared" si="3"/>
        <v>0</v>
      </c>
      <c r="P16" s="14">
        <f>O16/Q16</f>
        <v>0</v>
      </c>
      <c r="Q16">
        <f>MAX(1,SUMPRODUCT($R$1:$AD$1,R16:AD16))</f>
        <v>1</v>
      </c>
    </row>
    <row r="17" spans="1:26" x14ac:dyDescent="0.25">
      <c r="A17" s="25" t="str">
        <f t="shared" si="4"/>
        <v>account_peppol;base.group_user;258;258;258;258;258;258;258;258</v>
      </c>
      <c r="B17">
        <f t="shared" si="2"/>
        <v>258</v>
      </c>
      <c r="C17">
        <f t="shared" si="0"/>
        <v>258</v>
      </c>
      <c r="D17">
        <f t="shared" si="0"/>
        <v>258</v>
      </c>
      <c r="E17">
        <f t="shared" si="0"/>
        <v>258</v>
      </c>
      <c r="F17">
        <f t="shared" si="0"/>
        <v>258</v>
      </c>
      <c r="G17">
        <f t="shared" si="0"/>
        <v>258</v>
      </c>
      <c r="H17">
        <f t="shared" si="0"/>
        <v>258</v>
      </c>
      <c r="I17">
        <f t="shared" si="0"/>
        <v>258</v>
      </c>
      <c r="J17" s="12" t="s">
        <v>770</v>
      </c>
      <c r="K17" s="14" t="s">
        <v>1060</v>
      </c>
      <c r="L17" s="29"/>
      <c r="M17" s="14">
        <f>INDEX('Pivot Analysis'!A:B,MATCH(J17,'Pivot Analysis'!B:B,0),1)</f>
        <v>258</v>
      </c>
      <c r="N17" s="14" t="e">
        <f>INDEX(Cloc!E:F,MATCH(J17,Cloc!F:F,0),1)</f>
        <v>#N/A</v>
      </c>
      <c r="O17" s="14">
        <f t="shared" si="3"/>
        <v>258</v>
      </c>
      <c r="P17" s="14">
        <f>O17/Q17</f>
        <v>258</v>
      </c>
      <c r="Q17">
        <f>MAX(1,SUMPRODUCT($R$1:$AD$1,R17:AD17))</f>
        <v>1</v>
      </c>
    </row>
    <row r="18" spans="1:26" x14ac:dyDescent="0.25">
      <c r="A18" s="25" t="str">
        <f t="shared" si="4"/>
        <v>account_qr_code_emv;base.group_user;45;45;45;45;45;45;45;45</v>
      </c>
      <c r="B18">
        <f t="shared" si="2"/>
        <v>45</v>
      </c>
      <c r="C18">
        <f t="shared" si="0"/>
        <v>45</v>
      </c>
      <c r="D18">
        <f t="shared" si="0"/>
        <v>45</v>
      </c>
      <c r="E18">
        <f t="shared" si="0"/>
        <v>45</v>
      </c>
      <c r="F18">
        <f t="shared" si="0"/>
        <v>45</v>
      </c>
      <c r="G18">
        <f t="shared" si="0"/>
        <v>45</v>
      </c>
      <c r="H18">
        <f t="shared" si="0"/>
        <v>45</v>
      </c>
      <c r="I18">
        <f t="shared" si="0"/>
        <v>45</v>
      </c>
      <c r="J18" s="12" t="s">
        <v>773</v>
      </c>
      <c r="K18" s="14" t="s">
        <v>1060</v>
      </c>
      <c r="L18" s="29"/>
      <c r="M18" s="14">
        <f>INDEX('Pivot Analysis'!A:B,MATCH(J18,'Pivot Analysis'!B:B,0),1)</f>
        <v>45</v>
      </c>
      <c r="N18" s="14" t="e">
        <f>INDEX(Cloc!E:F,MATCH(J18,Cloc!F:F,0),1)</f>
        <v>#N/A</v>
      </c>
      <c r="O18" s="14">
        <f t="shared" si="3"/>
        <v>45</v>
      </c>
      <c r="P18" s="14">
        <f>O18/Q18</f>
        <v>45</v>
      </c>
      <c r="Q18">
        <f>MAX(1,SUMPRODUCT($R$1:$AD$1,R18:AD18))</f>
        <v>1</v>
      </c>
    </row>
    <row r="19" spans="1:26" x14ac:dyDescent="0.25">
      <c r="A19" s="25" t="str">
        <f t="shared" si="4"/>
        <v>account_qr_code_sepa;base.group_user;3;3;3;3;3;3;3;3</v>
      </c>
      <c r="B19">
        <f t="shared" si="2"/>
        <v>3</v>
      </c>
      <c r="C19">
        <f t="shared" si="0"/>
        <v>3</v>
      </c>
      <c r="D19">
        <f t="shared" si="0"/>
        <v>3</v>
      </c>
      <c r="E19">
        <f t="shared" si="0"/>
        <v>3</v>
      </c>
      <c r="F19">
        <f t="shared" si="0"/>
        <v>3</v>
      </c>
      <c r="G19">
        <f t="shared" si="0"/>
        <v>3</v>
      </c>
      <c r="H19">
        <f t="shared" si="0"/>
        <v>3</v>
      </c>
      <c r="I19">
        <f t="shared" si="0"/>
        <v>3</v>
      </c>
      <c r="J19" s="12" t="s">
        <v>24</v>
      </c>
      <c r="K19" s="14" t="s">
        <v>1060</v>
      </c>
      <c r="L19" s="29"/>
      <c r="M19" s="14">
        <f>INDEX('Pivot Analysis'!A:B,MATCH(J19,'Pivot Analysis'!B:B,0),1)</f>
        <v>3</v>
      </c>
      <c r="N19" s="14" t="e">
        <f>INDEX(Cloc!E:F,MATCH(J19,Cloc!F:F,0),1)</f>
        <v>#N/A</v>
      </c>
      <c r="O19" s="14">
        <f t="shared" si="3"/>
        <v>3</v>
      </c>
      <c r="P19" s="14">
        <f>O19/Q19</f>
        <v>3</v>
      </c>
      <c r="Q19">
        <f>MAX(1,SUMPRODUCT($R$1:$AD$1,R19:AD19))</f>
        <v>1</v>
      </c>
    </row>
    <row r="20" spans="1:26" x14ac:dyDescent="0.25">
      <c r="A20" s="25" t="str">
        <f t="shared" si="4"/>
        <v>account_sequence;base.group_user;0;0;0;0;0;0;0;0</v>
      </c>
      <c r="B20">
        <f t="shared" si="2"/>
        <v>0</v>
      </c>
      <c r="C20">
        <f t="shared" si="2"/>
        <v>0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 s="12" t="s">
        <v>26</v>
      </c>
      <c r="K20" s="14" t="s">
        <v>1060</v>
      </c>
      <c r="L20" s="29"/>
      <c r="M20" s="14">
        <f>INDEX('Pivot Analysis'!A:B,MATCH(J20,'Pivot Analysis'!B:B,0),1)</f>
        <v>0</v>
      </c>
      <c r="N20" s="14" t="e">
        <f>INDEX(Cloc!E:F,MATCH(J20,Cloc!F:F,0),1)</f>
        <v>#N/A</v>
      </c>
      <c r="O20" s="14">
        <f t="shared" si="3"/>
        <v>0</v>
      </c>
      <c r="P20" s="14">
        <f>O20/Q20</f>
        <v>0</v>
      </c>
      <c r="Q20">
        <f>MAX(1,SUMPRODUCT($R$1:$AD$1,R20:AD20))</f>
        <v>1</v>
      </c>
    </row>
    <row r="21" spans="1:26" x14ac:dyDescent="0.25">
      <c r="A21" s="25" t="str">
        <f t="shared" si="4"/>
        <v>account_tax_python;base.group_user;82,5;82,5;82,5;82,5;82,5;82,5;82,5;82,5</v>
      </c>
      <c r="B21">
        <f t="shared" ref="B21:I84" si="5">$P21*MIN($Q21,B$3)</f>
        <v>82.5</v>
      </c>
      <c r="C21">
        <f t="shared" si="5"/>
        <v>82.5</v>
      </c>
      <c r="D21">
        <f t="shared" si="5"/>
        <v>82.5</v>
      </c>
      <c r="E21">
        <f t="shared" si="5"/>
        <v>82.5</v>
      </c>
      <c r="F21">
        <f t="shared" si="5"/>
        <v>82.5</v>
      </c>
      <c r="G21">
        <f t="shared" si="5"/>
        <v>82.5</v>
      </c>
      <c r="H21">
        <f t="shared" si="5"/>
        <v>82.5</v>
      </c>
      <c r="I21">
        <f t="shared" si="5"/>
        <v>82.5</v>
      </c>
      <c r="J21" s="12" t="s">
        <v>28</v>
      </c>
      <c r="K21" s="14" t="s">
        <v>1060</v>
      </c>
      <c r="L21" s="29"/>
      <c r="M21" s="14">
        <f>INDEX('Pivot Analysis'!A:B,MATCH(J21,'Pivot Analysis'!B:B,0),1)</f>
        <v>82.5</v>
      </c>
      <c r="N21" s="14" t="e">
        <f>INDEX(Cloc!E:F,MATCH(J21,Cloc!F:F,0),1)</f>
        <v>#N/A</v>
      </c>
      <c r="O21" s="14">
        <f t="shared" si="3"/>
        <v>82.5</v>
      </c>
      <c r="P21" s="14">
        <f>O21/Q21</f>
        <v>82.5</v>
      </c>
      <c r="Q21">
        <f>MAX(1,SUMPRODUCT($R$1:$AD$1,R21:AD21))</f>
        <v>1</v>
      </c>
    </row>
    <row r="22" spans="1:26" x14ac:dyDescent="0.25">
      <c r="A22" s="25" t="str">
        <f t="shared" si="4"/>
        <v>account_test;base.group_user;33;33;33;33;33;33;33;33</v>
      </c>
      <c r="B22">
        <f t="shared" si="5"/>
        <v>33</v>
      </c>
      <c r="C22">
        <f t="shared" si="5"/>
        <v>33</v>
      </c>
      <c r="D22">
        <f t="shared" si="5"/>
        <v>33</v>
      </c>
      <c r="E22">
        <f t="shared" si="5"/>
        <v>33</v>
      </c>
      <c r="F22">
        <f t="shared" si="5"/>
        <v>33</v>
      </c>
      <c r="G22">
        <f t="shared" si="5"/>
        <v>33</v>
      </c>
      <c r="H22">
        <f t="shared" si="5"/>
        <v>33</v>
      </c>
      <c r="I22">
        <f t="shared" si="5"/>
        <v>33</v>
      </c>
      <c r="J22" s="12" t="s">
        <v>30</v>
      </c>
      <c r="K22" s="14" t="s">
        <v>1060</v>
      </c>
      <c r="L22" s="29"/>
      <c r="M22" s="14">
        <f>INDEX('Pivot Analysis'!A:B,MATCH(J22,'Pivot Analysis'!B:B,0),1)</f>
        <v>33</v>
      </c>
      <c r="N22" s="14" t="e">
        <f>INDEX(Cloc!E:F,MATCH(J22,Cloc!F:F,0),1)</f>
        <v>#N/A</v>
      </c>
      <c r="O22" s="14">
        <f t="shared" si="3"/>
        <v>33</v>
      </c>
      <c r="P22" s="14">
        <f>O22/Q22</f>
        <v>33</v>
      </c>
      <c r="Q22">
        <f>MAX(1,SUMPRODUCT($R$1:$AD$1,R22:AD22))</f>
        <v>1</v>
      </c>
    </row>
    <row r="23" spans="1:26" x14ac:dyDescent="0.25">
      <c r="A23" s="25" t="str">
        <f t="shared" si="4"/>
        <v>account_update_tax_tags;base.group_user;0;0;0;0;0;0;0;0</v>
      </c>
      <c r="B23">
        <f t="shared" si="5"/>
        <v>0</v>
      </c>
      <c r="C23">
        <f t="shared" si="5"/>
        <v>0</v>
      </c>
      <c r="D23">
        <f t="shared" si="5"/>
        <v>0</v>
      </c>
      <c r="E23">
        <f t="shared" si="5"/>
        <v>0</v>
      </c>
      <c r="F23">
        <f t="shared" si="5"/>
        <v>0</v>
      </c>
      <c r="G23">
        <f t="shared" si="5"/>
        <v>0</v>
      </c>
      <c r="H23">
        <f t="shared" si="5"/>
        <v>0</v>
      </c>
      <c r="I23">
        <f t="shared" si="5"/>
        <v>0</v>
      </c>
      <c r="J23" s="12" t="s">
        <v>31</v>
      </c>
      <c r="K23" s="14" t="s">
        <v>1060</v>
      </c>
      <c r="L23" s="29"/>
      <c r="M23" s="14">
        <f>INDEX('Pivot Analysis'!A:B,MATCH(J23,'Pivot Analysis'!B:B,0),1)</f>
        <v>0</v>
      </c>
      <c r="N23" s="14" t="e">
        <f>INDEX(Cloc!E:F,MATCH(J23,Cloc!F:F,0),1)</f>
        <v>#N/A</v>
      </c>
      <c r="O23" s="14">
        <f t="shared" si="3"/>
        <v>0</v>
      </c>
      <c r="P23" s="14">
        <f>O23/Q23</f>
        <v>0</v>
      </c>
      <c r="Q23">
        <f>MAX(1,SUMPRODUCT($R$1:$AD$1,R23:AD23))</f>
        <v>1</v>
      </c>
    </row>
    <row r="24" spans="1:26" x14ac:dyDescent="0.25">
      <c r="A24" s="25" t="str">
        <f t="shared" si="4"/>
        <v>accountant;base.group_user;1000;1000;1000;1000;1000;1000;1000;1000</v>
      </c>
      <c r="B24">
        <f t="shared" si="5"/>
        <v>1000</v>
      </c>
      <c r="C24">
        <f t="shared" si="5"/>
        <v>1000</v>
      </c>
      <c r="D24">
        <f t="shared" si="5"/>
        <v>1000</v>
      </c>
      <c r="E24">
        <f t="shared" si="5"/>
        <v>1000</v>
      </c>
      <c r="F24">
        <f t="shared" si="5"/>
        <v>1000</v>
      </c>
      <c r="G24">
        <f t="shared" si="5"/>
        <v>1000</v>
      </c>
      <c r="H24">
        <f t="shared" si="5"/>
        <v>1000</v>
      </c>
      <c r="I24">
        <f t="shared" si="5"/>
        <v>1000</v>
      </c>
      <c r="J24" s="14" t="s">
        <v>1070</v>
      </c>
      <c r="K24" s="14" t="s">
        <v>1060</v>
      </c>
      <c r="L24" s="29"/>
      <c r="M24" s="14" t="e">
        <f>INDEX('Pivot Analysis'!A:B,MATCH(J24,'Pivot Analysis'!B:B,0),1)</f>
        <v>#N/A</v>
      </c>
      <c r="N24" s="14" t="e">
        <f>INDEX(Cloc!E:F,MATCH(J24,Cloc!F:F,0),1)</f>
        <v>#N/A</v>
      </c>
      <c r="O24" s="14">
        <f t="shared" si="3"/>
        <v>1000</v>
      </c>
      <c r="P24" s="14">
        <f>O24/Q24</f>
        <v>1000</v>
      </c>
      <c r="Q24">
        <f>MAX(1,SUMPRODUCT($R$1:$AD$1,R24:AD24))</f>
        <v>1</v>
      </c>
      <c r="Z24">
        <v>1</v>
      </c>
    </row>
    <row r="25" spans="1:26" x14ac:dyDescent="0.25">
      <c r="A25" s="25" t="str">
        <f t="shared" si="4"/>
        <v>analytic;base.group_user;0;0;0;0;0;0;0;0</v>
      </c>
      <c r="B25">
        <f t="shared" si="5"/>
        <v>0</v>
      </c>
      <c r="C25">
        <f t="shared" si="5"/>
        <v>0</v>
      </c>
      <c r="D25">
        <f t="shared" si="5"/>
        <v>0</v>
      </c>
      <c r="E25">
        <f t="shared" si="5"/>
        <v>0</v>
      </c>
      <c r="F25">
        <f t="shared" si="5"/>
        <v>0</v>
      </c>
      <c r="G25">
        <f t="shared" si="5"/>
        <v>0</v>
      </c>
      <c r="H25">
        <f t="shared" si="5"/>
        <v>0</v>
      </c>
      <c r="I25">
        <f t="shared" si="5"/>
        <v>0</v>
      </c>
      <c r="J25" s="12" t="s">
        <v>32</v>
      </c>
      <c r="K25" s="14" t="s">
        <v>1060</v>
      </c>
      <c r="L25" s="29"/>
      <c r="M25" s="14">
        <f>INDEX('Pivot Analysis'!A:B,MATCH(J25,'Pivot Analysis'!B:B,0),1)</f>
        <v>0</v>
      </c>
      <c r="N25" s="14">
        <f>INDEX(Cloc!E:F,MATCH(J25,Cloc!F:F,0),1)</f>
        <v>150</v>
      </c>
      <c r="O25" s="14">
        <f t="shared" si="3"/>
        <v>0</v>
      </c>
      <c r="P25" s="14">
        <f>O25/Q25</f>
        <v>0</v>
      </c>
      <c r="Q25">
        <f>MAX(1,SUMPRODUCT($R$1:$AD$1,R25:AD25))</f>
        <v>10</v>
      </c>
      <c r="U25">
        <v>1</v>
      </c>
      <c r="X25" t="str">
        <f>IF(SUM(R25:W25)=0,VLOOKUP(J25,#REF!,1,0),"")</f>
        <v/>
      </c>
      <c r="Y25" t="str">
        <f>IF(SUM(R25:X25)&gt;0,"",VLOOKUP(J25,'Apps-from-odoo'!A:A,1,0))</f>
        <v/>
      </c>
    </row>
    <row r="26" spans="1:26" x14ac:dyDescent="0.25">
      <c r="A26" s="25" t="str">
        <f t="shared" si="4"/>
        <v>association;base.group_user;0;0;0;0;0;0;0;0</v>
      </c>
      <c r="B26">
        <f t="shared" si="5"/>
        <v>0</v>
      </c>
      <c r="C26">
        <f t="shared" si="5"/>
        <v>0</v>
      </c>
      <c r="D26">
        <f t="shared" si="5"/>
        <v>0</v>
      </c>
      <c r="E26">
        <f t="shared" si="5"/>
        <v>0</v>
      </c>
      <c r="F26">
        <f t="shared" si="5"/>
        <v>0</v>
      </c>
      <c r="G26">
        <f t="shared" si="5"/>
        <v>0</v>
      </c>
      <c r="H26">
        <f t="shared" si="5"/>
        <v>0</v>
      </c>
      <c r="I26">
        <f t="shared" si="5"/>
        <v>0</v>
      </c>
      <c r="J26" s="12" t="s">
        <v>34</v>
      </c>
      <c r="K26" s="14" t="s">
        <v>1060</v>
      </c>
      <c r="L26" s="29"/>
      <c r="M26" s="14">
        <f>INDEX('Pivot Analysis'!A:B,MATCH(J26,'Pivot Analysis'!B:B,0),1)</f>
        <v>0</v>
      </c>
      <c r="N26" s="14" t="e">
        <f>INDEX(Cloc!E:F,MATCH(J26,Cloc!F:F,0),1)</f>
        <v>#N/A</v>
      </c>
      <c r="O26" s="14">
        <f t="shared" si="3"/>
        <v>0</v>
      </c>
      <c r="P26" s="14">
        <f>O26/Q26</f>
        <v>0</v>
      </c>
      <c r="Q26">
        <f>MAX(1,SUMPRODUCT($R$1:$AD$1,R26:AD26))</f>
        <v>1</v>
      </c>
    </row>
    <row r="27" spans="1:26" x14ac:dyDescent="0.25">
      <c r="A27" s="25" t="str">
        <f t="shared" si="4"/>
        <v>attachment_indexation;base.group_user;1;2;3;3;3;3;3;3</v>
      </c>
      <c r="B27">
        <f t="shared" si="5"/>
        <v>1</v>
      </c>
      <c r="C27">
        <f t="shared" si="5"/>
        <v>2</v>
      </c>
      <c r="D27">
        <f t="shared" si="5"/>
        <v>3</v>
      </c>
      <c r="E27">
        <f t="shared" si="5"/>
        <v>3</v>
      </c>
      <c r="F27">
        <f t="shared" si="5"/>
        <v>3</v>
      </c>
      <c r="G27">
        <f t="shared" si="5"/>
        <v>3</v>
      </c>
      <c r="H27">
        <f t="shared" si="5"/>
        <v>3</v>
      </c>
      <c r="I27">
        <f t="shared" si="5"/>
        <v>3</v>
      </c>
      <c r="J27" s="12" t="s">
        <v>36</v>
      </c>
      <c r="K27" s="14" t="s">
        <v>1060</v>
      </c>
      <c r="L27" s="29"/>
      <c r="M27" s="14">
        <f>INDEX('Pivot Analysis'!A:B,MATCH(J27,'Pivot Analysis'!B:B,0),1)</f>
        <v>3</v>
      </c>
      <c r="N27" s="14">
        <f>INDEX(Cloc!E:F,MATCH(J27,Cloc!F:F,0),1)</f>
        <v>9.3000000000000007</v>
      </c>
      <c r="O27" s="14">
        <f t="shared" si="3"/>
        <v>3</v>
      </c>
      <c r="P27" s="14">
        <f>O27/Q27</f>
        <v>1</v>
      </c>
      <c r="Q27">
        <f>MAX(1,SUMPRODUCT($R$1:$AD$1,R27:AD27))</f>
        <v>3</v>
      </c>
      <c r="Y27">
        <v>1</v>
      </c>
    </row>
    <row r="28" spans="1:26" x14ac:dyDescent="0.25">
      <c r="A28" s="25" t="str">
        <f t="shared" si="4"/>
        <v>auth_ldap;base.group_user;0;0;0;0;0;0;0;0</v>
      </c>
      <c r="B28">
        <f t="shared" si="5"/>
        <v>0</v>
      </c>
      <c r="C28">
        <f t="shared" si="5"/>
        <v>0</v>
      </c>
      <c r="D28">
        <f t="shared" si="5"/>
        <v>0</v>
      </c>
      <c r="E28">
        <f t="shared" si="5"/>
        <v>0</v>
      </c>
      <c r="F28">
        <f t="shared" si="5"/>
        <v>0</v>
      </c>
      <c r="G28">
        <f t="shared" si="5"/>
        <v>0</v>
      </c>
      <c r="H28">
        <f t="shared" si="5"/>
        <v>0</v>
      </c>
      <c r="I28">
        <f t="shared" si="5"/>
        <v>0</v>
      </c>
      <c r="J28" s="12" t="s">
        <v>37</v>
      </c>
      <c r="K28" s="14" t="s">
        <v>1060</v>
      </c>
      <c r="L28" s="29"/>
      <c r="M28" s="14">
        <f>INDEX('Pivot Analysis'!A:B,MATCH(J28,'Pivot Analysis'!B:B,0),1)</f>
        <v>0</v>
      </c>
      <c r="N28" s="14" t="e">
        <f>INDEX(Cloc!E:F,MATCH(J28,Cloc!F:F,0),1)</f>
        <v>#N/A</v>
      </c>
      <c r="O28" s="14">
        <f t="shared" si="3"/>
        <v>0</v>
      </c>
      <c r="P28" s="14">
        <f>O28/Q28</f>
        <v>0</v>
      </c>
      <c r="Q28">
        <f>MAX(1,SUMPRODUCT($R$1:$AD$1,R28:AD28))</f>
        <v>1</v>
      </c>
    </row>
    <row r="29" spans="1:26" x14ac:dyDescent="0.25">
      <c r="A29" s="25" t="str">
        <f t="shared" si="4"/>
        <v>auth_oauth;base.group_user;0;0;0;0;0;0;0;0</v>
      </c>
      <c r="B29">
        <f t="shared" si="5"/>
        <v>0</v>
      </c>
      <c r="C29">
        <f t="shared" si="5"/>
        <v>0</v>
      </c>
      <c r="D29">
        <f t="shared" si="5"/>
        <v>0</v>
      </c>
      <c r="E29">
        <f t="shared" si="5"/>
        <v>0</v>
      </c>
      <c r="F29">
        <f t="shared" si="5"/>
        <v>0</v>
      </c>
      <c r="G29">
        <f t="shared" si="5"/>
        <v>0</v>
      </c>
      <c r="H29">
        <f t="shared" si="5"/>
        <v>0</v>
      </c>
      <c r="I29">
        <f t="shared" si="5"/>
        <v>0</v>
      </c>
      <c r="J29" s="12" t="s">
        <v>38</v>
      </c>
      <c r="K29" s="14" t="s">
        <v>1060</v>
      </c>
      <c r="L29" s="29"/>
      <c r="M29" s="14">
        <f>INDEX('Pivot Analysis'!A:B,MATCH(J29,'Pivot Analysis'!B:B,0),1)</f>
        <v>0</v>
      </c>
      <c r="N29" s="14" t="e">
        <f>INDEX(Cloc!E:F,MATCH(J29,Cloc!F:F,0),1)</f>
        <v>#N/A</v>
      </c>
      <c r="O29" s="14">
        <f t="shared" si="3"/>
        <v>0</v>
      </c>
      <c r="P29" s="14">
        <f>O29/Q29</f>
        <v>0</v>
      </c>
      <c r="Q29">
        <f>MAX(1,SUMPRODUCT($R$1:$AD$1,R29:AD29))</f>
        <v>1</v>
      </c>
    </row>
    <row r="30" spans="1:26" x14ac:dyDescent="0.25">
      <c r="A30" s="25" t="str">
        <f t="shared" si="4"/>
        <v>auth_passkey;base.group_user;1000;1000;1000;1000;1000;1000;1000;1000</v>
      </c>
      <c r="B30">
        <f t="shared" si="5"/>
        <v>1000</v>
      </c>
      <c r="C30">
        <f t="shared" si="5"/>
        <v>1000</v>
      </c>
      <c r="D30">
        <f t="shared" si="5"/>
        <v>1000</v>
      </c>
      <c r="E30">
        <f t="shared" si="5"/>
        <v>1000</v>
      </c>
      <c r="F30">
        <f t="shared" si="5"/>
        <v>1000</v>
      </c>
      <c r="G30">
        <f t="shared" si="5"/>
        <v>1000</v>
      </c>
      <c r="H30">
        <f t="shared" si="5"/>
        <v>1000</v>
      </c>
      <c r="I30">
        <f t="shared" si="5"/>
        <v>1000</v>
      </c>
      <c r="J30" s="14" t="s">
        <v>1085</v>
      </c>
      <c r="K30" s="14" t="s">
        <v>1060</v>
      </c>
      <c r="L30" s="29"/>
      <c r="M30" s="14" t="e">
        <f>INDEX('Pivot Analysis'!A:B,MATCH(J30,'Pivot Analysis'!B:B,0),1)</f>
        <v>#N/A</v>
      </c>
      <c r="N30" s="14" t="e">
        <f>INDEX(Cloc!E:F,MATCH(J30,Cloc!F:F,0),1)</f>
        <v>#N/A</v>
      </c>
      <c r="O30" s="14">
        <f t="shared" si="3"/>
        <v>1000</v>
      </c>
      <c r="P30" s="14">
        <f>O30/Q30</f>
        <v>1000</v>
      </c>
      <c r="Q30">
        <f>MAX(1,SUMPRODUCT($R$1:$AD$1,R30:AD30))</f>
        <v>1</v>
      </c>
      <c r="Z30">
        <v>1</v>
      </c>
    </row>
    <row r="31" spans="1:26" x14ac:dyDescent="0.25">
      <c r="A31" s="25" t="str">
        <f t="shared" si="4"/>
        <v>auth_password_policy;base.group_user;3;3;3;3;3;3;3;3</v>
      </c>
      <c r="B31">
        <f t="shared" si="5"/>
        <v>3</v>
      </c>
      <c r="C31">
        <f t="shared" si="5"/>
        <v>3</v>
      </c>
      <c r="D31">
        <f t="shared" si="5"/>
        <v>3</v>
      </c>
      <c r="E31">
        <f t="shared" si="5"/>
        <v>3</v>
      </c>
      <c r="F31">
        <f t="shared" si="5"/>
        <v>3</v>
      </c>
      <c r="G31">
        <f t="shared" si="5"/>
        <v>3</v>
      </c>
      <c r="H31">
        <f t="shared" si="5"/>
        <v>3</v>
      </c>
      <c r="I31">
        <f t="shared" si="5"/>
        <v>3</v>
      </c>
      <c r="J31" s="12" t="s">
        <v>39</v>
      </c>
      <c r="K31" s="14" t="s">
        <v>1060</v>
      </c>
      <c r="L31" s="29"/>
      <c r="M31" s="14">
        <f>INDEX('Pivot Analysis'!A:B,MATCH(J31,'Pivot Analysis'!B:B,0),1)</f>
        <v>3</v>
      </c>
      <c r="N31" s="14" t="e">
        <f>INDEX(Cloc!E:F,MATCH(J31,Cloc!F:F,0),1)</f>
        <v>#N/A</v>
      </c>
      <c r="O31" s="14">
        <f t="shared" si="3"/>
        <v>3</v>
      </c>
      <c r="P31" s="14">
        <f>O31/Q31</f>
        <v>3</v>
      </c>
      <c r="Q31">
        <f>MAX(1,SUMPRODUCT($R$1:$AD$1,R31:AD31))</f>
        <v>1</v>
      </c>
    </row>
    <row r="32" spans="1:26" x14ac:dyDescent="0.25">
      <c r="A32" s="25" t="str">
        <f t="shared" si="4"/>
        <v>auth_password_policy_portal;base.group_user;33;33;33;33;33;33;33;33</v>
      </c>
      <c r="B32">
        <f t="shared" si="5"/>
        <v>33</v>
      </c>
      <c r="C32">
        <f t="shared" si="5"/>
        <v>33</v>
      </c>
      <c r="D32">
        <f t="shared" si="5"/>
        <v>33</v>
      </c>
      <c r="E32">
        <f t="shared" si="5"/>
        <v>33</v>
      </c>
      <c r="F32">
        <f t="shared" si="5"/>
        <v>33</v>
      </c>
      <c r="G32">
        <f t="shared" si="5"/>
        <v>33</v>
      </c>
      <c r="H32">
        <f t="shared" si="5"/>
        <v>33</v>
      </c>
      <c r="I32">
        <f t="shared" si="5"/>
        <v>33</v>
      </c>
      <c r="J32" s="12" t="s">
        <v>40</v>
      </c>
      <c r="K32" s="14" t="s">
        <v>1060</v>
      </c>
      <c r="L32" s="29"/>
      <c r="M32" s="14">
        <f>INDEX('Pivot Analysis'!A:B,MATCH(J32,'Pivot Analysis'!B:B,0),1)</f>
        <v>33</v>
      </c>
      <c r="N32" s="14" t="e">
        <f>INDEX(Cloc!E:F,MATCH(J32,Cloc!F:F,0),1)</f>
        <v>#N/A</v>
      </c>
      <c r="O32" s="14">
        <f t="shared" si="3"/>
        <v>33</v>
      </c>
      <c r="P32" s="14">
        <f>O32/Q32</f>
        <v>33</v>
      </c>
      <c r="Q32">
        <f>MAX(1,SUMPRODUCT($R$1:$AD$1,R32:AD32))</f>
        <v>1</v>
      </c>
    </row>
    <row r="33" spans="1:28" x14ac:dyDescent="0.25">
      <c r="A33" s="25" t="str">
        <f t="shared" si="4"/>
        <v>auth_password_policy_signup;base.group_user;3;3;3;3;3;3;3;3</v>
      </c>
      <c r="B33">
        <f t="shared" si="5"/>
        <v>3</v>
      </c>
      <c r="C33">
        <f t="shared" si="5"/>
        <v>3</v>
      </c>
      <c r="D33">
        <f t="shared" si="5"/>
        <v>3</v>
      </c>
      <c r="E33">
        <f t="shared" si="5"/>
        <v>3</v>
      </c>
      <c r="F33">
        <f t="shared" si="5"/>
        <v>3</v>
      </c>
      <c r="G33">
        <f t="shared" si="5"/>
        <v>3</v>
      </c>
      <c r="H33">
        <f t="shared" si="5"/>
        <v>3</v>
      </c>
      <c r="I33">
        <f t="shared" si="5"/>
        <v>3</v>
      </c>
      <c r="J33" s="12" t="s">
        <v>41</v>
      </c>
      <c r="K33" s="14" t="s">
        <v>1060</v>
      </c>
      <c r="L33" s="29"/>
      <c r="M33" s="14">
        <f>INDEX('Pivot Analysis'!A:B,MATCH(J33,'Pivot Analysis'!B:B,0),1)</f>
        <v>3</v>
      </c>
      <c r="N33" s="14" t="e">
        <f>INDEX(Cloc!E:F,MATCH(J33,Cloc!F:F,0),1)</f>
        <v>#N/A</v>
      </c>
      <c r="O33" s="14">
        <f t="shared" si="3"/>
        <v>3</v>
      </c>
      <c r="P33" s="14">
        <f>O33/Q33</f>
        <v>3</v>
      </c>
      <c r="Q33">
        <f>MAX(1,SUMPRODUCT($R$1:$AD$1,R33:AD33))</f>
        <v>1</v>
      </c>
    </row>
    <row r="34" spans="1:28" x14ac:dyDescent="0.25">
      <c r="A34" s="25" t="str">
        <f t="shared" si="4"/>
        <v>auth_signup;base.group_user;0;0;0;0;0;0;0;0</v>
      </c>
      <c r="B34">
        <f t="shared" si="5"/>
        <v>0</v>
      </c>
      <c r="C34">
        <f t="shared" si="5"/>
        <v>0</v>
      </c>
      <c r="D34">
        <f t="shared" si="5"/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 s="12" t="s">
        <v>42</v>
      </c>
      <c r="K34" s="14" t="s">
        <v>1060</v>
      </c>
      <c r="L34" s="29"/>
      <c r="M34" s="14">
        <f>INDEX('Pivot Analysis'!A:B,MATCH(J34,'Pivot Analysis'!B:B,0),1)</f>
        <v>0</v>
      </c>
      <c r="N34" s="14">
        <f>INDEX(Cloc!E:F,MATCH(J34,Cloc!F:F,0),1)</f>
        <v>87.300000000000011</v>
      </c>
      <c r="O34" s="14">
        <f t="shared" si="3"/>
        <v>0</v>
      </c>
      <c r="P34" s="14">
        <f>O34/Q34</f>
        <v>0</v>
      </c>
      <c r="Q34">
        <f>MAX(1,SUMPRODUCT($R$1:$AD$1,R34:AD34))</f>
        <v>10</v>
      </c>
      <c r="T34">
        <v>1</v>
      </c>
      <c r="X34" t="str">
        <f>IF(SUM(R34:W34)=0,VLOOKUP(J34,#REF!,1,0),"")</f>
        <v/>
      </c>
      <c r="Y34" t="str">
        <f>IF(SUM(R34:X34)&gt;0,"",VLOOKUP(J34,'Apps-from-odoo'!A:A,1,0))</f>
        <v/>
      </c>
    </row>
    <row r="35" spans="1:28" x14ac:dyDescent="0.25">
      <c r="A35" s="25" t="str">
        <f t="shared" si="4"/>
        <v>auth_totp;base.group_user;0;0;0;0;0;0;0;0</v>
      </c>
      <c r="B35">
        <f t="shared" si="5"/>
        <v>0</v>
      </c>
      <c r="C35">
        <f t="shared" si="5"/>
        <v>0</v>
      </c>
      <c r="D35">
        <f t="shared" si="5"/>
        <v>0</v>
      </c>
      <c r="E35">
        <f t="shared" si="5"/>
        <v>0</v>
      </c>
      <c r="F35">
        <f t="shared" si="5"/>
        <v>0</v>
      </c>
      <c r="G35">
        <f t="shared" si="5"/>
        <v>0</v>
      </c>
      <c r="H35">
        <f t="shared" si="5"/>
        <v>0</v>
      </c>
      <c r="I35">
        <f t="shared" si="5"/>
        <v>0</v>
      </c>
      <c r="J35" s="12" t="s">
        <v>44</v>
      </c>
      <c r="K35" s="14" t="s">
        <v>1060</v>
      </c>
      <c r="L35" s="29"/>
      <c r="M35" s="14">
        <f>INDEX('Pivot Analysis'!A:B,MATCH(J35,'Pivot Analysis'!B:B,0),1)</f>
        <v>0</v>
      </c>
      <c r="N35" s="14">
        <f>INDEX(Cloc!E:F,MATCH(J35,Cloc!F:F,0),1)</f>
        <v>43.86</v>
      </c>
      <c r="O35" s="14">
        <f t="shared" si="3"/>
        <v>0</v>
      </c>
      <c r="P35" s="14">
        <f>O35/Q35</f>
        <v>0</v>
      </c>
      <c r="Q35">
        <f>MAX(1,SUMPRODUCT($R$1:$AD$1,R35:AD35))</f>
        <v>1000</v>
      </c>
      <c r="R35">
        <v>1</v>
      </c>
      <c r="X35" t="str">
        <f>IF(SUM(R35:W35)=0,VLOOKUP(J35,#REF!,1,0),"")</f>
        <v/>
      </c>
      <c r="Y35" t="str">
        <f>IF(SUM(R35:X35)&gt;0,"",VLOOKUP(J35,'Apps-from-odoo'!A:A,1,0))</f>
        <v/>
      </c>
    </row>
    <row r="36" spans="1:28" x14ac:dyDescent="0.25">
      <c r="A36" s="25" t="str">
        <f t="shared" si="4"/>
        <v>auth_totp_mail;base.group_user;0,3;0,6;0,9;1,2;1,5;1,8;2,1;2,4</v>
      </c>
      <c r="B36">
        <f t="shared" si="5"/>
        <v>0.3</v>
      </c>
      <c r="C36">
        <f t="shared" si="5"/>
        <v>0.6</v>
      </c>
      <c r="D36">
        <f t="shared" si="5"/>
        <v>0.89999999999999991</v>
      </c>
      <c r="E36">
        <f t="shared" si="5"/>
        <v>1.2</v>
      </c>
      <c r="F36">
        <f t="shared" si="5"/>
        <v>1.5</v>
      </c>
      <c r="G36">
        <f t="shared" si="5"/>
        <v>1.7999999999999998</v>
      </c>
      <c r="H36">
        <f t="shared" si="5"/>
        <v>2.1</v>
      </c>
      <c r="I36">
        <f t="shared" si="5"/>
        <v>2.4</v>
      </c>
      <c r="J36" s="12" t="s">
        <v>45</v>
      </c>
      <c r="K36" s="14" t="s">
        <v>1060</v>
      </c>
      <c r="L36" s="29"/>
      <c r="M36" s="14">
        <f>INDEX('Pivot Analysis'!A:B,MATCH(J36,'Pivot Analysis'!B:B,0),1)</f>
        <v>3</v>
      </c>
      <c r="N36" s="14">
        <f>INDEX(Cloc!E:F,MATCH(J36,Cloc!F:F,0),1)</f>
        <v>15.059999999999999</v>
      </c>
      <c r="O36" s="14">
        <f t="shared" si="3"/>
        <v>3</v>
      </c>
      <c r="P36" s="14">
        <f>O36/Q36</f>
        <v>0.3</v>
      </c>
      <c r="Q36">
        <f>MAX(1,SUMPRODUCT($R$1:$AD$1,R36:AD36))</f>
        <v>10</v>
      </c>
      <c r="T36">
        <v>1</v>
      </c>
      <c r="X36" t="str">
        <f>IF(SUM(R36:W36)=0,VLOOKUP(J36,#REF!,1,0),"")</f>
        <v/>
      </c>
      <c r="Y36" t="str">
        <f>IF(SUM(R36:X36)&gt;0,"",VLOOKUP(J36,'Apps-from-odoo'!A:A,1,0))</f>
        <v/>
      </c>
    </row>
    <row r="37" spans="1:28" x14ac:dyDescent="0.25">
      <c r="A37" s="25" t="str">
        <f t="shared" si="4"/>
        <v>auth_totp_mail_enforce;base.group_user;0;0;0;0;0;0;0;0</v>
      </c>
      <c r="B37">
        <f t="shared" si="5"/>
        <v>0</v>
      </c>
      <c r="C37">
        <f t="shared" si="5"/>
        <v>0</v>
      </c>
      <c r="D37">
        <f t="shared" si="5"/>
        <v>0</v>
      </c>
      <c r="E37">
        <f t="shared" si="5"/>
        <v>0</v>
      </c>
      <c r="F37">
        <f t="shared" si="5"/>
        <v>0</v>
      </c>
      <c r="G37">
        <f t="shared" si="5"/>
        <v>0</v>
      </c>
      <c r="H37">
        <f t="shared" si="5"/>
        <v>0</v>
      </c>
      <c r="I37">
        <f t="shared" si="5"/>
        <v>0</v>
      </c>
      <c r="J37" s="12" t="s">
        <v>46</v>
      </c>
      <c r="K37" s="14" t="s">
        <v>1060</v>
      </c>
      <c r="L37" s="29"/>
      <c r="M37" s="14">
        <f>INDEX('Pivot Analysis'!A:B,MATCH(J37,'Pivot Analysis'!B:B,0),1)</f>
        <v>0</v>
      </c>
      <c r="N37" s="14" t="e">
        <f>INDEX(Cloc!E:F,MATCH(J37,Cloc!F:F,0),1)</f>
        <v>#N/A</v>
      </c>
      <c r="O37" s="14">
        <f t="shared" si="3"/>
        <v>0</v>
      </c>
      <c r="P37" s="14">
        <f>O37/Q37</f>
        <v>0</v>
      </c>
      <c r="Q37">
        <f>MAX(1,SUMPRODUCT($R$1:$AD$1,R37:AD37))</f>
        <v>1</v>
      </c>
    </row>
    <row r="38" spans="1:28" x14ac:dyDescent="0.25">
      <c r="A38" s="25" t="str">
        <f t="shared" si="4"/>
        <v>auth_totp_portal;base.group_user;0,3;0,6;0,9;1,2;1,5;1,8;2,1;2,4</v>
      </c>
      <c r="B38">
        <f t="shared" si="5"/>
        <v>0.3</v>
      </c>
      <c r="C38">
        <f t="shared" si="5"/>
        <v>0.6</v>
      </c>
      <c r="D38">
        <f t="shared" si="5"/>
        <v>0.89999999999999991</v>
      </c>
      <c r="E38">
        <f t="shared" si="5"/>
        <v>1.2</v>
      </c>
      <c r="F38">
        <f t="shared" si="5"/>
        <v>1.5</v>
      </c>
      <c r="G38">
        <f t="shared" si="5"/>
        <v>1.7999999999999998</v>
      </c>
      <c r="H38">
        <f t="shared" si="5"/>
        <v>2.1</v>
      </c>
      <c r="I38">
        <f t="shared" si="5"/>
        <v>2.4</v>
      </c>
      <c r="J38" s="12" t="s">
        <v>47</v>
      </c>
      <c r="K38" s="14" t="s">
        <v>1060</v>
      </c>
      <c r="L38" s="29"/>
      <c r="M38" s="14">
        <f>INDEX('Pivot Analysis'!A:B,MATCH(J38,'Pivot Analysis'!B:B,0),1)</f>
        <v>3</v>
      </c>
      <c r="N38" s="14">
        <f>INDEX(Cloc!E:F,MATCH(J38,Cloc!F:F,0),1)</f>
        <v>24.240000000000002</v>
      </c>
      <c r="O38" s="14">
        <f t="shared" si="3"/>
        <v>3</v>
      </c>
      <c r="P38" s="14">
        <f>O38/Q38</f>
        <v>0.3</v>
      </c>
      <c r="Q38">
        <f>MAX(1,SUMPRODUCT($R$1:$AD$1,R38:AD38))</f>
        <v>10</v>
      </c>
      <c r="U38">
        <v>1</v>
      </c>
      <c r="X38" t="str">
        <f>IF(SUM(R38:W38)=0,VLOOKUP(J38,#REF!,1,0),"")</f>
        <v/>
      </c>
      <c r="Y38" t="str">
        <f>IF(SUM(R38:X38)&gt;0,"",VLOOKUP(J38,'Apps-from-odoo'!A:A,1,0))</f>
        <v/>
      </c>
    </row>
    <row r="39" spans="1:28" x14ac:dyDescent="0.25">
      <c r="A39" s="25" t="str">
        <f t="shared" si="4"/>
        <v>barcodes;base.group_user;0;0;0;0;0;0;0;0</v>
      </c>
      <c r="B39">
        <f t="shared" si="5"/>
        <v>0</v>
      </c>
      <c r="C39">
        <f t="shared" si="5"/>
        <v>0</v>
      </c>
      <c r="D39">
        <f t="shared" si="5"/>
        <v>0</v>
      </c>
      <c r="E39">
        <f t="shared" si="5"/>
        <v>0</v>
      </c>
      <c r="F39">
        <f t="shared" si="5"/>
        <v>0</v>
      </c>
      <c r="G39">
        <f t="shared" si="5"/>
        <v>0</v>
      </c>
      <c r="H39">
        <f t="shared" si="5"/>
        <v>0</v>
      </c>
      <c r="I39">
        <f t="shared" si="5"/>
        <v>0</v>
      </c>
      <c r="J39" s="12" t="s">
        <v>48</v>
      </c>
      <c r="K39" s="14" t="s">
        <v>1060</v>
      </c>
      <c r="L39" s="29"/>
      <c r="M39" s="14">
        <f>INDEX('Pivot Analysis'!A:B,MATCH(J39,'Pivot Analysis'!B:B,0),1)</f>
        <v>0</v>
      </c>
      <c r="N39" s="14">
        <f>INDEX(Cloc!E:F,MATCH(J39,Cloc!F:F,0),1)</f>
        <v>68.699999999999989</v>
      </c>
      <c r="O39" s="14">
        <f t="shared" si="3"/>
        <v>0</v>
      </c>
      <c r="P39" s="14">
        <f>O39/Q39</f>
        <v>0</v>
      </c>
      <c r="Q39">
        <f>MAX(1,SUMPRODUCT($R$1:$AD$1,R39:AD39))</f>
        <v>5</v>
      </c>
      <c r="X39">
        <v>1</v>
      </c>
      <c r="Y39" t="str">
        <f>IF(SUM(R39:X39)&gt;0,"",VLOOKUP(J39,'Apps-from-odoo'!A:A,1,0))</f>
        <v/>
      </c>
    </row>
    <row r="40" spans="1:28" x14ac:dyDescent="0.25">
      <c r="A40" s="25" t="str">
        <f t="shared" si="4"/>
        <v>barcodes_gs1_nomenclature;base.group_user;0;0;0;0;0;0;0;0</v>
      </c>
      <c r="B40">
        <f t="shared" si="5"/>
        <v>0</v>
      </c>
      <c r="C40">
        <f t="shared" si="5"/>
        <v>0</v>
      </c>
      <c r="D40">
        <f t="shared" si="5"/>
        <v>0</v>
      </c>
      <c r="E40">
        <f t="shared" si="5"/>
        <v>0</v>
      </c>
      <c r="F40">
        <f t="shared" si="5"/>
        <v>0</v>
      </c>
      <c r="G40">
        <f t="shared" si="5"/>
        <v>0</v>
      </c>
      <c r="H40">
        <f t="shared" si="5"/>
        <v>0</v>
      </c>
      <c r="I40">
        <f t="shared" si="5"/>
        <v>0</v>
      </c>
      <c r="J40" s="12" t="s">
        <v>49</v>
      </c>
      <c r="K40" s="14" t="s">
        <v>1060</v>
      </c>
      <c r="L40" s="29"/>
      <c r="M40" s="14">
        <f>INDEX('Pivot Analysis'!A:B,MATCH(J40,'Pivot Analysis'!B:B,0),1)</f>
        <v>0</v>
      </c>
      <c r="N40" s="14">
        <f>INDEX(Cloc!E:F,MATCH(J40,Cloc!F:F,0),1)</f>
        <v>67.38</v>
      </c>
      <c r="O40" s="14">
        <f t="shared" si="3"/>
        <v>0</v>
      </c>
      <c r="P40" s="14">
        <f>O40/Q40</f>
        <v>0</v>
      </c>
      <c r="Q40">
        <f>MAX(1,SUMPRODUCT($R$1:$AD$1,R40:AD40))</f>
        <v>5</v>
      </c>
      <c r="X40">
        <v>1</v>
      </c>
      <c r="Y40" t="str">
        <f>IF(SUM(R40:X40)&gt;0,"",VLOOKUP(J40,'Apps-from-odoo'!A:A,1,0))</f>
        <v/>
      </c>
    </row>
    <row r="41" spans="1:28" x14ac:dyDescent="0.25">
      <c r="A41" s="25" t="str">
        <f t="shared" si="4"/>
        <v>base;base.group_user;0;0;0;0;0;0;0;0</v>
      </c>
      <c r="B41">
        <f t="shared" si="5"/>
        <v>0</v>
      </c>
      <c r="C41">
        <f t="shared" si="5"/>
        <v>0</v>
      </c>
      <c r="D41">
        <f t="shared" si="5"/>
        <v>0</v>
      </c>
      <c r="E41">
        <f t="shared" si="5"/>
        <v>0</v>
      </c>
      <c r="F41">
        <f t="shared" si="5"/>
        <v>0</v>
      </c>
      <c r="G41">
        <f t="shared" si="5"/>
        <v>0</v>
      </c>
      <c r="H41">
        <f t="shared" si="5"/>
        <v>0</v>
      </c>
      <c r="I41">
        <f t="shared" si="5"/>
        <v>0</v>
      </c>
      <c r="J41" s="12" t="s">
        <v>775</v>
      </c>
      <c r="K41" s="14" t="s">
        <v>1060</v>
      </c>
      <c r="L41" s="29"/>
      <c r="M41" s="14">
        <f>INDEX('Pivot Analysis'!A:B,MATCH(J41,'Pivot Analysis'!B:B,0),1)</f>
        <v>0</v>
      </c>
      <c r="N41" s="14">
        <f>INDEX(Cloc!E:F,MATCH(J41,Cloc!F:F,0),1)</f>
        <v>2431.98</v>
      </c>
      <c r="O41" s="14">
        <f t="shared" si="3"/>
        <v>0</v>
      </c>
      <c r="P41" s="14">
        <f>O41/Q41</f>
        <v>0</v>
      </c>
      <c r="Q41">
        <f>MAX(1,SUMPRODUCT($R$1:$AD$1,R41:AD41))</f>
        <v>1000</v>
      </c>
      <c r="R41">
        <v>1</v>
      </c>
      <c r="X41" t="str">
        <f>IF(SUM(R41:W41)=0,VLOOKUP(J41,#REF!,1,0),"")</f>
        <v/>
      </c>
      <c r="Y41" t="str">
        <f>IF(SUM(R41:X41)&gt;0,"",VLOOKUP(J41,'Apps-from-odoo'!A:A,1,0))</f>
        <v/>
      </c>
    </row>
    <row r="42" spans="1:28" x14ac:dyDescent="0.25">
      <c r="A42" s="25" t="str">
        <f t="shared" si="4"/>
        <v>base_address_extended;base.group_user;0;0;0;0;0;0;0;0</v>
      </c>
      <c r="B42">
        <f t="shared" si="5"/>
        <v>0</v>
      </c>
      <c r="C42">
        <f t="shared" si="5"/>
        <v>0</v>
      </c>
      <c r="D42">
        <f t="shared" si="5"/>
        <v>0</v>
      </c>
      <c r="E42">
        <f t="shared" si="5"/>
        <v>0</v>
      </c>
      <c r="F42">
        <f t="shared" si="5"/>
        <v>0</v>
      </c>
      <c r="G42">
        <f t="shared" si="5"/>
        <v>0</v>
      </c>
      <c r="H42">
        <f t="shared" si="5"/>
        <v>0</v>
      </c>
      <c r="I42">
        <f t="shared" si="5"/>
        <v>0</v>
      </c>
      <c r="J42" s="12" t="s">
        <v>50</v>
      </c>
      <c r="K42" s="14" t="s">
        <v>1060</v>
      </c>
      <c r="L42" s="29"/>
      <c r="M42" s="14">
        <f>INDEX('Pivot Analysis'!A:B,MATCH(J42,'Pivot Analysis'!B:B,0),1)</f>
        <v>0</v>
      </c>
      <c r="N42" s="14" t="e">
        <f>INDEX(Cloc!E:F,MATCH(J42,Cloc!F:F,0),1)</f>
        <v>#N/A</v>
      </c>
      <c r="O42" s="14">
        <f t="shared" si="3"/>
        <v>0</v>
      </c>
      <c r="P42" s="14">
        <f>O42/Q42</f>
        <v>0</v>
      </c>
      <c r="Q42">
        <f>MAX(1,SUMPRODUCT($R$1:$AD$1,R42:AD42))</f>
        <v>1</v>
      </c>
    </row>
    <row r="43" spans="1:28" x14ac:dyDescent="0.25">
      <c r="A43" s="25" t="str">
        <f t="shared" si="4"/>
        <v>base_app;base.group_user;0;0;0;0;0;0;0;0</v>
      </c>
      <c r="B43">
        <f t="shared" si="5"/>
        <v>0</v>
      </c>
      <c r="C43">
        <f t="shared" si="5"/>
        <v>0</v>
      </c>
      <c r="D43">
        <f t="shared" si="5"/>
        <v>0</v>
      </c>
      <c r="E43">
        <f t="shared" si="5"/>
        <v>0</v>
      </c>
      <c r="F43">
        <f t="shared" si="5"/>
        <v>0</v>
      </c>
      <c r="G43">
        <f t="shared" si="5"/>
        <v>0</v>
      </c>
      <c r="H43">
        <f t="shared" si="5"/>
        <v>0</v>
      </c>
      <c r="I43">
        <f t="shared" si="5"/>
        <v>0</v>
      </c>
      <c r="J43" s="14" t="s">
        <v>1137</v>
      </c>
      <c r="K43" s="14" t="s">
        <v>1060</v>
      </c>
      <c r="L43" s="29">
        <v>0</v>
      </c>
      <c r="M43" s="14" t="e">
        <f>INDEX('Pivot Analysis'!A:B,MATCH(J43,'Pivot Analysis'!B:B,0),1)</f>
        <v>#N/A</v>
      </c>
      <c r="N43" s="14">
        <f>INDEX(Cloc!E:F,MATCH(J43,Cloc!F:F,0),1)</f>
        <v>8.879999999999999</v>
      </c>
      <c r="O43" s="14">
        <f t="shared" si="3"/>
        <v>0</v>
      </c>
      <c r="P43" s="14">
        <f>O43/Q43</f>
        <v>0</v>
      </c>
      <c r="Q43">
        <f>MAX(1,SUMPRODUCT($R$1:$AD$1,R43:AD43))</f>
        <v>1</v>
      </c>
      <c r="AB43">
        <v>1</v>
      </c>
    </row>
    <row r="44" spans="1:28" x14ac:dyDescent="0.25">
      <c r="A44" s="25" t="str">
        <f t="shared" si="4"/>
        <v>base_automation;base.group_user;288;288;288;288;288;288;288;288</v>
      </c>
      <c r="B44">
        <f t="shared" si="5"/>
        <v>288.00000000000006</v>
      </c>
      <c r="C44">
        <f t="shared" si="5"/>
        <v>288.00000000000006</v>
      </c>
      <c r="D44">
        <f t="shared" si="5"/>
        <v>288.00000000000006</v>
      </c>
      <c r="E44">
        <f t="shared" si="5"/>
        <v>288.00000000000006</v>
      </c>
      <c r="F44">
        <f t="shared" si="5"/>
        <v>288.00000000000006</v>
      </c>
      <c r="G44">
        <f t="shared" si="5"/>
        <v>288.00000000000006</v>
      </c>
      <c r="H44">
        <f t="shared" si="5"/>
        <v>288.00000000000006</v>
      </c>
      <c r="I44">
        <f t="shared" si="5"/>
        <v>288.00000000000006</v>
      </c>
      <c r="J44" s="12" t="s">
        <v>51</v>
      </c>
      <c r="K44" s="14" t="s">
        <v>1060</v>
      </c>
      <c r="L44" s="29"/>
      <c r="M44" s="14">
        <f>INDEX('Pivot Analysis'!A:B,MATCH(J44,'Pivot Analysis'!B:B,0),1)</f>
        <v>288.00000000000006</v>
      </c>
      <c r="N44" s="14" t="e">
        <f>INDEX(Cloc!E:F,MATCH(J44,Cloc!F:F,0),1)</f>
        <v>#N/A</v>
      </c>
      <c r="O44" s="14">
        <f>IFERROR(IFERROR(IF(L44&lt;&gt;"",L44,M44),N44),$O$1)</f>
        <v>288.00000000000006</v>
      </c>
      <c r="P44" s="14">
        <f>O44/Q44</f>
        <v>288.00000000000006</v>
      </c>
      <c r="Q44">
        <f>MAX(1,SUMPRODUCT($R$1:$AD$1,R44:AD44))</f>
        <v>1</v>
      </c>
    </row>
    <row r="45" spans="1:28" x14ac:dyDescent="0.25">
      <c r="A45" s="25" t="str">
        <f t="shared" si="4"/>
        <v>base_display_name;base.group_user;1000;1000;1000;1000;1000;1000;1000;1000</v>
      </c>
      <c r="B45">
        <f t="shared" si="5"/>
        <v>1000</v>
      </c>
      <c r="C45">
        <f t="shared" si="5"/>
        <v>1000</v>
      </c>
      <c r="D45">
        <f t="shared" si="5"/>
        <v>1000</v>
      </c>
      <c r="E45">
        <f t="shared" si="5"/>
        <v>1000</v>
      </c>
      <c r="F45">
        <f t="shared" si="5"/>
        <v>1000</v>
      </c>
      <c r="G45">
        <f t="shared" si="5"/>
        <v>1000</v>
      </c>
      <c r="H45">
        <f t="shared" si="5"/>
        <v>1000</v>
      </c>
      <c r="I45">
        <f t="shared" si="5"/>
        <v>1000</v>
      </c>
      <c r="J45" s="14" t="s">
        <v>1141</v>
      </c>
      <c r="K45" s="14" t="s">
        <v>1060</v>
      </c>
      <c r="L45" s="29"/>
      <c r="M45" s="14" t="e">
        <f>INDEX('Pivot Analysis'!A:B,MATCH(J45,'Pivot Analysis'!B:B,0),1)</f>
        <v>#N/A</v>
      </c>
      <c r="N45" s="14" t="e">
        <f>INDEX(Cloc!E:F,MATCH(J45,Cloc!F:F,0),1)</f>
        <v>#N/A</v>
      </c>
      <c r="O45" s="14">
        <f t="shared" si="3"/>
        <v>1000</v>
      </c>
      <c r="P45" s="14">
        <f>O45/Q45</f>
        <v>1000</v>
      </c>
      <c r="Q45">
        <f>MAX(1,SUMPRODUCT($R$1:$AD$1,R45:AD45))</f>
        <v>1</v>
      </c>
      <c r="AB45">
        <v>1</v>
      </c>
    </row>
    <row r="46" spans="1:28" x14ac:dyDescent="0.25">
      <c r="A46" s="25" t="str">
        <f t="shared" si="4"/>
        <v>base_geolocalize;base.group_user;0;0;0;0;0;0;0;0</v>
      </c>
      <c r="B46">
        <f t="shared" si="5"/>
        <v>0</v>
      </c>
      <c r="C46">
        <f t="shared" si="5"/>
        <v>0</v>
      </c>
      <c r="D46">
        <f t="shared" si="5"/>
        <v>0</v>
      </c>
      <c r="E46">
        <f t="shared" si="5"/>
        <v>0</v>
      </c>
      <c r="F46">
        <f t="shared" si="5"/>
        <v>0</v>
      </c>
      <c r="G46">
        <f t="shared" si="5"/>
        <v>0</v>
      </c>
      <c r="H46">
        <f t="shared" si="5"/>
        <v>0</v>
      </c>
      <c r="I46">
        <f t="shared" si="5"/>
        <v>0</v>
      </c>
      <c r="J46" s="12" t="s">
        <v>54</v>
      </c>
      <c r="K46" s="14" t="s">
        <v>1060</v>
      </c>
      <c r="L46" s="29"/>
      <c r="M46" s="14">
        <f>INDEX('Pivot Analysis'!A:B,MATCH(J46,'Pivot Analysis'!B:B,0),1)</f>
        <v>0</v>
      </c>
      <c r="N46" s="14" t="e">
        <f>INDEX(Cloc!E:F,MATCH(J46,Cloc!F:F,0),1)</f>
        <v>#N/A</v>
      </c>
      <c r="O46" s="14">
        <f t="shared" si="3"/>
        <v>0</v>
      </c>
      <c r="P46" s="14">
        <f>O46/Q46</f>
        <v>0</v>
      </c>
      <c r="Q46">
        <f>MAX(1,SUMPRODUCT($R$1:$AD$1,R46:AD46))</f>
        <v>1</v>
      </c>
    </row>
    <row r="47" spans="1:28" x14ac:dyDescent="0.25">
      <c r="A47" s="25" t="str">
        <f t="shared" si="4"/>
        <v>base_iban;base.group_user;3;3;3;3;3;3;3;3</v>
      </c>
      <c r="B47">
        <f t="shared" si="5"/>
        <v>3</v>
      </c>
      <c r="C47">
        <f t="shared" si="5"/>
        <v>3</v>
      </c>
      <c r="D47">
        <f t="shared" si="5"/>
        <v>3</v>
      </c>
      <c r="E47">
        <f t="shared" si="5"/>
        <v>3</v>
      </c>
      <c r="F47">
        <f t="shared" si="5"/>
        <v>3</v>
      </c>
      <c r="G47">
        <f t="shared" si="5"/>
        <v>3</v>
      </c>
      <c r="H47">
        <f t="shared" si="5"/>
        <v>3</v>
      </c>
      <c r="I47">
        <f t="shared" si="5"/>
        <v>3</v>
      </c>
      <c r="J47" s="12" t="s">
        <v>55</v>
      </c>
      <c r="K47" s="14" t="s">
        <v>1060</v>
      </c>
      <c r="L47" s="29"/>
      <c r="M47" s="14">
        <f>INDEX('Pivot Analysis'!A:B,MATCH(J47,'Pivot Analysis'!B:B,0),1)</f>
        <v>3</v>
      </c>
      <c r="N47" s="14" t="e">
        <f>INDEX(Cloc!E:F,MATCH(J47,Cloc!F:F,0),1)</f>
        <v>#N/A</v>
      </c>
      <c r="O47" s="14">
        <f t="shared" si="3"/>
        <v>3</v>
      </c>
      <c r="P47" s="14">
        <f>O47/Q47</f>
        <v>3</v>
      </c>
      <c r="Q47">
        <f>MAX(1,SUMPRODUCT($R$1:$AD$1,R47:AD47))</f>
        <v>1</v>
      </c>
    </row>
    <row r="48" spans="1:28" x14ac:dyDescent="0.25">
      <c r="A48" s="25" t="str">
        <f t="shared" si="4"/>
        <v>base_import;base.group_user;0;0;0;0;0;0;0;0</v>
      </c>
      <c r="B48">
        <f t="shared" si="5"/>
        <v>0</v>
      </c>
      <c r="C48">
        <f t="shared" si="5"/>
        <v>0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</v>
      </c>
      <c r="H48">
        <f t="shared" si="5"/>
        <v>0</v>
      </c>
      <c r="I48">
        <f t="shared" si="5"/>
        <v>0</v>
      </c>
      <c r="J48" s="12" t="s">
        <v>56</v>
      </c>
      <c r="K48" s="14" t="s">
        <v>1060</v>
      </c>
      <c r="L48" s="29"/>
      <c r="M48" s="14">
        <f>INDEX('Pivot Analysis'!A:B,MATCH(J48,'Pivot Analysis'!B:B,0),1)</f>
        <v>0</v>
      </c>
      <c r="N48" s="14">
        <f>INDEX(Cloc!E:F,MATCH(J48,Cloc!F:F,0),1)</f>
        <v>243.89999999999998</v>
      </c>
      <c r="O48" s="14">
        <f t="shared" si="3"/>
        <v>0</v>
      </c>
      <c r="P48" s="14">
        <f>O48/Q48</f>
        <v>0</v>
      </c>
      <c r="Q48">
        <f>MAX(1,SUMPRODUCT($R$1:$AD$1,R48:AD48))</f>
        <v>1000</v>
      </c>
      <c r="R48">
        <v>1</v>
      </c>
      <c r="X48" t="str">
        <f>IF(SUM(R48:W48)=0,VLOOKUP(J48,#REF!,1,0),"")</f>
        <v/>
      </c>
      <c r="Y48" t="str">
        <f>IF(SUM(R48:X48)&gt;0,"",VLOOKUP(J48,'Apps-from-odoo'!A:A,1,0))</f>
        <v/>
      </c>
    </row>
    <row r="49" spans="1:28" x14ac:dyDescent="0.25">
      <c r="A49" s="25" t="str">
        <f t="shared" si="4"/>
        <v>base_import_module;base.group_user;0;0;0;0;0;0;0;0</v>
      </c>
      <c r="B49">
        <f t="shared" si="5"/>
        <v>0</v>
      </c>
      <c r="C49">
        <f t="shared" si="5"/>
        <v>0</v>
      </c>
      <c r="D49">
        <f t="shared" si="5"/>
        <v>0</v>
      </c>
      <c r="E49">
        <f t="shared" si="5"/>
        <v>0</v>
      </c>
      <c r="F49">
        <f t="shared" si="5"/>
        <v>0</v>
      </c>
      <c r="G49">
        <f t="shared" si="5"/>
        <v>0</v>
      </c>
      <c r="H49">
        <f t="shared" si="5"/>
        <v>0</v>
      </c>
      <c r="I49">
        <f t="shared" si="5"/>
        <v>0</v>
      </c>
      <c r="J49" s="12" t="s">
        <v>58</v>
      </c>
      <c r="K49" s="14" t="s">
        <v>1060</v>
      </c>
      <c r="L49" s="29"/>
      <c r="M49" s="14">
        <f>INDEX('Pivot Analysis'!A:B,MATCH(J49,'Pivot Analysis'!B:B,0),1)</f>
        <v>0</v>
      </c>
      <c r="N49" s="14">
        <f>INDEX(Cloc!E:F,MATCH(J49,Cloc!F:F,0),1)</f>
        <v>51.480000000000004</v>
      </c>
      <c r="O49" s="14">
        <f t="shared" si="3"/>
        <v>0</v>
      </c>
      <c r="P49" s="14">
        <f>O49/Q49</f>
        <v>0</v>
      </c>
      <c r="Q49">
        <f>MAX(1,SUMPRODUCT($R$1:$AD$1,R49:AD49))</f>
        <v>1000</v>
      </c>
      <c r="R49">
        <v>1</v>
      </c>
      <c r="X49" t="str">
        <f>IF(SUM(R49:W49)=0,VLOOKUP(J49,#REF!,1,0),"")</f>
        <v/>
      </c>
      <c r="Y49" t="str">
        <f>IF(SUM(R49:X49)&gt;0,"",VLOOKUP(J49,'Apps-from-odoo'!A:A,1,0))</f>
        <v/>
      </c>
    </row>
    <row r="50" spans="1:28" x14ac:dyDescent="0.25">
      <c r="A50" s="25" t="str">
        <f t="shared" si="4"/>
        <v>base_install_request;base.group_user;0,3;0,6;0,9;1,2;1,5;1,8;2,1;2,4</v>
      </c>
      <c r="B50">
        <f t="shared" si="5"/>
        <v>0.3</v>
      </c>
      <c r="C50">
        <f t="shared" si="5"/>
        <v>0.6</v>
      </c>
      <c r="D50">
        <f t="shared" si="5"/>
        <v>0.89999999999999991</v>
      </c>
      <c r="E50">
        <f t="shared" si="5"/>
        <v>1.2</v>
      </c>
      <c r="F50">
        <f t="shared" si="5"/>
        <v>1.5</v>
      </c>
      <c r="G50">
        <f t="shared" si="5"/>
        <v>1.7999999999999998</v>
      </c>
      <c r="H50">
        <f t="shared" si="5"/>
        <v>2.1</v>
      </c>
      <c r="I50">
        <f t="shared" si="5"/>
        <v>2.4</v>
      </c>
      <c r="J50" s="12" t="s">
        <v>60</v>
      </c>
      <c r="K50" s="14" t="s">
        <v>1060</v>
      </c>
      <c r="L50" s="29"/>
      <c r="M50" s="14">
        <f>INDEX('Pivot Analysis'!A:B,MATCH(J50,'Pivot Analysis'!B:B,0),1)</f>
        <v>3</v>
      </c>
      <c r="N50" s="14">
        <f>INDEX(Cloc!E:F,MATCH(J50,Cloc!F:F,0),1)</f>
        <v>15.72</v>
      </c>
      <c r="O50" s="14">
        <f t="shared" si="3"/>
        <v>3</v>
      </c>
      <c r="P50" s="14">
        <f>O50/Q50</f>
        <v>0.3</v>
      </c>
      <c r="Q50">
        <f>MAX(1,SUMPRODUCT($R$1:$AD$1,R50:AD50))</f>
        <v>10</v>
      </c>
      <c r="S50">
        <v>1</v>
      </c>
      <c r="X50" t="str">
        <f>IF(SUM(R50:W50)=0,VLOOKUP(J50,#REF!,1,0),"")</f>
        <v/>
      </c>
      <c r="Y50" t="str">
        <f>IF(SUM(R50:X50)&gt;0,"",VLOOKUP(J50,'Apps-from-odoo'!A:A,1,0))</f>
        <v/>
      </c>
    </row>
    <row r="51" spans="1:28" x14ac:dyDescent="0.25">
      <c r="A51" s="25" t="str">
        <f t="shared" si="4"/>
        <v>base_setup;base.group_user;0;0;0;0;0;0;0;0</v>
      </c>
      <c r="B51">
        <f t="shared" si="5"/>
        <v>0</v>
      </c>
      <c r="C51">
        <f t="shared" si="5"/>
        <v>0</v>
      </c>
      <c r="D51">
        <f t="shared" si="5"/>
        <v>0</v>
      </c>
      <c r="E51">
        <f t="shared" si="5"/>
        <v>0</v>
      </c>
      <c r="F51">
        <f t="shared" si="5"/>
        <v>0</v>
      </c>
      <c r="G51">
        <f t="shared" si="5"/>
        <v>0</v>
      </c>
      <c r="H51">
        <f t="shared" si="5"/>
        <v>0</v>
      </c>
      <c r="I51">
        <f t="shared" si="5"/>
        <v>0</v>
      </c>
      <c r="J51" s="12" t="s">
        <v>61</v>
      </c>
      <c r="K51" s="14" t="s">
        <v>1060</v>
      </c>
      <c r="L51" s="29"/>
      <c r="M51" s="14">
        <f>INDEX('Pivot Analysis'!A:B,MATCH(J51,'Pivot Analysis'!B:B,0),1)</f>
        <v>0</v>
      </c>
      <c r="N51" s="14">
        <f>INDEX(Cloc!E:F,MATCH(J51,Cloc!F:F,0),1)</f>
        <v>30.54</v>
      </c>
      <c r="O51" s="14">
        <f t="shared" si="3"/>
        <v>0</v>
      </c>
      <c r="P51" s="14">
        <f>O51/Q51</f>
        <v>0</v>
      </c>
      <c r="Q51">
        <f>MAX(1,SUMPRODUCT($R$1:$AD$1,R51:AD51))</f>
        <v>1000</v>
      </c>
      <c r="R51">
        <v>1</v>
      </c>
      <c r="X51" t="str">
        <f>IF(SUM(R51:W51)=0,VLOOKUP(J51,#REF!,1,0),"")</f>
        <v/>
      </c>
      <c r="Y51" t="str">
        <f>IF(SUM(R51:X51)&gt;0,"",VLOOKUP(J51,'Apps-from-odoo'!A:A,1,0))</f>
        <v/>
      </c>
    </row>
    <row r="52" spans="1:28" x14ac:dyDescent="0.25">
      <c r="A52" s="25" t="str">
        <f t="shared" si="4"/>
        <v>base_sparse_field;base.group_user;0;0;0;0;0;0;0;0</v>
      </c>
      <c r="B52">
        <f t="shared" si="5"/>
        <v>0</v>
      </c>
      <c r="C52">
        <f t="shared" si="5"/>
        <v>0</v>
      </c>
      <c r="D52">
        <f t="shared" si="5"/>
        <v>0</v>
      </c>
      <c r="E52">
        <f t="shared" si="5"/>
        <v>0</v>
      </c>
      <c r="F52">
        <f t="shared" si="5"/>
        <v>0</v>
      </c>
      <c r="G52">
        <f t="shared" si="5"/>
        <v>0</v>
      </c>
      <c r="H52">
        <f t="shared" si="5"/>
        <v>0</v>
      </c>
      <c r="I52">
        <f t="shared" ref="C52:I115" si="6">$P52*MIN($Q52,I$3)</f>
        <v>0</v>
      </c>
      <c r="J52" s="12" t="s">
        <v>62</v>
      </c>
      <c r="K52" s="14" t="s">
        <v>1060</v>
      </c>
      <c r="L52" s="29"/>
      <c r="M52" s="14">
        <f>INDEX('Pivot Analysis'!A:B,MATCH(J52,'Pivot Analysis'!B:B,0),1)</f>
        <v>0</v>
      </c>
      <c r="N52" s="14" t="e">
        <f>INDEX(Cloc!E:F,MATCH(J52,Cloc!F:F,0),1)</f>
        <v>#N/A</v>
      </c>
      <c r="O52" s="14">
        <f t="shared" si="3"/>
        <v>0</v>
      </c>
      <c r="P52" s="14">
        <f>O52/Q52</f>
        <v>0</v>
      </c>
      <c r="Q52">
        <f>MAX(1,SUMPRODUCT($R$1:$AD$1,R52:AD52))</f>
        <v>1</v>
      </c>
    </row>
    <row r="53" spans="1:28" x14ac:dyDescent="0.25">
      <c r="A53" s="25" t="str">
        <f t="shared" si="4"/>
        <v>base_unique_code;base.group_user;1000;1000;1000;1000;1000;1000;1000;1000</v>
      </c>
      <c r="B53">
        <f t="shared" ref="B53:B116" si="7">$P53*MIN($Q53,B$3)</f>
        <v>1000</v>
      </c>
      <c r="C53">
        <f t="shared" si="6"/>
        <v>1000</v>
      </c>
      <c r="D53">
        <f t="shared" si="6"/>
        <v>1000</v>
      </c>
      <c r="E53">
        <f t="shared" si="6"/>
        <v>1000</v>
      </c>
      <c r="F53">
        <f t="shared" si="6"/>
        <v>1000</v>
      </c>
      <c r="G53">
        <f t="shared" si="6"/>
        <v>1000</v>
      </c>
      <c r="H53">
        <f t="shared" si="6"/>
        <v>1000</v>
      </c>
      <c r="I53">
        <f t="shared" si="6"/>
        <v>1000</v>
      </c>
      <c r="J53" s="14" t="s">
        <v>1142</v>
      </c>
      <c r="K53" s="14" t="s">
        <v>1060</v>
      </c>
      <c r="L53" s="29"/>
      <c r="M53" s="14" t="e">
        <f>INDEX('Pivot Analysis'!A:B,MATCH(J53,'Pivot Analysis'!B:B,0),1)</f>
        <v>#N/A</v>
      </c>
      <c r="N53" s="14" t="e">
        <f>INDEX(Cloc!E:F,MATCH(J53,Cloc!F:F,0),1)</f>
        <v>#N/A</v>
      </c>
      <c r="O53" s="14">
        <f t="shared" si="3"/>
        <v>1000</v>
      </c>
      <c r="P53" s="14">
        <f>O53/Q53</f>
        <v>1000</v>
      </c>
      <c r="Q53">
        <f>MAX(1,SUMPRODUCT($R$1:$AD$1,R53:AD53))</f>
        <v>1</v>
      </c>
      <c r="AB53">
        <v>1</v>
      </c>
    </row>
    <row r="54" spans="1:28" x14ac:dyDescent="0.25">
      <c r="A54" s="25" t="str">
        <f t="shared" si="4"/>
        <v>base_vat;base.group_user;0;0;0;0;0;0;0;0</v>
      </c>
      <c r="B54">
        <f t="shared" si="7"/>
        <v>0</v>
      </c>
      <c r="C54">
        <f t="shared" si="6"/>
        <v>0</v>
      </c>
      <c r="D54">
        <f t="shared" si="6"/>
        <v>0</v>
      </c>
      <c r="E54">
        <f t="shared" si="6"/>
        <v>0</v>
      </c>
      <c r="F54">
        <f t="shared" si="6"/>
        <v>0</v>
      </c>
      <c r="G54">
        <f t="shared" si="6"/>
        <v>0</v>
      </c>
      <c r="H54">
        <f t="shared" si="6"/>
        <v>0</v>
      </c>
      <c r="I54">
        <f t="shared" si="6"/>
        <v>0</v>
      </c>
      <c r="J54" s="12" t="s">
        <v>63</v>
      </c>
      <c r="K54" s="14" t="s">
        <v>1060</v>
      </c>
      <c r="L54" s="29"/>
      <c r="M54" s="14">
        <f>INDEX('Pivot Analysis'!A:B,MATCH(J54,'Pivot Analysis'!B:B,0),1)</f>
        <v>0</v>
      </c>
      <c r="N54" s="14" t="e">
        <f>INDEX(Cloc!E:F,MATCH(J54,Cloc!F:F,0),1)</f>
        <v>#N/A</v>
      </c>
      <c r="O54" s="14">
        <f t="shared" si="3"/>
        <v>0</v>
      </c>
      <c r="P54" s="14">
        <f>O54/Q54</f>
        <v>0</v>
      </c>
      <c r="Q54">
        <f>MAX(1,SUMPRODUCT($R$1:$AD$1,R54:AD54))</f>
        <v>1</v>
      </c>
    </row>
    <row r="55" spans="1:28" x14ac:dyDescent="0.25">
      <c r="A55" s="25" t="str">
        <f t="shared" si="4"/>
        <v>board;base.group_user;0;0;0;0;0;0;0;0</v>
      </c>
      <c r="B55">
        <f t="shared" si="7"/>
        <v>0</v>
      </c>
      <c r="C55">
        <f t="shared" si="6"/>
        <v>0</v>
      </c>
      <c r="D55">
        <f t="shared" si="6"/>
        <v>0</v>
      </c>
      <c r="E55">
        <f t="shared" si="6"/>
        <v>0</v>
      </c>
      <c r="F55">
        <f t="shared" si="6"/>
        <v>0</v>
      </c>
      <c r="G55">
        <f t="shared" si="6"/>
        <v>0</v>
      </c>
      <c r="H55">
        <f t="shared" si="6"/>
        <v>0</v>
      </c>
      <c r="I55">
        <f t="shared" si="6"/>
        <v>0</v>
      </c>
      <c r="J55" s="12" t="s">
        <v>65</v>
      </c>
      <c r="K55" s="14" t="s">
        <v>1060</v>
      </c>
      <c r="L55" s="29"/>
      <c r="M55" s="14">
        <f>INDEX('Pivot Analysis'!A:B,MATCH(J55,'Pivot Analysis'!B:B,0),1)</f>
        <v>0</v>
      </c>
      <c r="N55" s="14" t="e">
        <f>INDEX(Cloc!E:F,MATCH(J55,Cloc!F:F,0),1)</f>
        <v>#N/A</v>
      </c>
      <c r="O55" s="14">
        <f t="shared" si="3"/>
        <v>0</v>
      </c>
      <c r="P55" s="14">
        <f>O55/Q55</f>
        <v>0</v>
      </c>
      <c r="Q55">
        <f>MAX(1,SUMPRODUCT($R$1:$AD$1,R55:AD55))</f>
        <v>1</v>
      </c>
    </row>
    <row r="56" spans="1:28" x14ac:dyDescent="0.25">
      <c r="A56" s="25" t="str">
        <f t="shared" si="4"/>
        <v>bus;base.group_user;0;0;0;0;0;0;0;0</v>
      </c>
      <c r="B56">
        <f t="shared" si="7"/>
        <v>0</v>
      </c>
      <c r="C56">
        <f t="shared" si="6"/>
        <v>0</v>
      </c>
      <c r="D56">
        <f t="shared" si="6"/>
        <v>0</v>
      </c>
      <c r="E56">
        <f t="shared" si="6"/>
        <v>0</v>
      </c>
      <c r="F56">
        <f t="shared" si="6"/>
        <v>0</v>
      </c>
      <c r="G56">
        <f t="shared" si="6"/>
        <v>0</v>
      </c>
      <c r="H56">
        <f t="shared" si="6"/>
        <v>0</v>
      </c>
      <c r="I56">
        <f t="shared" si="6"/>
        <v>0</v>
      </c>
      <c r="J56" s="12" t="s">
        <v>66</v>
      </c>
      <c r="K56" s="14" t="s">
        <v>1060</v>
      </c>
      <c r="L56" s="29"/>
      <c r="M56" s="14">
        <f>INDEX('Pivot Analysis'!A:B,MATCH(J56,'Pivot Analysis'!B:B,0),1)</f>
        <v>0</v>
      </c>
      <c r="N56" s="14">
        <f>INDEX(Cloc!E:F,MATCH(J56,Cloc!F:F,0),1)</f>
        <v>206.10000000000002</v>
      </c>
      <c r="O56" s="14">
        <f t="shared" si="3"/>
        <v>0</v>
      </c>
      <c r="P56" s="14">
        <f>O56/Q56</f>
        <v>0</v>
      </c>
      <c r="Q56">
        <f>MAX(1,SUMPRODUCT($R$1:$AD$1,R56:AD56))</f>
        <v>1000</v>
      </c>
      <c r="R56">
        <v>1</v>
      </c>
      <c r="X56" t="str">
        <f>IF(SUM(R56:W56)=0,VLOOKUP(J56,#REF!,1,0),"")</f>
        <v/>
      </c>
      <c r="Y56" t="str">
        <f>IF(SUM(R56:X56)&gt;0,"",VLOOKUP(J56,'Apps-from-odoo'!A:A,1,0))</f>
        <v/>
      </c>
    </row>
    <row r="57" spans="1:28" x14ac:dyDescent="0.25">
      <c r="A57" s="25" t="str">
        <f t="shared" si="4"/>
        <v>calendar;base.group_user;0,96;1,92;2,88;3,84;4,8;4,8;4,8;4,8</v>
      </c>
      <c r="B57">
        <f t="shared" si="7"/>
        <v>0.96</v>
      </c>
      <c r="C57">
        <f t="shared" si="6"/>
        <v>1.92</v>
      </c>
      <c r="D57">
        <f t="shared" si="6"/>
        <v>2.88</v>
      </c>
      <c r="E57">
        <f t="shared" si="6"/>
        <v>3.84</v>
      </c>
      <c r="F57">
        <f t="shared" si="6"/>
        <v>4.8</v>
      </c>
      <c r="G57">
        <f t="shared" si="6"/>
        <v>4.8</v>
      </c>
      <c r="H57">
        <f t="shared" si="6"/>
        <v>4.8</v>
      </c>
      <c r="I57">
        <f t="shared" si="6"/>
        <v>4.8</v>
      </c>
      <c r="J57" s="12" t="s">
        <v>67</v>
      </c>
      <c r="K57" s="14" t="s">
        <v>1060</v>
      </c>
      <c r="L57" s="29"/>
      <c r="M57" s="14">
        <f>INDEX('Pivot Analysis'!A:B,MATCH(J57,'Pivot Analysis'!B:B,0),1)</f>
        <v>4.8</v>
      </c>
      <c r="N57" s="14">
        <f>INDEX(Cloc!E:F,MATCH(J57,Cloc!F:F,0),1)</f>
        <v>390.72</v>
      </c>
      <c r="O57" s="14">
        <f t="shared" si="3"/>
        <v>4.8</v>
      </c>
      <c r="P57" s="14">
        <f>O57/Q57</f>
        <v>0.96</v>
      </c>
      <c r="Q57">
        <f>MAX(1,SUMPRODUCT($R$1:$AD$1,R57:AD57))</f>
        <v>5</v>
      </c>
      <c r="W57">
        <v>1</v>
      </c>
      <c r="X57" t="str">
        <f>IF(SUM(R57:W57)=0,VLOOKUP(J57,#REF!,1,0),"")</f>
        <v/>
      </c>
      <c r="Y57" t="str">
        <f>IF(SUM(R57:X57)&gt;0,"",VLOOKUP(J57,'Apps-from-odoo'!A:A,1,0))</f>
        <v/>
      </c>
    </row>
    <row r="58" spans="1:28" x14ac:dyDescent="0.25">
      <c r="A58" s="25" t="str">
        <f t="shared" si="4"/>
        <v>calendar_sms;base.group_user;0;0;0;0;0;0;0;0</v>
      </c>
      <c r="B58">
        <f t="shared" si="7"/>
        <v>0</v>
      </c>
      <c r="C58">
        <f t="shared" si="6"/>
        <v>0</v>
      </c>
      <c r="D58">
        <f t="shared" si="6"/>
        <v>0</v>
      </c>
      <c r="E58">
        <f t="shared" si="6"/>
        <v>0</v>
      </c>
      <c r="F58">
        <f t="shared" si="6"/>
        <v>0</v>
      </c>
      <c r="G58">
        <f t="shared" si="6"/>
        <v>0</v>
      </c>
      <c r="H58">
        <f t="shared" si="6"/>
        <v>0</v>
      </c>
      <c r="I58">
        <f t="shared" si="6"/>
        <v>0</v>
      </c>
      <c r="J58" s="12" t="s">
        <v>69</v>
      </c>
      <c r="K58" s="14" t="s">
        <v>1060</v>
      </c>
      <c r="L58" s="29"/>
      <c r="M58" s="14">
        <f>INDEX('Pivot Analysis'!A:B,MATCH(J58,'Pivot Analysis'!B:B,0),1)</f>
        <v>0</v>
      </c>
      <c r="N58" s="14">
        <f>INDEX(Cloc!E:F,MATCH(J58,Cloc!F:F,0),1)</f>
        <v>10.26</v>
      </c>
      <c r="O58" s="14">
        <f t="shared" si="3"/>
        <v>0</v>
      </c>
      <c r="P58" s="14">
        <f>O58/Q58</f>
        <v>0</v>
      </c>
      <c r="Q58">
        <f>MAX(1,SUMPRODUCT($R$1:$AD$1,R58:AD58))</f>
        <v>5</v>
      </c>
      <c r="W58">
        <v>1</v>
      </c>
      <c r="X58" t="str">
        <f>IF(SUM(R58:W58)=0,VLOOKUP(J58,#REF!,1,0),"")</f>
        <v/>
      </c>
      <c r="Y58" t="str">
        <f>IF(SUM(R58:X58)&gt;0,"",VLOOKUP(J58,'Apps-from-odoo'!A:A,1,0))</f>
        <v/>
      </c>
    </row>
    <row r="59" spans="1:28" x14ac:dyDescent="0.25">
      <c r="A59" s="25" t="str">
        <f t="shared" si="4"/>
        <v>certificate;base.group_user;1000;1000;1000;1000;1000;1000;1000;1000</v>
      </c>
      <c r="B59">
        <f t="shared" si="7"/>
        <v>1000</v>
      </c>
      <c r="C59">
        <f t="shared" si="6"/>
        <v>1000</v>
      </c>
      <c r="D59">
        <f t="shared" si="6"/>
        <v>1000</v>
      </c>
      <c r="E59">
        <f t="shared" si="6"/>
        <v>1000</v>
      </c>
      <c r="F59">
        <f t="shared" si="6"/>
        <v>1000</v>
      </c>
      <c r="G59">
        <f t="shared" si="6"/>
        <v>1000</v>
      </c>
      <c r="H59">
        <f t="shared" si="6"/>
        <v>1000</v>
      </c>
      <c r="I59">
        <f t="shared" si="6"/>
        <v>1000</v>
      </c>
      <c r="J59" s="14" t="s">
        <v>1086</v>
      </c>
      <c r="K59" s="14" t="s">
        <v>1060</v>
      </c>
      <c r="L59" s="29"/>
      <c r="M59" s="14" t="e">
        <f>INDEX('Pivot Analysis'!A:B,MATCH(J59,'Pivot Analysis'!B:B,0),1)</f>
        <v>#N/A</v>
      </c>
      <c r="N59" s="14" t="e">
        <f>INDEX(Cloc!E:F,MATCH(J59,Cloc!F:F,0),1)</f>
        <v>#N/A</v>
      </c>
      <c r="O59" s="14">
        <f t="shared" si="3"/>
        <v>1000</v>
      </c>
      <c r="P59" s="14">
        <f>O59/Q59</f>
        <v>1000</v>
      </c>
      <c r="Q59">
        <f>MAX(1,SUMPRODUCT($R$1:$AD$1,R59:AD59))</f>
        <v>1</v>
      </c>
      <c r="Z59">
        <v>1</v>
      </c>
    </row>
    <row r="60" spans="1:28" x14ac:dyDescent="0.25">
      <c r="A60" s="25" t="str">
        <f t="shared" si="4"/>
        <v>cloud_storage;base.group_user;1000;1000;1000;1000;1000;1000;1000;1000</v>
      </c>
      <c r="B60">
        <f t="shared" si="7"/>
        <v>1000</v>
      </c>
      <c r="C60">
        <f t="shared" si="6"/>
        <v>1000</v>
      </c>
      <c r="D60">
        <f t="shared" si="6"/>
        <v>1000</v>
      </c>
      <c r="E60">
        <f t="shared" si="6"/>
        <v>1000</v>
      </c>
      <c r="F60">
        <f t="shared" si="6"/>
        <v>1000</v>
      </c>
      <c r="G60">
        <f t="shared" si="6"/>
        <v>1000</v>
      </c>
      <c r="H60">
        <f t="shared" si="6"/>
        <v>1000</v>
      </c>
      <c r="I60">
        <f t="shared" si="6"/>
        <v>1000</v>
      </c>
      <c r="J60" s="14" t="s">
        <v>1087</v>
      </c>
      <c r="K60" s="14" t="s">
        <v>1060</v>
      </c>
      <c r="L60" s="29"/>
      <c r="M60" s="14" t="e">
        <f>INDEX('Pivot Analysis'!A:B,MATCH(J60,'Pivot Analysis'!B:B,0),1)</f>
        <v>#N/A</v>
      </c>
      <c r="N60" s="14" t="e">
        <f>INDEX(Cloc!E:F,MATCH(J60,Cloc!F:F,0),1)</f>
        <v>#N/A</v>
      </c>
      <c r="O60" s="14">
        <f t="shared" si="3"/>
        <v>1000</v>
      </c>
      <c r="P60" s="14">
        <f>O60/Q60</f>
        <v>1000</v>
      </c>
      <c r="Q60">
        <f>MAX(1,SUMPRODUCT($R$1:$AD$1,R60:AD60))</f>
        <v>1</v>
      </c>
      <c r="Z60">
        <v>1</v>
      </c>
    </row>
    <row r="61" spans="1:28" x14ac:dyDescent="0.25">
      <c r="A61" s="25" t="str">
        <f t="shared" si="4"/>
        <v>cloud_storage_azure;base.group_user;1000;1000;1000;1000;1000;1000;1000;1000</v>
      </c>
      <c r="B61">
        <f t="shared" si="7"/>
        <v>1000</v>
      </c>
      <c r="C61">
        <f t="shared" si="6"/>
        <v>1000</v>
      </c>
      <c r="D61">
        <f t="shared" si="6"/>
        <v>1000</v>
      </c>
      <c r="E61">
        <f t="shared" si="6"/>
        <v>1000</v>
      </c>
      <c r="F61">
        <f t="shared" si="6"/>
        <v>1000</v>
      </c>
      <c r="G61">
        <f t="shared" si="6"/>
        <v>1000</v>
      </c>
      <c r="H61">
        <f t="shared" si="6"/>
        <v>1000</v>
      </c>
      <c r="I61">
        <f t="shared" si="6"/>
        <v>1000</v>
      </c>
      <c r="J61" s="14" t="s">
        <v>1088</v>
      </c>
      <c r="K61" s="14" t="s">
        <v>1060</v>
      </c>
      <c r="L61" s="29"/>
      <c r="M61" s="14" t="e">
        <f>INDEX('Pivot Analysis'!A:B,MATCH(J61,'Pivot Analysis'!B:B,0),1)</f>
        <v>#N/A</v>
      </c>
      <c r="N61" s="14" t="e">
        <f>INDEX(Cloc!E:F,MATCH(J61,Cloc!F:F,0),1)</f>
        <v>#N/A</v>
      </c>
      <c r="O61" s="14">
        <f t="shared" si="3"/>
        <v>1000</v>
      </c>
      <c r="P61" s="14">
        <f>O61/Q61</f>
        <v>1000</v>
      </c>
      <c r="Q61">
        <f>MAX(1,SUMPRODUCT($R$1:$AD$1,R61:AD61))</f>
        <v>1</v>
      </c>
      <c r="Z61">
        <v>1</v>
      </c>
    </row>
    <row r="62" spans="1:28" x14ac:dyDescent="0.25">
      <c r="A62" s="25" t="str">
        <f t="shared" si="4"/>
        <v>cloud_storage_google;base.group_user;1000;1000;1000;1000;1000;1000;1000;1000</v>
      </c>
      <c r="B62">
        <f t="shared" si="7"/>
        <v>1000</v>
      </c>
      <c r="C62">
        <f t="shared" si="6"/>
        <v>1000</v>
      </c>
      <c r="D62">
        <f t="shared" si="6"/>
        <v>1000</v>
      </c>
      <c r="E62">
        <f t="shared" si="6"/>
        <v>1000</v>
      </c>
      <c r="F62">
        <f t="shared" si="6"/>
        <v>1000</v>
      </c>
      <c r="G62">
        <f t="shared" si="6"/>
        <v>1000</v>
      </c>
      <c r="H62">
        <f t="shared" si="6"/>
        <v>1000</v>
      </c>
      <c r="I62">
        <f t="shared" si="6"/>
        <v>1000</v>
      </c>
      <c r="J62" s="14" t="s">
        <v>1089</v>
      </c>
      <c r="K62" s="14" t="s">
        <v>1060</v>
      </c>
      <c r="L62" s="29"/>
      <c r="M62" s="14" t="e">
        <f>INDEX('Pivot Analysis'!A:B,MATCH(J62,'Pivot Analysis'!B:B,0),1)</f>
        <v>#N/A</v>
      </c>
      <c r="N62" s="14" t="e">
        <f>INDEX(Cloc!E:F,MATCH(J62,Cloc!F:F,0),1)</f>
        <v>#N/A</v>
      </c>
      <c r="O62" s="14">
        <f t="shared" si="3"/>
        <v>1000</v>
      </c>
      <c r="P62" s="14">
        <f>O62/Q62</f>
        <v>1000</v>
      </c>
      <c r="Q62">
        <f>MAX(1,SUMPRODUCT($R$1:$AD$1,R62:AD62))</f>
        <v>1</v>
      </c>
      <c r="Z62">
        <v>1</v>
      </c>
    </row>
    <row r="63" spans="1:28" x14ac:dyDescent="0.25">
      <c r="A63" s="25" t="str">
        <f t="shared" si="4"/>
        <v>contacts;base.group_user;0,6;1,2;1,8;2,4;3;3;3;3</v>
      </c>
      <c r="B63">
        <f t="shared" si="7"/>
        <v>0.6</v>
      </c>
      <c r="C63">
        <f t="shared" si="6"/>
        <v>1.2</v>
      </c>
      <c r="D63">
        <f t="shared" si="6"/>
        <v>1.7999999999999998</v>
      </c>
      <c r="E63">
        <f t="shared" si="6"/>
        <v>2.4</v>
      </c>
      <c r="F63">
        <f t="shared" si="6"/>
        <v>3</v>
      </c>
      <c r="G63">
        <f t="shared" si="6"/>
        <v>3</v>
      </c>
      <c r="H63">
        <f t="shared" si="6"/>
        <v>3</v>
      </c>
      <c r="I63">
        <f t="shared" si="6"/>
        <v>3</v>
      </c>
      <c r="J63" s="12" t="s">
        <v>71</v>
      </c>
      <c r="K63" s="14" t="s">
        <v>1060</v>
      </c>
      <c r="L63" s="29"/>
      <c r="M63" s="14">
        <f>INDEX('Pivot Analysis'!A:B,MATCH(J63,'Pivot Analysis'!B:B,0),1)</f>
        <v>3</v>
      </c>
      <c r="N63" s="14">
        <f>INDEX(Cloc!E:F,MATCH(J63,Cloc!F:F,0),1)</f>
        <v>8.3999999999999986</v>
      </c>
      <c r="O63" s="14">
        <f t="shared" si="3"/>
        <v>3</v>
      </c>
      <c r="P63" s="14">
        <f>O63/Q63</f>
        <v>0.6</v>
      </c>
      <c r="Q63">
        <f>MAX(1,SUMPRODUCT($R$1:$AD$1,R63:AD63))</f>
        <v>5</v>
      </c>
      <c r="W63">
        <v>1</v>
      </c>
      <c r="X63" t="str">
        <f>IF(SUM(R63:W63)=0,VLOOKUP(J63,#REF!,1,0),"")</f>
        <v/>
      </c>
      <c r="Y63" t="str">
        <f>IF(SUM(R63:X63)&gt;0,"",VLOOKUP(J63,'Apps-from-odoo'!A:A,1,0))</f>
        <v/>
      </c>
    </row>
    <row r="64" spans="1:28" x14ac:dyDescent="0.25">
      <c r="A64" s="25" t="str">
        <f t="shared" si="4"/>
        <v>crm;base.group_user;1,6;3,2;4,8;4,8;4,8;4,8;4,8;4,8</v>
      </c>
      <c r="B64">
        <f t="shared" si="7"/>
        <v>1.5999999999999999</v>
      </c>
      <c r="C64">
        <f t="shared" si="6"/>
        <v>3.1999999999999997</v>
      </c>
      <c r="D64">
        <f t="shared" si="6"/>
        <v>4.8</v>
      </c>
      <c r="E64">
        <f t="shared" si="6"/>
        <v>4.8</v>
      </c>
      <c r="F64">
        <f t="shared" si="6"/>
        <v>4.8</v>
      </c>
      <c r="G64">
        <f t="shared" si="6"/>
        <v>4.8</v>
      </c>
      <c r="H64">
        <f t="shared" si="6"/>
        <v>4.8</v>
      </c>
      <c r="I64">
        <f t="shared" si="6"/>
        <v>4.8</v>
      </c>
      <c r="J64" s="12" t="s">
        <v>72</v>
      </c>
      <c r="K64" s="14" t="s">
        <v>1060</v>
      </c>
      <c r="L64" s="29"/>
      <c r="M64" s="14">
        <f>INDEX('Pivot Analysis'!A:B,MATCH(J64,'Pivot Analysis'!B:B,0),1)</f>
        <v>4.8</v>
      </c>
      <c r="N64" s="14">
        <f>INDEX(Cloc!E:F,MATCH(J64,Cloc!F:F,0),1)</f>
        <v>556.14</v>
      </c>
      <c r="O64" s="14">
        <f t="shared" si="3"/>
        <v>4.8</v>
      </c>
      <c r="P64" s="14">
        <f>O64/Q64</f>
        <v>1.5999999999999999</v>
      </c>
      <c r="Q64">
        <f>MAX(1,SUMPRODUCT($R$1:$AD$1,R64:AD64))</f>
        <v>3</v>
      </c>
      <c r="Y64">
        <v>1</v>
      </c>
    </row>
    <row r="65" spans="1:28" x14ac:dyDescent="0.25">
      <c r="A65" s="25" t="str">
        <f t="shared" si="4"/>
        <v>crm_iap_enrich;base.group_user;0;0;0;0;0;0;0;0</v>
      </c>
      <c r="B65">
        <f t="shared" si="7"/>
        <v>0</v>
      </c>
      <c r="C65">
        <f t="shared" si="6"/>
        <v>0</v>
      </c>
      <c r="D65">
        <f t="shared" si="6"/>
        <v>0</v>
      </c>
      <c r="E65">
        <f t="shared" si="6"/>
        <v>0</v>
      </c>
      <c r="F65">
        <f t="shared" si="6"/>
        <v>0</v>
      </c>
      <c r="G65">
        <f t="shared" si="6"/>
        <v>0</v>
      </c>
      <c r="H65">
        <f t="shared" si="6"/>
        <v>0</v>
      </c>
      <c r="I65">
        <f t="shared" si="6"/>
        <v>0</v>
      </c>
      <c r="J65" s="12" t="s">
        <v>74</v>
      </c>
      <c r="K65" s="14" t="s">
        <v>1060</v>
      </c>
      <c r="L65" s="29"/>
      <c r="M65" s="14">
        <f>INDEX('Pivot Analysis'!A:B,MATCH(J65,'Pivot Analysis'!B:B,0),1)</f>
        <v>0</v>
      </c>
      <c r="N65" s="14">
        <f>INDEX(Cloc!E:F,MATCH(J65,Cloc!F:F,0),1)</f>
        <v>17.28</v>
      </c>
      <c r="O65" s="14">
        <f t="shared" si="3"/>
        <v>0</v>
      </c>
      <c r="P65" s="14">
        <f>O65/Q65</f>
        <v>0</v>
      </c>
      <c r="Q65">
        <f>MAX(1,SUMPRODUCT($R$1:$AD$1,R65:AD65))</f>
        <v>3</v>
      </c>
      <c r="Y65">
        <v>1</v>
      </c>
    </row>
    <row r="66" spans="1:28" x14ac:dyDescent="0.25">
      <c r="A66" s="25" t="str">
        <f t="shared" si="4"/>
        <v>crm_iap_mine;base.group_user;10;20;30;30;30;30;30;30</v>
      </c>
      <c r="B66">
        <f t="shared" si="7"/>
        <v>10</v>
      </c>
      <c r="C66">
        <f t="shared" si="6"/>
        <v>20</v>
      </c>
      <c r="D66">
        <f t="shared" si="6"/>
        <v>30</v>
      </c>
      <c r="E66">
        <f t="shared" si="6"/>
        <v>30</v>
      </c>
      <c r="F66">
        <f t="shared" si="6"/>
        <v>30</v>
      </c>
      <c r="G66">
        <f t="shared" si="6"/>
        <v>30</v>
      </c>
      <c r="H66">
        <f t="shared" si="6"/>
        <v>30</v>
      </c>
      <c r="I66">
        <f t="shared" si="6"/>
        <v>30</v>
      </c>
      <c r="J66" s="12" t="s">
        <v>75</v>
      </c>
      <c r="K66" s="14" t="s">
        <v>1060</v>
      </c>
      <c r="L66" s="29"/>
      <c r="M66" s="14">
        <f>INDEX('Pivot Analysis'!A:B,MATCH(J66,'Pivot Analysis'!B:B,0),1)</f>
        <v>30</v>
      </c>
      <c r="N66" s="14">
        <f>INDEX(Cloc!E:F,MATCH(J66,Cloc!F:F,0),1)</f>
        <v>54.84</v>
      </c>
      <c r="O66" s="14">
        <f t="shared" si="3"/>
        <v>30</v>
      </c>
      <c r="P66" s="14">
        <f>O66/Q66</f>
        <v>10</v>
      </c>
      <c r="Q66">
        <f>MAX(1,SUMPRODUCT($R$1:$AD$1,R66:AD66))</f>
        <v>3</v>
      </c>
      <c r="Y66">
        <v>1</v>
      </c>
    </row>
    <row r="67" spans="1:28" x14ac:dyDescent="0.25">
      <c r="A67" s="25" t="str">
        <f t="shared" si="4"/>
        <v>crm_livechat;base.group_user;0;0;0;0;0;0;0;0</v>
      </c>
      <c r="B67">
        <f t="shared" si="7"/>
        <v>0</v>
      </c>
      <c r="C67">
        <f t="shared" si="6"/>
        <v>0</v>
      </c>
      <c r="D67">
        <f t="shared" si="6"/>
        <v>0</v>
      </c>
      <c r="E67">
        <f t="shared" si="6"/>
        <v>0</v>
      </c>
      <c r="F67">
        <f t="shared" si="6"/>
        <v>0</v>
      </c>
      <c r="G67">
        <f t="shared" si="6"/>
        <v>0</v>
      </c>
      <c r="H67">
        <f t="shared" si="6"/>
        <v>0</v>
      </c>
      <c r="I67">
        <f t="shared" si="6"/>
        <v>0</v>
      </c>
      <c r="J67" s="12" t="s">
        <v>76</v>
      </c>
      <c r="K67" s="14" t="s">
        <v>1060</v>
      </c>
      <c r="L67" s="29"/>
      <c r="M67" s="14">
        <f>INDEX('Pivot Analysis'!A:B,MATCH(J67,'Pivot Analysis'!B:B,0),1)</f>
        <v>0</v>
      </c>
      <c r="N67" s="14">
        <f>INDEX(Cloc!E:F,MATCH(J67,Cloc!F:F,0),1)</f>
        <v>15.18</v>
      </c>
      <c r="O67" s="14">
        <f t="shared" si="3"/>
        <v>0</v>
      </c>
      <c r="P67" s="14">
        <f>O67/Q67</f>
        <v>0</v>
      </c>
      <c r="Q67">
        <f>MAX(1,SUMPRODUCT($R$1:$AD$1,R67:AD67))</f>
        <v>3</v>
      </c>
      <c r="Y67">
        <v>1</v>
      </c>
    </row>
    <row r="68" spans="1:28" x14ac:dyDescent="0.25">
      <c r="A68" s="25" t="str">
        <f t="shared" si="4"/>
        <v>crm_mail_plugin;base.group_user;33;33;33;33;33;33;33;33</v>
      </c>
      <c r="B68">
        <f t="shared" si="7"/>
        <v>33</v>
      </c>
      <c r="C68">
        <f t="shared" si="6"/>
        <v>33</v>
      </c>
      <c r="D68">
        <f t="shared" si="6"/>
        <v>33</v>
      </c>
      <c r="E68">
        <f t="shared" si="6"/>
        <v>33</v>
      </c>
      <c r="F68">
        <f t="shared" si="6"/>
        <v>33</v>
      </c>
      <c r="G68">
        <f t="shared" si="6"/>
        <v>33</v>
      </c>
      <c r="H68">
        <f t="shared" si="6"/>
        <v>33</v>
      </c>
      <c r="I68">
        <f t="shared" si="6"/>
        <v>33</v>
      </c>
      <c r="J68" s="12" t="s">
        <v>77</v>
      </c>
      <c r="K68" s="14" t="s">
        <v>1060</v>
      </c>
      <c r="L68" s="29"/>
      <c r="M68" s="14">
        <f>INDEX('Pivot Analysis'!A:B,MATCH(J68,'Pivot Analysis'!B:B,0),1)</f>
        <v>33</v>
      </c>
      <c r="N68" s="14" t="e">
        <f>INDEX(Cloc!E:F,MATCH(J68,Cloc!F:F,0),1)</f>
        <v>#N/A</v>
      </c>
      <c r="O68" s="14">
        <f t="shared" si="3"/>
        <v>33</v>
      </c>
      <c r="P68" s="14">
        <f>O68/Q68</f>
        <v>33</v>
      </c>
      <c r="Q68">
        <f>MAX(1,SUMPRODUCT($R$1:$AD$1,R68:AD68))</f>
        <v>1</v>
      </c>
    </row>
    <row r="69" spans="1:28" x14ac:dyDescent="0.25">
      <c r="A69" s="25" t="str">
        <f t="shared" si="4"/>
        <v>crm_sms;base.group_user;1;2;3;3;3;3;3;3</v>
      </c>
      <c r="B69">
        <f t="shared" si="7"/>
        <v>1</v>
      </c>
      <c r="C69">
        <f t="shared" si="6"/>
        <v>2</v>
      </c>
      <c r="D69">
        <f t="shared" si="6"/>
        <v>3</v>
      </c>
      <c r="E69">
        <f t="shared" si="6"/>
        <v>3</v>
      </c>
      <c r="F69">
        <f t="shared" si="6"/>
        <v>3</v>
      </c>
      <c r="G69">
        <f t="shared" si="6"/>
        <v>3</v>
      </c>
      <c r="H69">
        <f t="shared" si="6"/>
        <v>3</v>
      </c>
      <c r="I69">
        <f t="shared" si="6"/>
        <v>3</v>
      </c>
      <c r="J69" s="12" t="s">
        <v>78</v>
      </c>
      <c r="K69" s="14" t="s">
        <v>1060</v>
      </c>
      <c r="L69" s="29"/>
      <c r="M69" s="14">
        <f>INDEX('Pivot Analysis'!A:B,MATCH(J69,'Pivot Analysis'!B:B,0),1)</f>
        <v>3</v>
      </c>
      <c r="N69" s="14">
        <f>INDEX(Cloc!E:F,MATCH(J69,Cloc!F:F,0),1)</f>
        <v>3.9000000000000004</v>
      </c>
      <c r="O69" s="14">
        <f t="shared" ref="O69:O132" si="8">IFERROR(IFERROR(IF(L69&lt;&gt;"",L69,M69),N69),$O$1)</f>
        <v>3</v>
      </c>
      <c r="P69" s="14">
        <f>O69/Q69</f>
        <v>1</v>
      </c>
      <c r="Q69">
        <f>MAX(1,SUMPRODUCT($R$1:$AD$1,R69:AD69))</f>
        <v>3</v>
      </c>
      <c r="Y69">
        <v>1</v>
      </c>
    </row>
    <row r="70" spans="1:28" x14ac:dyDescent="0.25">
      <c r="A70" s="25" t="str">
        <f t="shared" si="4"/>
        <v>crm_unique_code;base.group_user;1000;1000;1000;1000;1000;1000;1000;1000</v>
      </c>
      <c r="B70">
        <f t="shared" si="7"/>
        <v>1000</v>
      </c>
      <c r="C70">
        <f t="shared" si="6"/>
        <v>1000</v>
      </c>
      <c r="D70">
        <f t="shared" si="6"/>
        <v>1000</v>
      </c>
      <c r="E70">
        <f t="shared" si="6"/>
        <v>1000</v>
      </c>
      <c r="F70">
        <f t="shared" si="6"/>
        <v>1000</v>
      </c>
      <c r="G70">
        <f t="shared" si="6"/>
        <v>1000</v>
      </c>
      <c r="H70">
        <f t="shared" si="6"/>
        <v>1000</v>
      </c>
      <c r="I70">
        <f t="shared" si="6"/>
        <v>1000</v>
      </c>
      <c r="J70" s="14" t="s">
        <v>1143</v>
      </c>
      <c r="K70" s="14" t="s">
        <v>1060</v>
      </c>
      <c r="L70" s="29"/>
      <c r="M70" s="14" t="e">
        <f>INDEX('Pivot Analysis'!A:B,MATCH(J70,'Pivot Analysis'!B:B,0),1)</f>
        <v>#N/A</v>
      </c>
      <c r="N70" s="14" t="e">
        <f>INDEX(Cloc!E:F,MATCH(J70,Cloc!F:F,0),1)</f>
        <v>#N/A</v>
      </c>
      <c r="O70" s="14">
        <f t="shared" si="8"/>
        <v>1000</v>
      </c>
      <c r="P70" s="14">
        <f>O70/Q70</f>
        <v>1000</v>
      </c>
      <c r="Q70">
        <f>MAX(1,SUMPRODUCT($R$1:$AD$1,R70:AD70))</f>
        <v>1</v>
      </c>
      <c r="AB70">
        <v>1</v>
      </c>
    </row>
    <row r="71" spans="1:28" x14ac:dyDescent="0.25">
      <c r="A71" s="25" t="str">
        <f t="shared" si="4"/>
        <v>data_recycle;base.group_user;0;0;0;0;0;0;0;0</v>
      </c>
      <c r="B71">
        <f t="shared" si="7"/>
        <v>0</v>
      </c>
      <c r="C71">
        <f t="shared" si="6"/>
        <v>0</v>
      </c>
      <c r="D71">
        <f t="shared" si="6"/>
        <v>0</v>
      </c>
      <c r="E71">
        <f t="shared" si="6"/>
        <v>0</v>
      </c>
      <c r="F71">
        <f t="shared" si="6"/>
        <v>0</v>
      </c>
      <c r="G71">
        <f t="shared" si="6"/>
        <v>0</v>
      </c>
      <c r="H71">
        <f t="shared" si="6"/>
        <v>0</v>
      </c>
      <c r="I71">
        <f t="shared" si="6"/>
        <v>0</v>
      </c>
      <c r="J71" s="12" t="s">
        <v>79</v>
      </c>
      <c r="K71" s="14" t="s">
        <v>1060</v>
      </c>
      <c r="L71" s="29"/>
      <c r="M71" s="14">
        <f>INDEX('Pivot Analysis'!A:B,MATCH(J71,'Pivot Analysis'!B:B,0),1)</f>
        <v>0</v>
      </c>
      <c r="N71" s="14">
        <f>INDEX(Cloc!E:F,MATCH(J71,Cloc!F:F,0),1)</f>
        <v>35.339999999999996</v>
      </c>
      <c r="O71" s="14">
        <f t="shared" si="8"/>
        <v>0</v>
      </c>
      <c r="P71" s="14">
        <f>O71/Q71</f>
        <v>0</v>
      </c>
      <c r="Q71">
        <f>MAX(1,SUMPRODUCT($R$1:$AD$1,R71:AD71))</f>
        <v>3</v>
      </c>
      <c r="Y71">
        <v>1</v>
      </c>
    </row>
    <row r="72" spans="1:28" x14ac:dyDescent="0.25">
      <c r="A72" s="25" t="str">
        <f t="shared" si="4"/>
        <v>delivery;base.group_user;3;6;9;12;15;15;15;15</v>
      </c>
      <c r="B72">
        <f t="shared" si="7"/>
        <v>3</v>
      </c>
      <c r="C72">
        <f t="shared" si="6"/>
        <v>6</v>
      </c>
      <c r="D72">
        <f t="shared" si="6"/>
        <v>9</v>
      </c>
      <c r="E72">
        <f t="shared" si="6"/>
        <v>12</v>
      </c>
      <c r="F72">
        <f t="shared" si="6"/>
        <v>15</v>
      </c>
      <c r="G72">
        <f t="shared" si="6"/>
        <v>15</v>
      </c>
      <c r="H72">
        <f t="shared" si="6"/>
        <v>15</v>
      </c>
      <c r="I72">
        <f t="shared" si="6"/>
        <v>15</v>
      </c>
      <c r="J72" s="12" t="s">
        <v>80</v>
      </c>
      <c r="K72" s="14" t="s">
        <v>1060</v>
      </c>
      <c r="L72" s="29"/>
      <c r="M72" s="14">
        <f>INDEX('Pivot Analysis'!A:B,MATCH(J72,'Pivot Analysis'!B:B,0),1)</f>
        <v>15</v>
      </c>
      <c r="N72" s="14">
        <f>INDEX(Cloc!E:F,MATCH(J72,Cloc!F:F,0),1)</f>
        <v>148.85999999999999</v>
      </c>
      <c r="O72" s="14">
        <f t="shared" si="8"/>
        <v>15</v>
      </c>
      <c r="P72" s="14">
        <f>O72/Q72</f>
        <v>3</v>
      </c>
      <c r="Q72">
        <f>MAX(1,SUMPRODUCT($R$1:$AD$1,R72:AD72))</f>
        <v>5</v>
      </c>
      <c r="X72">
        <v>1</v>
      </c>
      <c r="Y72" t="str">
        <f>IF(SUM(R72:X72)&gt;0,"",VLOOKUP(J72,'Apps-from-odoo'!A:A,1,0))</f>
        <v/>
      </c>
    </row>
    <row r="73" spans="1:28" x14ac:dyDescent="0.25">
      <c r="A73" s="25" t="str">
        <f t="shared" ref="A73:A136" si="9">J73&amp;";"&amp;K73&amp;";"&amp;B73&amp;";"&amp;C73&amp;";"&amp;D73&amp;";"&amp;E73&amp;";"&amp;F73&amp;";"&amp;G73&amp;";"&amp;H73&amp;";"&amp;I73</f>
        <v>delivery_mondialrelay;base.group_user;0;0;0;0;0;0;0;0</v>
      </c>
      <c r="B73">
        <f t="shared" si="7"/>
        <v>0</v>
      </c>
      <c r="C73">
        <f t="shared" si="6"/>
        <v>0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0</v>
      </c>
      <c r="H73">
        <f t="shared" si="6"/>
        <v>0</v>
      </c>
      <c r="I73">
        <f t="shared" si="6"/>
        <v>0</v>
      </c>
      <c r="J73" s="12" t="s">
        <v>82</v>
      </c>
      <c r="K73" s="14" t="s">
        <v>1060</v>
      </c>
      <c r="L73" s="29"/>
      <c r="M73" s="14">
        <f>INDEX('Pivot Analysis'!A:B,MATCH(J73,'Pivot Analysis'!B:B,0),1)</f>
        <v>0</v>
      </c>
      <c r="N73" s="14" t="e">
        <f>INDEX(Cloc!E:F,MATCH(J73,Cloc!F:F,0),1)</f>
        <v>#N/A</v>
      </c>
      <c r="O73" s="14">
        <f t="shared" si="8"/>
        <v>0</v>
      </c>
      <c r="P73" s="14">
        <f>O73/Q73</f>
        <v>0</v>
      </c>
      <c r="Q73">
        <f>MAX(1,SUMPRODUCT($R$1:$AD$1,R73:AD73))</f>
        <v>1</v>
      </c>
    </row>
    <row r="74" spans="1:28" x14ac:dyDescent="0.25">
      <c r="A74" s="25" t="str">
        <f t="shared" si="9"/>
        <v>delivery_stock_picking_batch;base.group_user;0;0;0;0;0;0;0;0</v>
      </c>
      <c r="B74">
        <f t="shared" si="7"/>
        <v>0</v>
      </c>
      <c r="C74">
        <f t="shared" si="6"/>
        <v>0</v>
      </c>
      <c r="D74">
        <f t="shared" si="6"/>
        <v>0</v>
      </c>
      <c r="E74">
        <f t="shared" si="6"/>
        <v>0</v>
      </c>
      <c r="F74">
        <f t="shared" si="6"/>
        <v>0</v>
      </c>
      <c r="G74">
        <f t="shared" si="6"/>
        <v>0</v>
      </c>
      <c r="H74">
        <f t="shared" si="6"/>
        <v>0</v>
      </c>
      <c r="I74">
        <f t="shared" si="6"/>
        <v>0</v>
      </c>
      <c r="J74" s="12" t="s">
        <v>83</v>
      </c>
      <c r="K74" s="14" t="s">
        <v>1060</v>
      </c>
      <c r="L74" s="29"/>
      <c r="M74" s="14">
        <f>INDEX('Pivot Analysis'!A:B,MATCH(J74,'Pivot Analysis'!B:B,0),1)</f>
        <v>0</v>
      </c>
      <c r="N74" s="14" t="e">
        <f>INDEX(Cloc!E:F,MATCH(J74,Cloc!F:F,0),1)</f>
        <v>#N/A</v>
      </c>
      <c r="O74" s="14">
        <f t="shared" si="8"/>
        <v>0</v>
      </c>
      <c r="P74" s="14">
        <f>O74/Q74</f>
        <v>0</v>
      </c>
      <c r="Q74">
        <f>MAX(1,SUMPRODUCT($R$1:$AD$1,R74:AD74))</f>
        <v>1</v>
      </c>
    </row>
    <row r="75" spans="1:28" x14ac:dyDescent="0.25">
      <c r="A75" s="25" t="str">
        <f t="shared" si="9"/>
        <v>digest;base.group_user;0;0;0;0;0;0;0;0</v>
      </c>
      <c r="B75">
        <f t="shared" si="7"/>
        <v>0</v>
      </c>
      <c r="C75">
        <f t="shared" si="6"/>
        <v>0</v>
      </c>
      <c r="D75">
        <f t="shared" si="6"/>
        <v>0</v>
      </c>
      <c r="E75">
        <f t="shared" si="6"/>
        <v>0</v>
      </c>
      <c r="F75">
        <f t="shared" si="6"/>
        <v>0</v>
      </c>
      <c r="G75">
        <f t="shared" si="6"/>
        <v>0</v>
      </c>
      <c r="H75">
        <f t="shared" si="6"/>
        <v>0</v>
      </c>
      <c r="I75">
        <f t="shared" si="6"/>
        <v>0</v>
      </c>
      <c r="J75" s="12" t="s">
        <v>84</v>
      </c>
      <c r="K75" s="14" t="s">
        <v>1060</v>
      </c>
      <c r="L75" s="29"/>
      <c r="M75" s="14">
        <f>INDEX('Pivot Analysis'!A:B,MATCH(J75,'Pivot Analysis'!B:B,0),1)</f>
        <v>0</v>
      </c>
      <c r="N75" s="14">
        <f>INDEX(Cloc!E:F,MATCH(J75,Cloc!F:F,0),1)</f>
        <v>87.179999999999993</v>
      </c>
      <c r="O75" s="14">
        <f t="shared" si="8"/>
        <v>0</v>
      </c>
      <c r="P75" s="14">
        <f>O75/Q75</f>
        <v>0</v>
      </c>
      <c r="Q75">
        <f>MAX(1,SUMPRODUCT($R$1:$AD$1,R75:AD75))</f>
        <v>10</v>
      </c>
      <c r="U75">
        <v>1</v>
      </c>
      <c r="X75" t="str">
        <f>IF(SUM(R75:W75)=0,VLOOKUP(J75,#REF!,1,0),"")</f>
        <v/>
      </c>
      <c r="Y75" t="str">
        <f>IF(SUM(R75:X75)&gt;0,"",VLOOKUP(J75,'Apps-from-odoo'!A:A,1,0))</f>
        <v/>
      </c>
    </row>
    <row r="76" spans="1:28" x14ac:dyDescent="0.25">
      <c r="A76" s="25" t="str">
        <f t="shared" si="9"/>
        <v>dms;base.group_user;1000;1000;1000;1000;1000;1000;1000;1000</v>
      </c>
      <c r="B76">
        <f t="shared" si="7"/>
        <v>1000</v>
      </c>
      <c r="C76">
        <f t="shared" si="6"/>
        <v>1000</v>
      </c>
      <c r="D76">
        <f t="shared" si="6"/>
        <v>1000</v>
      </c>
      <c r="E76">
        <f t="shared" si="6"/>
        <v>1000</v>
      </c>
      <c r="F76">
        <f t="shared" si="6"/>
        <v>1000</v>
      </c>
      <c r="G76">
        <f t="shared" si="6"/>
        <v>1000</v>
      </c>
      <c r="H76">
        <f t="shared" si="6"/>
        <v>1000</v>
      </c>
      <c r="I76">
        <f t="shared" si="6"/>
        <v>1000</v>
      </c>
      <c r="J76" s="14" t="s">
        <v>1144</v>
      </c>
      <c r="K76" s="14" t="s">
        <v>1060</v>
      </c>
      <c r="L76" s="29"/>
      <c r="M76" s="14" t="e">
        <f>INDEX('Pivot Analysis'!A:B,MATCH(J76,'Pivot Analysis'!B:B,0),1)</f>
        <v>#N/A</v>
      </c>
      <c r="N76" s="14" t="e">
        <f>INDEX(Cloc!E:F,MATCH(J76,Cloc!F:F,0),1)</f>
        <v>#N/A</v>
      </c>
      <c r="O76" s="14">
        <f t="shared" si="8"/>
        <v>1000</v>
      </c>
      <c r="P76" s="14">
        <f>O76/Q76</f>
        <v>1000</v>
      </c>
      <c r="Q76">
        <f>MAX(1,SUMPRODUCT($R$1:$AD$1,R76:AD76))</f>
        <v>1</v>
      </c>
      <c r="AA76">
        <v>1</v>
      </c>
    </row>
    <row r="77" spans="1:28" x14ac:dyDescent="0.25">
      <c r="A77" s="25" t="str">
        <f t="shared" si="9"/>
        <v>dms_attachment_link;base.group_user;1000;1000;1000;1000;1000;1000;1000;1000</v>
      </c>
      <c r="B77">
        <f t="shared" si="7"/>
        <v>1000</v>
      </c>
      <c r="C77">
        <f t="shared" si="6"/>
        <v>1000</v>
      </c>
      <c r="D77">
        <f t="shared" si="6"/>
        <v>1000</v>
      </c>
      <c r="E77">
        <f t="shared" si="6"/>
        <v>1000</v>
      </c>
      <c r="F77">
        <f t="shared" si="6"/>
        <v>1000</v>
      </c>
      <c r="G77">
        <f t="shared" si="6"/>
        <v>1000</v>
      </c>
      <c r="H77">
        <f t="shared" si="6"/>
        <v>1000</v>
      </c>
      <c r="I77">
        <f t="shared" si="6"/>
        <v>1000</v>
      </c>
      <c r="J77" s="14" t="s">
        <v>1145</v>
      </c>
      <c r="K77" s="14" t="s">
        <v>1060</v>
      </c>
      <c r="L77" s="29"/>
      <c r="M77" s="14" t="e">
        <f>INDEX('Pivot Analysis'!A:B,MATCH(J77,'Pivot Analysis'!B:B,0),1)</f>
        <v>#N/A</v>
      </c>
      <c r="N77" s="14" t="e">
        <f>INDEX(Cloc!E:F,MATCH(J77,Cloc!F:F,0),1)</f>
        <v>#N/A</v>
      </c>
      <c r="O77" s="14">
        <f t="shared" si="8"/>
        <v>1000</v>
      </c>
      <c r="P77" s="14">
        <f>O77/Q77</f>
        <v>1000</v>
      </c>
      <c r="Q77">
        <f>MAX(1,SUMPRODUCT($R$1:$AD$1,R77:AD77))</f>
        <v>1</v>
      </c>
      <c r="AA77">
        <v>1</v>
      </c>
    </row>
    <row r="78" spans="1:28" x14ac:dyDescent="0.25">
      <c r="A78" s="25" t="str">
        <f t="shared" si="9"/>
        <v>dms_user_role;base.group_user;1000;1000;1000;1000;1000;1000;1000;1000</v>
      </c>
      <c r="B78">
        <f t="shared" si="7"/>
        <v>1000</v>
      </c>
      <c r="C78">
        <f t="shared" si="6"/>
        <v>1000</v>
      </c>
      <c r="D78">
        <f t="shared" si="6"/>
        <v>1000</v>
      </c>
      <c r="E78">
        <f t="shared" si="6"/>
        <v>1000</v>
      </c>
      <c r="F78">
        <f t="shared" si="6"/>
        <v>1000</v>
      </c>
      <c r="G78">
        <f t="shared" si="6"/>
        <v>1000</v>
      </c>
      <c r="H78">
        <f t="shared" si="6"/>
        <v>1000</v>
      </c>
      <c r="I78">
        <f t="shared" si="6"/>
        <v>1000</v>
      </c>
      <c r="J78" s="14" t="s">
        <v>1146</v>
      </c>
      <c r="K78" s="14" t="s">
        <v>1060</v>
      </c>
      <c r="L78" s="29"/>
      <c r="M78" s="14" t="e">
        <f>INDEX('Pivot Analysis'!A:B,MATCH(J78,'Pivot Analysis'!B:B,0),1)</f>
        <v>#N/A</v>
      </c>
      <c r="N78" s="14" t="e">
        <f>INDEX(Cloc!E:F,MATCH(J78,Cloc!F:F,0),1)</f>
        <v>#N/A</v>
      </c>
      <c r="O78" s="14">
        <f t="shared" si="8"/>
        <v>1000</v>
      </c>
      <c r="P78" s="14">
        <f>O78/Q78</f>
        <v>1000</v>
      </c>
      <c r="Q78">
        <f>MAX(1,SUMPRODUCT($R$1:$AD$1,R78:AD78))</f>
        <v>1</v>
      </c>
      <c r="AA78">
        <v>1</v>
      </c>
    </row>
    <row r="79" spans="1:28" x14ac:dyDescent="0.25">
      <c r="A79" s="25" t="str">
        <f t="shared" si="9"/>
        <v>event;base.group_user;13,92;27,84;41,76;55,68;69,6;69,6;69,6;69,6</v>
      </c>
      <c r="B79">
        <f t="shared" si="7"/>
        <v>13.920000000000002</v>
      </c>
      <c r="C79">
        <f t="shared" si="6"/>
        <v>27.840000000000003</v>
      </c>
      <c r="D79">
        <f t="shared" si="6"/>
        <v>41.760000000000005</v>
      </c>
      <c r="E79">
        <f t="shared" si="6"/>
        <v>55.680000000000007</v>
      </c>
      <c r="F79">
        <f t="shared" si="6"/>
        <v>69.600000000000009</v>
      </c>
      <c r="G79">
        <f t="shared" si="6"/>
        <v>69.600000000000009</v>
      </c>
      <c r="H79">
        <f t="shared" si="6"/>
        <v>69.600000000000009</v>
      </c>
      <c r="I79">
        <f t="shared" si="6"/>
        <v>69.600000000000009</v>
      </c>
      <c r="J79" s="12" t="s">
        <v>86</v>
      </c>
      <c r="K79" s="14" t="s">
        <v>1060</v>
      </c>
      <c r="L79" s="29"/>
      <c r="M79" s="14">
        <f>INDEX('Pivot Analysis'!A:B,MATCH(J79,'Pivot Analysis'!B:B,0),1)</f>
        <v>69.600000000000009</v>
      </c>
      <c r="N79" s="14">
        <f>INDEX(Cloc!E:F,MATCH(J79,Cloc!F:F,0),1)</f>
        <v>427.43999999999994</v>
      </c>
      <c r="O79" s="14">
        <f t="shared" si="8"/>
        <v>69.600000000000009</v>
      </c>
      <c r="P79" s="14">
        <f>O79/Q79</f>
        <v>13.920000000000002</v>
      </c>
      <c r="Q79">
        <f>MAX(1,SUMPRODUCT($R$1:$AD$1,R79:AD79))</f>
        <v>5</v>
      </c>
      <c r="X79">
        <v>1</v>
      </c>
      <c r="Y79" t="str">
        <f>IF(SUM(R79:X79)&gt;0,"",VLOOKUP(J79,'Apps-from-odoo'!A:A,1,0))</f>
        <v/>
      </c>
    </row>
    <row r="80" spans="1:28" x14ac:dyDescent="0.25">
      <c r="A80" s="25" t="str">
        <f t="shared" si="9"/>
        <v>event_booth;base.group_user;105;105;105;105;105;105;105;105</v>
      </c>
      <c r="B80">
        <f t="shared" si="7"/>
        <v>105</v>
      </c>
      <c r="C80">
        <f t="shared" si="6"/>
        <v>105</v>
      </c>
      <c r="D80">
        <f t="shared" si="6"/>
        <v>105</v>
      </c>
      <c r="E80">
        <f t="shared" si="6"/>
        <v>105</v>
      </c>
      <c r="F80">
        <f t="shared" si="6"/>
        <v>105</v>
      </c>
      <c r="G80">
        <f t="shared" si="6"/>
        <v>105</v>
      </c>
      <c r="H80">
        <f t="shared" si="6"/>
        <v>105</v>
      </c>
      <c r="I80">
        <f t="shared" si="6"/>
        <v>105</v>
      </c>
      <c r="J80" s="12" t="s">
        <v>88</v>
      </c>
      <c r="K80" s="14" t="s">
        <v>1060</v>
      </c>
      <c r="L80" s="29"/>
      <c r="M80" s="14">
        <f>INDEX('Pivot Analysis'!A:B,MATCH(J80,'Pivot Analysis'!B:B,0),1)</f>
        <v>105</v>
      </c>
      <c r="N80" s="14" t="e">
        <f>INDEX(Cloc!E:F,MATCH(J80,Cloc!F:F,0),1)</f>
        <v>#N/A</v>
      </c>
      <c r="O80" s="14">
        <f t="shared" si="8"/>
        <v>105</v>
      </c>
      <c r="P80" s="14">
        <f>O80/Q80</f>
        <v>105</v>
      </c>
      <c r="Q80">
        <f>MAX(1,SUMPRODUCT($R$1:$AD$1,R80:AD80))</f>
        <v>1</v>
      </c>
    </row>
    <row r="81" spans="1:26" x14ac:dyDescent="0.25">
      <c r="A81" s="25" t="str">
        <f t="shared" si="9"/>
        <v>event_booth_sale;base.group_user;81;81;81;81;81;81;81;81</v>
      </c>
      <c r="B81">
        <f t="shared" si="7"/>
        <v>81</v>
      </c>
      <c r="C81">
        <f t="shared" si="6"/>
        <v>81</v>
      </c>
      <c r="D81">
        <f t="shared" si="6"/>
        <v>81</v>
      </c>
      <c r="E81">
        <f t="shared" si="6"/>
        <v>81</v>
      </c>
      <c r="F81">
        <f t="shared" si="6"/>
        <v>81</v>
      </c>
      <c r="G81">
        <f t="shared" si="6"/>
        <v>81</v>
      </c>
      <c r="H81">
        <f t="shared" si="6"/>
        <v>81</v>
      </c>
      <c r="I81">
        <f t="shared" si="6"/>
        <v>81</v>
      </c>
      <c r="J81" s="12" t="s">
        <v>91</v>
      </c>
      <c r="K81" s="14" t="s">
        <v>1060</v>
      </c>
      <c r="L81" s="29"/>
      <c r="M81" s="14">
        <f>INDEX('Pivot Analysis'!A:B,MATCH(J81,'Pivot Analysis'!B:B,0),1)</f>
        <v>81</v>
      </c>
      <c r="N81" s="14" t="e">
        <f>INDEX(Cloc!E:F,MATCH(J81,Cloc!F:F,0),1)</f>
        <v>#N/A</v>
      </c>
      <c r="O81" s="14">
        <f t="shared" si="8"/>
        <v>81</v>
      </c>
      <c r="P81" s="14">
        <f>O81/Q81</f>
        <v>81</v>
      </c>
      <c r="Q81">
        <f>MAX(1,SUMPRODUCT($R$1:$AD$1,R81:AD81))</f>
        <v>1</v>
      </c>
    </row>
    <row r="82" spans="1:26" x14ac:dyDescent="0.25">
      <c r="A82" s="25" t="str">
        <f t="shared" si="9"/>
        <v>event_crm;base.group_user;3;6;9;9;9;9;9;9</v>
      </c>
      <c r="B82">
        <f t="shared" si="7"/>
        <v>3</v>
      </c>
      <c r="C82">
        <f t="shared" si="6"/>
        <v>6</v>
      </c>
      <c r="D82">
        <f t="shared" si="6"/>
        <v>9</v>
      </c>
      <c r="E82">
        <f t="shared" si="6"/>
        <v>9</v>
      </c>
      <c r="F82">
        <f t="shared" si="6"/>
        <v>9</v>
      </c>
      <c r="G82">
        <f t="shared" si="6"/>
        <v>9</v>
      </c>
      <c r="H82">
        <f t="shared" si="6"/>
        <v>9</v>
      </c>
      <c r="I82">
        <f t="shared" si="6"/>
        <v>9</v>
      </c>
      <c r="J82" s="12" t="s">
        <v>92</v>
      </c>
      <c r="K82" s="14" t="s">
        <v>1060</v>
      </c>
      <c r="L82" s="29"/>
      <c r="M82" s="14">
        <f>INDEX('Pivot Analysis'!A:B,MATCH(J82,'Pivot Analysis'!B:B,0),1)</f>
        <v>9</v>
      </c>
      <c r="N82" s="14">
        <f>INDEX(Cloc!E:F,MATCH(J82,Cloc!F:F,0),1)</f>
        <v>63.480000000000004</v>
      </c>
      <c r="O82" s="14">
        <f t="shared" si="8"/>
        <v>9</v>
      </c>
      <c r="P82" s="14">
        <f>O82/Q82</f>
        <v>3</v>
      </c>
      <c r="Q82">
        <f>MAX(1,SUMPRODUCT($R$1:$AD$1,R82:AD82))</f>
        <v>3</v>
      </c>
      <c r="Y82">
        <v>1</v>
      </c>
    </row>
    <row r="83" spans="1:26" x14ac:dyDescent="0.25">
      <c r="A83" s="25" t="str">
        <f t="shared" si="9"/>
        <v>event_crm_sale;base.group_user;11;22;33;33;33;33;33;33</v>
      </c>
      <c r="B83">
        <f t="shared" si="7"/>
        <v>11</v>
      </c>
      <c r="C83">
        <f t="shared" si="6"/>
        <v>22</v>
      </c>
      <c r="D83">
        <f t="shared" si="6"/>
        <v>33</v>
      </c>
      <c r="E83">
        <f t="shared" si="6"/>
        <v>33</v>
      </c>
      <c r="F83">
        <f t="shared" si="6"/>
        <v>33</v>
      </c>
      <c r="G83">
        <f t="shared" si="6"/>
        <v>33</v>
      </c>
      <c r="H83">
        <f t="shared" si="6"/>
        <v>33</v>
      </c>
      <c r="I83">
        <f t="shared" si="6"/>
        <v>33</v>
      </c>
      <c r="J83" s="12" t="s">
        <v>93</v>
      </c>
      <c r="K83" s="14" t="s">
        <v>1060</v>
      </c>
      <c r="L83" s="29"/>
      <c r="M83" s="14">
        <f>INDEX('Pivot Analysis'!A:B,MATCH(J83,'Pivot Analysis'!B:B,0),1)</f>
        <v>33</v>
      </c>
      <c r="N83" s="14">
        <f>INDEX(Cloc!E:F,MATCH(J83,Cloc!F:F,0),1)</f>
        <v>4.8000000000000007</v>
      </c>
      <c r="O83" s="14">
        <f t="shared" si="8"/>
        <v>33</v>
      </c>
      <c r="P83" s="14">
        <f>O83/Q83</f>
        <v>11</v>
      </c>
      <c r="Q83">
        <f>MAX(1,SUMPRODUCT($R$1:$AD$1,R83:AD83))</f>
        <v>3</v>
      </c>
      <c r="Y83">
        <v>1</v>
      </c>
    </row>
    <row r="84" spans="1:26" x14ac:dyDescent="0.25">
      <c r="A84" s="25" t="str">
        <f t="shared" si="9"/>
        <v>event_product;base.group_user;3,672;7,344;11,016;14,688;18,36;18,36;18,36;18,36</v>
      </c>
      <c r="B84">
        <f t="shared" si="7"/>
        <v>3.6719999999999997</v>
      </c>
      <c r="C84">
        <f t="shared" si="6"/>
        <v>7.3439999999999994</v>
      </c>
      <c r="D84">
        <f t="shared" si="6"/>
        <v>11.015999999999998</v>
      </c>
      <c r="E84">
        <f t="shared" si="6"/>
        <v>14.687999999999999</v>
      </c>
      <c r="F84">
        <f t="shared" si="6"/>
        <v>18.36</v>
      </c>
      <c r="G84">
        <f t="shared" si="6"/>
        <v>18.36</v>
      </c>
      <c r="H84">
        <f t="shared" si="6"/>
        <v>18.36</v>
      </c>
      <c r="I84">
        <f t="shared" si="6"/>
        <v>18.36</v>
      </c>
      <c r="J84" s="14" t="s">
        <v>1049</v>
      </c>
      <c r="K84" s="14" t="s">
        <v>1060</v>
      </c>
      <c r="L84" s="29"/>
      <c r="M84" s="14" t="e">
        <f>INDEX('Pivot Analysis'!A:B,MATCH(J84,'Pivot Analysis'!B:B,0),1)</f>
        <v>#N/A</v>
      </c>
      <c r="N84" s="14">
        <f>INDEX(Cloc!E:F,MATCH(J84,Cloc!F:F,0),1)</f>
        <v>18.36</v>
      </c>
      <c r="O84" s="14">
        <f t="shared" si="8"/>
        <v>18.36</v>
      </c>
      <c r="P84" s="14">
        <f>O84/Q84</f>
        <v>3.6719999999999997</v>
      </c>
      <c r="Q84">
        <f>MAX(1,SUMPRODUCT($R$1:$AD$1,R84:AD84))</f>
        <v>5</v>
      </c>
      <c r="X84">
        <v>1</v>
      </c>
      <c r="Y84" t="str">
        <f>IF(SUM(R84:X84)&gt;0,"",VLOOKUP(J84,'Apps-from-odoo'!A:A,1,0))</f>
        <v/>
      </c>
    </row>
    <row r="85" spans="1:26" x14ac:dyDescent="0.25">
      <c r="A85" s="25" t="str">
        <f t="shared" si="9"/>
        <v>event_sale;base.group_user;5,76;11,52;17,28;23,04;28,8;28,8;28,8;28,8</v>
      </c>
      <c r="B85">
        <f t="shared" si="7"/>
        <v>5.76</v>
      </c>
      <c r="C85">
        <f t="shared" si="6"/>
        <v>11.52</v>
      </c>
      <c r="D85">
        <f t="shared" si="6"/>
        <v>17.28</v>
      </c>
      <c r="E85">
        <f t="shared" si="6"/>
        <v>23.04</v>
      </c>
      <c r="F85">
        <f t="shared" si="6"/>
        <v>28.799999999999997</v>
      </c>
      <c r="G85">
        <f t="shared" si="6"/>
        <v>28.799999999999997</v>
      </c>
      <c r="H85">
        <f t="shared" si="6"/>
        <v>28.799999999999997</v>
      </c>
      <c r="I85">
        <f t="shared" si="6"/>
        <v>28.799999999999997</v>
      </c>
      <c r="J85" s="12" t="s">
        <v>94</v>
      </c>
      <c r="K85" s="14" t="s">
        <v>1060</v>
      </c>
      <c r="L85" s="29"/>
      <c r="M85" s="14">
        <f>INDEX('Pivot Analysis'!A:B,MATCH(J85,'Pivot Analysis'!B:B,0),1)</f>
        <v>28.799999999999997</v>
      </c>
      <c r="N85" s="14">
        <f>INDEX(Cloc!E:F,MATCH(J85,Cloc!F:F,0),1)</f>
        <v>78.239999999999995</v>
      </c>
      <c r="O85" s="14">
        <f t="shared" si="8"/>
        <v>28.799999999999997</v>
      </c>
      <c r="P85" s="14">
        <f>O85/Q85</f>
        <v>5.76</v>
      </c>
      <c r="Q85">
        <f>MAX(1,SUMPRODUCT($R$1:$AD$1,R85:AD85))</f>
        <v>5</v>
      </c>
      <c r="X85">
        <v>1</v>
      </c>
      <c r="Y85" t="str">
        <f>IF(SUM(R85:X85)&gt;0,"",VLOOKUP(J85,'Apps-from-odoo'!A:A,1,0))</f>
        <v/>
      </c>
    </row>
    <row r="86" spans="1:26" x14ac:dyDescent="0.25">
      <c r="A86" s="25" t="str">
        <f t="shared" si="9"/>
        <v>event_sms;base.group_user;0;0;0;0;0;0;0;0</v>
      </c>
      <c r="B86">
        <f t="shared" si="7"/>
        <v>0</v>
      </c>
      <c r="C86">
        <f t="shared" si="6"/>
        <v>0</v>
      </c>
      <c r="D86">
        <f t="shared" si="6"/>
        <v>0</v>
      </c>
      <c r="E86">
        <f t="shared" si="6"/>
        <v>0</v>
      </c>
      <c r="F86">
        <f t="shared" si="6"/>
        <v>0</v>
      </c>
      <c r="G86">
        <f t="shared" si="6"/>
        <v>0</v>
      </c>
      <c r="H86">
        <f t="shared" si="6"/>
        <v>0</v>
      </c>
      <c r="I86">
        <f t="shared" si="6"/>
        <v>0</v>
      </c>
      <c r="J86" s="12" t="s">
        <v>96</v>
      </c>
      <c r="K86" s="14" t="s">
        <v>1060</v>
      </c>
      <c r="L86" s="29"/>
      <c r="M86" s="14">
        <f>INDEX('Pivot Analysis'!A:B,MATCH(J86,'Pivot Analysis'!B:B,0),1)</f>
        <v>0</v>
      </c>
      <c r="N86" s="14">
        <f>INDEX(Cloc!E:F,MATCH(J86,Cloc!F:F,0),1)</f>
        <v>8.82</v>
      </c>
      <c r="O86" s="14">
        <f t="shared" si="8"/>
        <v>0</v>
      </c>
      <c r="P86" s="14">
        <f>O86/Q86</f>
        <v>0</v>
      </c>
      <c r="Q86">
        <f>MAX(1,SUMPRODUCT($R$1:$AD$1,R86:AD86))</f>
        <v>5</v>
      </c>
      <c r="X86">
        <v>1</v>
      </c>
      <c r="Y86" t="str">
        <f>IF(SUM(R86:X86)&gt;0,"",VLOOKUP(J86,'Apps-from-odoo'!A:A,1,0))</f>
        <v/>
      </c>
    </row>
    <row r="87" spans="1:26" x14ac:dyDescent="0.25">
      <c r="A87" s="25" t="str">
        <f t="shared" si="9"/>
        <v>fleet;base.group_user;3,6;7,2;10,8;14,4;18;18;18;18</v>
      </c>
      <c r="B87">
        <f t="shared" si="7"/>
        <v>3.6</v>
      </c>
      <c r="C87">
        <f t="shared" si="6"/>
        <v>7.2</v>
      </c>
      <c r="D87">
        <f t="shared" si="6"/>
        <v>10.8</v>
      </c>
      <c r="E87">
        <f t="shared" si="6"/>
        <v>14.4</v>
      </c>
      <c r="F87">
        <f t="shared" si="6"/>
        <v>18</v>
      </c>
      <c r="G87">
        <f t="shared" si="6"/>
        <v>18</v>
      </c>
      <c r="H87">
        <f t="shared" si="6"/>
        <v>18</v>
      </c>
      <c r="I87">
        <f t="shared" si="6"/>
        <v>18</v>
      </c>
      <c r="J87" s="12" t="s">
        <v>97</v>
      </c>
      <c r="K87" s="14" t="s">
        <v>1060</v>
      </c>
      <c r="L87" s="29"/>
      <c r="M87" s="14">
        <f>INDEX('Pivot Analysis'!A:B,MATCH(J87,'Pivot Analysis'!B:B,0),1)</f>
        <v>18</v>
      </c>
      <c r="N87" s="14">
        <f>INDEX(Cloc!E:F,MATCH(J87,Cloc!F:F,0),1)</f>
        <v>189.35999999999999</v>
      </c>
      <c r="O87" s="14">
        <f t="shared" si="8"/>
        <v>18</v>
      </c>
      <c r="P87" s="14">
        <f>O87/Q87</f>
        <v>3.6</v>
      </c>
      <c r="Q87">
        <f>MAX(1,SUMPRODUCT($R$1:$AD$1,R87:AD87))</f>
        <v>5</v>
      </c>
      <c r="X87">
        <v>1</v>
      </c>
      <c r="Y87" t="str">
        <f>IF(SUM(R87:X87)&gt;0,"",VLOOKUP(J87,'Apps-from-odoo'!A:A,1,0))</f>
        <v/>
      </c>
    </row>
    <row r="88" spans="1:26" x14ac:dyDescent="0.25">
      <c r="A88" s="25" t="str">
        <f t="shared" si="9"/>
        <v>gamification;base.group_user;0;0;0;0;0;0;0;0</v>
      </c>
      <c r="B88">
        <f t="shared" si="7"/>
        <v>0</v>
      </c>
      <c r="C88">
        <f t="shared" si="6"/>
        <v>0</v>
      </c>
      <c r="D88">
        <f t="shared" si="6"/>
        <v>0</v>
      </c>
      <c r="E88">
        <f t="shared" si="6"/>
        <v>0</v>
      </c>
      <c r="F88">
        <f t="shared" si="6"/>
        <v>0</v>
      </c>
      <c r="G88">
        <f t="shared" si="6"/>
        <v>0</v>
      </c>
      <c r="H88">
        <f t="shared" si="6"/>
        <v>0</v>
      </c>
      <c r="I88">
        <f t="shared" si="6"/>
        <v>0</v>
      </c>
      <c r="J88" s="12" t="s">
        <v>99</v>
      </c>
      <c r="K88" s="14" t="s">
        <v>1060</v>
      </c>
      <c r="L88" s="29"/>
      <c r="M88" s="14">
        <f>INDEX('Pivot Analysis'!A:B,MATCH(J88,'Pivot Analysis'!B:B,0),1)</f>
        <v>0</v>
      </c>
      <c r="N88" s="14">
        <f>INDEX(Cloc!E:F,MATCH(J88,Cloc!F:F,0),1)</f>
        <v>229.86</v>
      </c>
      <c r="O88" s="14">
        <f t="shared" si="8"/>
        <v>0</v>
      </c>
      <c r="P88" s="14">
        <f>O88/Q88</f>
        <v>0</v>
      </c>
      <c r="Q88">
        <f>MAX(1,SUMPRODUCT($R$1:$AD$1,R88:AD88))</f>
        <v>3</v>
      </c>
      <c r="Y88">
        <v>1</v>
      </c>
    </row>
    <row r="89" spans="1:26" x14ac:dyDescent="0.25">
      <c r="A89" s="25" t="str">
        <f t="shared" si="9"/>
        <v>gamification_sale_crm;base.group_user;1;2;3;3;3;3;3;3</v>
      </c>
      <c r="B89">
        <f t="shared" si="7"/>
        <v>1</v>
      </c>
      <c r="C89">
        <f t="shared" si="6"/>
        <v>2</v>
      </c>
      <c r="D89">
        <f t="shared" si="6"/>
        <v>3</v>
      </c>
      <c r="E89">
        <f t="shared" ref="C89:I152" si="10">$P89*MIN($Q89,E$3)</f>
        <v>3</v>
      </c>
      <c r="F89">
        <f t="shared" si="10"/>
        <v>3</v>
      </c>
      <c r="G89">
        <f t="shared" si="10"/>
        <v>3</v>
      </c>
      <c r="H89">
        <f t="shared" si="10"/>
        <v>3</v>
      </c>
      <c r="I89">
        <f t="shared" si="10"/>
        <v>3</v>
      </c>
      <c r="J89" s="12" t="s">
        <v>101</v>
      </c>
      <c r="K89" s="14" t="s">
        <v>1060</v>
      </c>
      <c r="L89" s="29"/>
      <c r="M89" s="14">
        <f>INDEX('Pivot Analysis'!A:B,MATCH(J89,'Pivot Analysis'!B:B,0),1)</f>
        <v>3</v>
      </c>
      <c r="N89" s="14">
        <f>INDEX(Cloc!E:F,MATCH(J89,Cloc!F:F,0),1)</f>
        <v>11.58</v>
      </c>
      <c r="O89" s="14">
        <f t="shared" si="8"/>
        <v>3</v>
      </c>
      <c r="P89" s="14">
        <f>O89/Q89</f>
        <v>1</v>
      </c>
      <c r="Q89">
        <f>MAX(1,SUMPRODUCT($R$1:$AD$1,R89:AD89))</f>
        <v>3</v>
      </c>
      <c r="Y89">
        <v>1</v>
      </c>
    </row>
    <row r="90" spans="1:26" x14ac:dyDescent="0.25">
      <c r="A90" s="25" t="str">
        <f t="shared" si="9"/>
        <v>google_account;base.group_user;0;0;0;0;0;0;0;0</v>
      </c>
      <c r="B90">
        <f t="shared" si="7"/>
        <v>0</v>
      </c>
      <c r="C90">
        <f t="shared" si="10"/>
        <v>0</v>
      </c>
      <c r="D90">
        <f t="shared" si="10"/>
        <v>0</v>
      </c>
      <c r="E90">
        <f t="shared" si="10"/>
        <v>0</v>
      </c>
      <c r="F90">
        <f t="shared" si="10"/>
        <v>0</v>
      </c>
      <c r="G90">
        <f t="shared" si="10"/>
        <v>0</v>
      </c>
      <c r="H90">
        <f t="shared" si="10"/>
        <v>0</v>
      </c>
      <c r="I90">
        <f t="shared" si="10"/>
        <v>0</v>
      </c>
      <c r="J90" s="12" t="s">
        <v>102</v>
      </c>
      <c r="K90" s="14" t="s">
        <v>1060</v>
      </c>
      <c r="L90" s="29"/>
      <c r="M90" s="14">
        <f>INDEX('Pivot Analysis'!A:B,MATCH(J90,'Pivot Analysis'!B:B,0),1)</f>
        <v>0</v>
      </c>
      <c r="N90" s="14" t="e">
        <f>INDEX(Cloc!E:F,MATCH(J90,Cloc!F:F,0),1)</f>
        <v>#N/A</v>
      </c>
      <c r="O90" s="14">
        <f t="shared" si="8"/>
        <v>0</v>
      </c>
      <c r="P90" s="14">
        <f>O90/Q90</f>
        <v>0</v>
      </c>
      <c r="Q90">
        <f>MAX(1,SUMPRODUCT($R$1:$AD$1,R90:AD90))</f>
        <v>1</v>
      </c>
    </row>
    <row r="91" spans="1:26" x14ac:dyDescent="0.25">
      <c r="A91" s="25" t="str">
        <f t="shared" si="9"/>
        <v>google_calendar;base.group_user;27,3;27,3;27,3;27,3;27,3;27,3;27,3;27,3</v>
      </c>
      <c r="B91">
        <f t="shared" si="7"/>
        <v>27.3</v>
      </c>
      <c r="C91">
        <f t="shared" si="10"/>
        <v>27.3</v>
      </c>
      <c r="D91">
        <f t="shared" si="10"/>
        <v>27.3</v>
      </c>
      <c r="E91">
        <f t="shared" si="10"/>
        <v>27.3</v>
      </c>
      <c r="F91">
        <f t="shared" si="10"/>
        <v>27.3</v>
      </c>
      <c r="G91">
        <f t="shared" si="10"/>
        <v>27.3</v>
      </c>
      <c r="H91">
        <f t="shared" si="10"/>
        <v>27.3</v>
      </c>
      <c r="I91">
        <f t="shared" si="10"/>
        <v>27.3</v>
      </c>
      <c r="J91" s="12" t="s">
        <v>103</v>
      </c>
      <c r="K91" s="14" t="s">
        <v>1060</v>
      </c>
      <c r="L91" s="29"/>
      <c r="M91" s="14">
        <f>INDEX('Pivot Analysis'!A:B,MATCH(J91,'Pivot Analysis'!B:B,0),1)</f>
        <v>27.3</v>
      </c>
      <c r="N91" s="14" t="e">
        <f>INDEX(Cloc!E:F,MATCH(J91,Cloc!F:F,0),1)</f>
        <v>#N/A</v>
      </c>
      <c r="O91" s="14">
        <f t="shared" si="8"/>
        <v>27.3</v>
      </c>
      <c r="P91" s="14">
        <f>O91/Q91</f>
        <v>27.3</v>
      </c>
      <c r="Q91">
        <f>MAX(1,SUMPRODUCT($R$1:$AD$1,R91:AD91))</f>
        <v>1</v>
      </c>
    </row>
    <row r="92" spans="1:26" x14ac:dyDescent="0.25">
      <c r="A92" s="25" t="str">
        <f t="shared" si="9"/>
        <v>google_gmail;base.group_user;0;0;0;0;0;0;0;0</v>
      </c>
      <c r="B92">
        <f t="shared" si="7"/>
        <v>0</v>
      </c>
      <c r="C92">
        <f t="shared" si="10"/>
        <v>0</v>
      </c>
      <c r="D92">
        <f t="shared" si="10"/>
        <v>0</v>
      </c>
      <c r="E92">
        <f t="shared" si="10"/>
        <v>0</v>
      </c>
      <c r="F92">
        <f t="shared" si="10"/>
        <v>0</v>
      </c>
      <c r="G92">
        <f t="shared" si="10"/>
        <v>0</v>
      </c>
      <c r="H92">
        <f t="shared" si="10"/>
        <v>0</v>
      </c>
      <c r="I92">
        <f t="shared" si="10"/>
        <v>0</v>
      </c>
      <c r="J92" s="12" t="s">
        <v>104</v>
      </c>
      <c r="K92" s="14" t="s">
        <v>1060</v>
      </c>
      <c r="L92" s="29"/>
      <c r="M92" s="14">
        <f>INDEX('Pivot Analysis'!A:B,MATCH(J92,'Pivot Analysis'!B:B,0),1)</f>
        <v>0</v>
      </c>
      <c r="N92" s="14">
        <f>INDEX(Cloc!E:F,MATCH(J92,Cloc!F:F,0),1)</f>
        <v>30.900000000000002</v>
      </c>
      <c r="O92" s="14">
        <f t="shared" si="8"/>
        <v>0</v>
      </c>
      <c r="P92" s="14">
        <f>O92/Q92</f>
        <v>0</v>
      </c>
      <c r="Q92">
        <f>MAX(1,SUMPRODUCT($R$1:$AD$1,R92:AD92))</f>
        <v>10</v>
      </c>
      <c r="S92">
        <v>1</v>
      </c>
      <c r="X92" t="str">
        <f>IF(SUM(R92:W92)=0,VLOOKUP(J92,#REF!,1,0),"")</f>
        <v/>
      </c>
      <c r="Y92" t="str">
        <f>IF(SUM(R92:X92)&gt;0,"",VLOOKUP(J92,'Apps-from-odoo'!A:A,1,0))</f>
        <v/>
      </c>
    </row>
    <row r="93" spans="1:26" x14ac:dyDescent="0.25">
      <c r="A93" s="25" t="str">
        <f t="shared" si="9"/>
        <v>google_recaptcha;base.group_user;0,6;1,2;1,8;2,4;3;3;3;3</v>
      </c>
      <c r="B93">
        <f t="shared" si="7"/>
        <v>0.6</v>
      </c>
      <c r="C93">
        <f t="shared" si="10"/>
        <v>1.2</v>
      </c>
      <c r="D93">
        <f t="shared" si="10"/>
        <v>1.7999999999999998</v>
      </c>
      <c r="E93">
        <f t="shared" si="10"/>
        <v>2.4</v>
      </c>
      <c r="F93">
        <f t="shared" si="10"/>
        <v>3</v>
      </c>
      <c r="G93">
        <f t="shared" si="10"/>
        <v>3</v>
      </c>
      <c r="H93">
        <f t="shared" si="10"/>
        <v>3</v>
      </c>
      <c r="I93">
        <f t="shared" si="10"/>
        <v>3</v>
      </c>
      <c r="J93" s="12" t="s">
        <v>105</v>
      </c>
      <c r="K93" s="14" t="s">
        <v>1060</v>
      </c>
      <c r="L93" s="29"/>
      <c r="M93" s="14">
        <f>INDEX('Pivot Analysis'!A:B,MATCH(J93,'Pivot Analysis'!B:B,0),1)</f>
        <v>3</v>
      </c>
      <c r="N93" s="14">
        <f>INDEX(Cloc!E:F,MATCH(J93,Cloc!F:F,0),1)</f>
        <v>18.240000000000002</v>
      </c>
      <c r="O93" s="14">
        <f t="shared" si="8"/>
        <v>3</v>
      </c>
      <c r="P93" s="14">
        <f>O93/Q93</f>
        <v>0.6</v>
      </c>
      <c r="Q93">
        <f>MAX(1,SUMPRODUCT($R$1:$AD$1,R93:AD93))</f>
        <v>5</v>
      </c>
      <c r="V93">
        <v>1</v>
      </c>
      <c r="X93" t="str">
        <f>IF(SUM(R93:W93)=0,VLOOKUP(J93,#REF!,1,0),"")</f>
        <v/>
      </c>
      <c r="Y93" t="str">
        <f>IF(SUM(R93:X93)&gt;0,"",VLOOKUP(J93,'Apps-from-odoo'!A:A,1,0))</f>
        <v/>
      </c>
    </row>
    <row r="94" spans="1:26" x14ac:dyDescent="0.25">
      <c r="A94" s="25" t="str">
        <f t="shared" si="9"/>
        <v>helpdesk;base.group_user;1000;1000;1000;1000;1000;1000;1000;1000</v>
      </c>
      <c r="B94">
        <f t="shared" si="7"/>
        <v>1000</v>
      </c>
      <c r="C94">
        <f t="shared" si="10"/>
        <v>1000</v>
      </c>
      <c r="D94">
        <f t="shared" si="10"/>
        <v>1000</v>
      </c>
      <c r="E94">
        <f t="shared" si="10"/>
        <v>1000</v>
      </c>
      <c r="F94">
        <f t="shared" si="10"/>
        <v>1000</v>
      </c>
      <c r="G94">
        <f t="shared" si="10"/>
        <v>1000</v>
      </c>
      <c r="H94">
        <f t="shared" si="10"/>
        <v>1000</v>
      </c>
      <c r="I94">
        <f t="shared" si="10"/>
        <v>1000</v>
      </c>
      <c r="J94" s="14" t="s">
        <v>1076</v>
      </c>
      <c r="K94" s="14" t="s">
        <v>1060</v>
      </c>
      <c r="L94" s="29"/>
      <c r="M94" s="14" t="e">
        <f>INDEX('Pivot Analysis'!A:B,MATCH(J94,'Pivot Analysis'!B:B,0),1)</f>
        <v>#N/A</v>
      </c>
      <c r="N94" s="14" t="e">
        <f>INDEX(Cloc!E:F,MATCH(J94,Cloc!F:F,0),1)</f>
        <v>#N/A</v>
      </c>
      <c r="O94" s="14">
        <f t="shared" si="8"/>
        <v>1000</v>
      </c>
      <c r="P94" s="14">
        <f>O94/Q94</f>
        <v>1000</v>
      </c>
      <c r="Q94">
        <f>MAX(1,SUMPRODUCT($R$1:$AD$1,R94:AD94))</f>
        <v>1</v>
      </c>
      <c r="Z94">
        <v>1</v>
      </c>
    </row>
    <row r="95" spans="1:26" x14ac:dyDescent="0.25">
      <c r="A95" s="25" t="str">
        <f t="shared" si="9"/>
        <v>hr;base.group_user;9,18;18,36;27,54;36,72;45,9;45,9;45,9;45,9</v>
      </c>
      <c r="B95">
        <f t="shared" si="7"/>
        <v>9.18</v>
      </c>
      <c r="C95">
        <f t="shared" si="10"/>
        <v>18.36</v>
      </c>
      <c r="D95">
        <f t="shared" si="10"/>
        <v>27.54</v>
      </c>
      <c r="E95">
        <f t="shared" si="10"/>
        <v>36.72</v>
      </c>
      <c r="F95">
        <f t="shared" si="10"/>
        <v>45.9</v>
      </c>
      <c r="G95">
        <f t="shared" si="10"/>
        <v>45.9</v>
      </c>
      <c r="H95">
        <f t="shared" si="10"/>
        <v>45.9</v>
      </c>
      <c r="I95">
        <f t="shared" si="10"/>
        <v>45.9</v>
      </c>
      <c r="J95" s="12" t="s">
        <v>106</v>
      </c>
      <c r="K95" s="14" t="s">
        <v>1060</v>
      </c>
      <c r="L95" s="29"/>
      <c r="M95" s="14">
        <f>INDEX('Pivot Analysis'!A:B,MATCH(J95,'Pivot Analysis'!B:B,0),1)</f>
        <v>45.9</v>
      </c>
      <c r="N95" s="14">
        <f>INDEX(Cloc!E:F,MATCH(J95,Cloc!F:F,0),1)</f>
        <v>361.74</v>
      </c>
      <c r="O95" s="14">
        <f t="shared" si="8"/>
        <v>45.9</v>
      </c>
      <c r="P95" s="14">
        <f>O95/Q95</f>
        <v>9.18</v>
      </c>
      <c r="Q95">
        <f>MAX(1,SUMPRODUCT($R$1:$AD$1,R95:AD95))</f>
        <v>5</v>
      </c>
      <c r="W95">
        <v>1</v>
      </c>
      <c r="X95" t="str">
        <f>IF(SUM(R95:W95)=0,VLOOKUP(J95,#REF!,1,0),"")</f>
        <v/>
      </c>
      <c r="Y95" t="str">
        <f>IF(SUM(R95:X95)&gt;0,"",VLOOKUP(J95,'Apps-from-odoo'!A:A,1,0))</f>
        <v/>
      </c>
    </row>
    <row r="96" spans="1:26" x14ac:dyDescent="0.25">
      <c r="A96" s="25" t="str">
        <f t="shared" si="9"/>
        <v>hr_appraisal;base.group_user;1000;1000;1000;1000;1000;1000;1000;1000</v>
      </c>
      <c r="B96">
        <f t="shared" si="7"/>
        <v>1000</v>
      </c>
      <c r="C96">
        <f t="shared" si="10"/>
        <v>1000</v>
      </c>
      <c r="D96">
        <f t="shared" si="10"/>
        <v>1000</v>
      </c>
      <c r="E96">
        <f t="shared" si="10"/>
        <v>1000</v>
      </c>
      <c r="F96">
        <f t="shared" si="10"/>
        <v>1000</v>
      </c>
      <c r="G96">
        <f t="shared" si="10"/>
        <v>1000</v>
      </c>
      <c r="H96">
        <f t="shared" si="10"/>
        <v>1000</v>
      </c>
      <c r="I96">
        <f t="shared" si="10"/>
        <v>1000</v>
      </c>
      <c r="J96" s="14" t="s">
        <v>1082</v>
      </c>
      <c r="K96" s="14" t="s">
        <v>1060</v>
      </c>
      <c r="L96" s="29"/>
      <c r="M96" s="14" t="e">
        <f>INDEX('Pivot Analysis'!A:B,MATCH(J96,'Pivot Analysis'!B:B,0),1)</f>
        <v>#N/A</v>
      </c>
      <c r="N96" s="14" t="e">
        <f>INDEX(Cloc!E:F,MATCH(J96,Cloc!F:F,0),1)</f>
        <v>#N/A</v>
      </c>
      <c r="O96" s="14">
        <f t="shared" si="8"/>
        <v>1000</v>
      </c>
      <c r="P96" s="14">
        <f>O96/Q96</f>
        <v>1000</v>
      </c>
      <c r="Q96">
        <f>MAX(1,SUMPRODUCT($R$1:$AD$1,R96:AD96))</f>
        <v>1</v>
      </c>
      <c r="Z96">
        <v>1</v>
      </c>
    </row>
    <row r="97" spans="1:26" x14ac:dyDescent="0.25">
      <c r="A97" s="25" t="str">
        <f t="shared" si="9"/>
        <v>hr_attendance;base.group_user;6,6;13,2;19,8;19,8;19,8;19,8;19,8;19,8</v>
      </c>
      <c r="B97">
        <f t="shared" si="7"/>
        <v>6.5999999999999979</v>
      </c>
      <c r="C97">
        <f t="shared" si="10"/>
        <v>13.199999999999996</v>
      </c>
      <c r="D97">
        <f t="shared" si="10"/>
        <v>19.799999999999994</v>
      </c>
      <c r="E97">
        <f t="shared" si="10"/>
        <v>19.799999999999994</v>
      </c>
      <c r="F97">
        <f t="shared" si="10"/>
        <v>19.799999999999994</v>
      </c>
      <c r="G97">
        <f t="shared" si="10"/>
        <v>19.799999999999994</v>
      </c>
      <c r="H97">
        <f t="shared" si="10"/>
        <v>19.799999999999994</v>
      </c>
      <c r="I97">
        <f t="shared" si="10"/>
        <v>19.799999999999994</v>
      </c>
      <c r="J97" s="12" t="s">
        <v>108</v>
      </c>
      <c r="K97" s="14" t="s">
        <v>1060</v>
      </c>
      <c r="L97" s="29"/>
      <c r="M97" s="14">
        <f>INDEX('Pivot Analysis'!A:B,MATCH(J97,'Pivot Analysis'!B:B,0),1)</f>
        <v>19.799999999999994</v>
      </c>
      <c r="N97" s="14">
        <f>INDEX(Cloc!E:F,MATCH(J97,Cloc!F:F,0),1)</f>
        <v>247.56</v>
      </c>
      <c r="O97" s="14">
        <f t="shared" si="8"/>
        <v>19.799999999999994</v>
      </c>
      <c r="P97" s="14">
        <f>O97/Q97</f>
        <v>6.5999999999999979</v>
      </c>
      <c r="Q97">
        <f>MAX(1,SUMPRODUCT($R$1:$AD$1,R97:AD97))</f>
        <v>3</v>
      </c>
      <c r="Y97">
        <v>1</v>
      </c>
    </row>
    <row r="98" spans="1:26" x14ac:dyDescent="0.25">
      <c r="A98" s="25" t="str">
        <f t="shared" si="9"/>
        <v>hr_calendar;base.group_user;4,2;8,4;12,6;16,8;21;21;21;21</v>
      </c>
      <c r="B98">
        <f t="shared" si="7"/>
        <v>4.2</v>
      </c>
      <c r="C98">
        <f t="shared" si="10"/>
        <v>8.4</v>
      </c>
      <c r="D98">
        <f t="shared" si="10"/>
        <v>12.600000000000001</v>
      </c>
      <c r="E98">
        <f t="shared" si="10"/>
        <v>16.8</v>
      </c>
      <c r="F98">
        <f t="shared" si="10"/>
        <v>21</v>
      </c>
      <c r="G98">
        <f t="shared" si="10"/>
        <v>21</v>
      </c>
      <c r="H98">
        <f t="shared" si="10"/>
        <v>21</v>
      </c>
      <c r="I98">
        <f t="shared" si="10"/>
        <v>21</v>
      </c>
      <c r="J98" s="12" t="s">
        <v>1045</v>
      </c>
      <c r="K98" s="14" t="s">
        <v>1060</v>
      </c>
      <c r="L98" s="29"/>
      <c r="M98" s="14" t="e">
        <f>INDEX('Pivot Analysis'!A:B,MATCH(J98,'Pivot Analysis'!B:B,0),1)</f>
        <v>#N/A</v>
      </c>
      <c r="N98" s="14">
        <f>INDEX(Cloc!E:F,MATCH(J98,Cloc!F:F,0),1)</f>
        <v>21</v>
      </c>
      <c r="O98" s="14">
        <f t="shared" si="8"/>
        <v>21</v>
      </c>
      <c r="P98" s="14">
        <f>O98/Q98</f>
        <v>4.2</v>
      </c>
      <c r="Q98">
        <f>MAX(1,SUMPRODUCT($R$1:$AD$1,R98:AD98))</f>
        <v>5</v>
      </c>
      <c r="W98">
        <v>1</v>
      </c>
      <c r="X98" t="str">
        <f>IF(SUM(R98:W98)=0,VLOOKUP(J98,#REF!,1,0),"")</f>
        <v/>
      </c>
      <c r="Y98" t="str">
        <f>IF(SUM(R98:X98)&gt;0,"",VLOOKUP(J98,'Apps-from-odoo'!A:A,1,0))</f>
        <v/>
      </c>
    </row>
    <row r="99" spans="1:26" x14ac:dyDescent="0.25">
      <c r="A99" s="25" t="str">
        <f t="shared" si="9"/>
        <v>hr_contract;base.group_user;0,9;1,8;2,7;3,6;4,5;4,5;4,5;4,5</v>
      </c>
      <c r="B99">
        <f t="shared" si="7"/>
        <v>0.9</v>
      </c>
      <c r="C99">
        <f t="shared" si="10"/>
        <v>1.8</v>
      </c>
      <c r="D99">
        <f t="shared" si="10"/>
        <v>2.7</v>
      </c>
      <c r="E99">
        <f t="shared" si="10"/>
        <v>3.6</v>
      </c>
      <c r="F99">
        <f t="shared" si="10"/>
        <v>4.5</v>
      </c>
      <c r="G99">
        <f t="shared" si="10"/>
        <v>4.5</v>
      </c>
      <c r="H99">
        <f t="shared" si="10"/>
        <v>4.5</v>
      </c>
      <c r="I99">
        <f t="shared" si="10"/>
        <v>4.5</v>
      </c>
      <c r="J99" s="12" t="s">
        <v>110</v>
      </c>
      <c r="K99" s="14" t="s">
        <v>1060</v>
      </c>
      <c r="L99" s="29"/>
      <c r="M99" s="14">
        <f>INDEX('Pivot Analysis'!A:B,MATCH(J99,'Pivot Analysis'!B:B,0),1)</f>
        <v>4.5</v>
      </c>
      <c r="N99" s="14">
        <f>INDEX(Cloc!E:F,MATCH(J99,Cloc!F:F,0),1)</f>
        <v>120.72</v>
      </c>
      <c r="O99" s="14">
        <f t="shared" si="8"/>
        <v>4.5</v>
      </c>
      <c r="P99" s="14">
        <f>O99/Q99</f>
        <v>0.9</v>
      </c>
      <c r="Q99">
        <f>MAX(1,SUMPRODUCT($R$1:$AD$1,R99:AD99))</f>
        <v>5</v>
      </c>
      <c r="X99">
        <v>1</v>
      </c>
      <c r="Y99" t="str">
        <f>IF(SUM(R99:X99)&gt;0,"",VLOOKUP(J99,'Apps-from-odoo'!A:A,1,0))</f>
        <v/>
      </c>
    </row>
    <row r="100" spans="1:26" x14ac:dyDescent="0.25">
      <c r="A100" s="25" t="str">
        <f t="shared" si="9"/>
        <v>hr_expense;base.group_user;2,4;4,8;7,2;9,6;12;12;12;12</v>
      </c>
      <c r="B100">
        <f t="shared" si="7"/>
        <v>2.4</v>
      </c>
      <c r="C100">
        <f t="shared" si="10"/>
        <v>4.8</v>
      </c>
      <c r="D100">
        <f t="shared" si="10"/>
        <v>7.1999999999999993</v>
      </c>
      <c r="E100">
        <f t="shared" si="10"/>
        <v>9.6</v>
      </c>
      <c r="F100">
        <f t="shared" si="10"/>
        <v>12</v>
      </c>
      <c r="G100">
        <f t="shared" si="10"/>
        <v>12</v>
      </c>
      <c r="H100">
        <f t="shared" si="10"/>
        <v>12</v>
      </c>
      <c r="I100">
        <f t="shared" si="10"/>
        <v>12</v>
      </c>
      <c r="J100" s="12" t="s">
        <v>112</v>
      </c>
      <c r="K100" s="14" t="s">
        <v>1060</v>
      </c>
      <c r="L100" s="29"/>
      <c r="M100" s="14">
        <f>INDEX('Pivot Analysis'!A:B,MATCH(J100,'Pivot Analysis'!B:B,0),1)</f>
        <v>12</v>
      </c>
      <c r="N100" s="14">
        <f>INDEX(Cloc!E:F,MATCH(J100,Cloc!F:F,0),1)</f>
        <v>373.02</v>
      </c>
      <c r="O100" s="14">
        <f t="shared" si="8"/>
        <v>12</v>
      </c>
      <c r="P100" s="14">
        <f>O100/Q100</f>
        <v>2.4</v>
      </c>
      <c r="Q100">
        <f>MAX(1,SUMPRODUCT($R$1:$AD$1,R100:AD100))</f>
        <v>5</v>
      </c>
      <c r="X100">
        <v>1</v>
      </c>
      <c r="Y100" t="str">
        <f>IF(SUM(R100:X100)&gt;0,"",VLOOKUP(J100,'Apps-from-odoo'!A:A,1,0))</f>
        <v/>
      </c>
    </row>
    <row r="101" spans="1:26" x14ac:dyDescent="0.25">
      <c r="A101" s="25" t="str">
        <f t="shared" si="9"/>
        <v>hr_fleet;base.group_user;9,6;19,2;28,8;38,4;48;48;48;48</v>
      </c>
      <c r="B101">
        <f t="shared" si="7"/>
        <v>9.6</v>
      </c>
      <c r="C101">
        <f t="shared" si="10"/>
        <v>19.2</v>
      </c>
      <c r="D101">
        <f t="shared" si="10"/>
        <v>28.799999999999997</v>
      </c>
      <c r="E101">
        <f t="shared" si="10"/>
        <v>38.4</v>
      </c>
      <c r="F101">
        <f t="shared" si="10"/>
        <v>48</v>
      </c>
      <c r="G101">
        <f t="shared" si="10"/>
        <v>48</v>
      </c>
      <c r="H101">
        <f t="shared" si="10"/>
        <v>48</v>
      </c>
      <c r="I101">
        <f t="shared" si="10"/>
        <v>48</v>
      </c>
      <c r="J101" s="12" t="s">
        <v>114</v>
      </c>
      <c r="K101" s="14" t="s">
        <v>1060</v>
      </c>
      <c r="L101" s="29"/>
      <c r="M101" s="14">
        <f>INDEX('Pivot Analysis'!A:B,MATCH(J101,'Pivot Analysis'!B:B,0),1)</f>
        <v>48</v>
      </c>
      <c r="N101" s="14">
        <f>INDEX(Cloc!E:F,MATCH(J101,Cloc!F:F,0),1)</f>
        <v>48.66</v>
      </c>
      <c r="O101" s="14">
        <f t="shared" si="8"/>
        <v>48</v>
      </c>
      <c r="P101" s="14">
        <f>O101/Q101</f>
        <v>9.6</v>
      </c>
      <c r="Q101">
        <f>MAX(1,SUMPRODUCT($R$1:$AD$1,R101:AD101))</f>
        <v>5</v>
      </c>
      <c r="X101">
        <v>1</v>
      </c>
      <c r="Y101" t="str">
        <f>IF(SUM(R101:X101)&gt;0,"",VLOOKUP(J101,'Apps-from-odoo'!A:A,1,0))</f>
        <v/>
      </c>
    </row>
    <row r="102" spans="1:26" x14ac:dyDescent="0.25">
      <c r="A102" s="25" t="str">
        <f t="shared" si="9"/>
        <v>hr_gamification;base.group_user;1;2;3;3;3;3;3;3</v>
      </c>
      <c r="B102">
        <f t="shared" si="7"/>
        <v>1</v>
      </c>
      <c r="C102">
        <f t="shared" si="10"/>
        <v>2</v>
      </c>
      <c r="D102">
        <f t="shared" si="10"/>
        <v>3</v>
      </c>
      <c r="E102">
        <f t="shared" si="10"/>
        <v>3</v>
      </c>
      <c r="F102">
        <f t="shared" si="10"/>
        <v>3</v>
      </c>
      <c r="G102">
        <f t="shared" si="10"/>
        <v>3</v>
      </c>
      <c r="H102">
        <f t="shared" si="10"/>
        <v>3</v>
      </c>
      <c r="I102">
        <f t="shared" si="10"/>
        <v>3</v>
      </c>
      <c r="J102" s="12" t="s">
        <v>117</v>
      </c>
      <c r="K102" s="14" t="s">
        <v>1060</v>
      </c>
      <c r="L102" s="29"/>
      <c r="M102" s="14">
        <f>INDEX('Pivot Analysis'!A:B,MATCH(J102,'Pivot Analysis'!B:B,0),1)</f>
        <v>3</v>
      </c>
      <c r="N102" s="14">
        <f>INDEX(Cloc!E:F,MATCH(J102,Cloc!F:F,0),1)</f>
        <v>20.04</v>
      </c>
      <c r="O102" s="14">
        <f t="shared" si="8"/>
        <v>3</v>
      </c>
      <c r="P102" s="14">
        <f>O102/Q102</f>
        <v>1</v>
      </c>
      <c r="Q102">
        <f>MAX(1,SUMPRODUCT($R$1:$AD$1,R102:AD102))</f>
        <v>3</v>
      </c>
      <c r="Y102">
        <v>1</v>
      </c>
    </row>
    <row r="103" spans="1:26" x14ac:dyDescent="0.25">
      <c r="A103" s="25" t="str">
        <f t="shared" si="9"/>
        <v>hr_holidays;base.group_user;16,02;32,04;48,06;64,08;80,1;80,1;80,1;80,1</v>
      </c>
      <c r="B103">
        <f t="shared" si="7"/>
        <v>16.02</v>
      </c>
      <c r="C103">
        <f t="shared" si="10"/>
        <v>32.04</v>
      </c>
      <c r="D103">
        <f t="shared" si="10"/>
        <v>48.06</v>
      </c>
      <c r="E103">
        <f t="shared" si="10"/>
        <v>64.08</v>
      </c>
      <c r="F103">
        <f t="shared" si="10"/>
        <v>80.099999999999994</v>
      </c>
      <c r="G103">
        <f t="shared" si="10"/>
        <v>80.099999999999994</v>
      </c>
      <c r="H103">
        <f t="shared" si="10"/>
        <v>80.099999999999994</v>
      </c>
      <c r="I103">
        <f t="shared" si="10"/>
        <v>80.099999999999994</v>
      </c>
      <c r="J103" s="12" t="s">
        <v>118</v>
      </c>
      <c r="K103" s="14" t="s">
        <v>1060</v>
      </c>
      <c r="L103" s="29"/>
      <c r="M103" s="14">
        <f>INDEX('Pivot Analysis'!A:B,MATCH(J103,'Pivot Analysis'!B:B,0),1)</f>
        <v>80.099999999999994</v>
      </c>
      <c r="N103" s="14">
        <f>INDEX(Cloc!E:F,MATCH(J103,Cloc!F:F,0),1)</f>
        <v>691.8</v>
      </c>
      <c r="O103" s="14">
        <f t="shared" si="8"/>
        <v>80.099999999999994</v>
      </c>
      <c r="P103" s="14">
        <f>O103/Q103</f>
        <v>16.02</v>
      </c>
      <c r="Q103">
        <f>MAX(1,SUMPRODUCT($R$1:$AD$1,R103:AD103))</f>
        <v>5</v>
      </c>
      <c r="X103">
        <v>1</v>
      </c>
      <c r="Y103" t="str">
        <f>IF(SUM(R103:X103)&gt;0,"",VLOOKUP(J103,'Apps-from-odoo'!A:A,1,0))</f>
        <v/>
      </c>
    </row>
    <row r="104" spans="1:26" x14ac:dyDescent="0.25">
      <c r="A104" s="25" t="str">
        <f t="shared" si="9"/>
        <v>hr_holidays_attendance;base.group_user;0;0;0;0;0;0;0;0</v>
      </c>
      <c r="B104">
        <f t="shared" si="7"/>
        <v>0</v>
      </c>
      <c r="C104">
        <f t="shared" si="10"/>
        <v>0</v>
      </c>
      <c r="D104">
        <f t="shared" si="10"/>
        <v>0</v>
      </c>
      <c r="E104">
        <f t="shared" si="10"/>
        <v>0</v>
      </c>
      <c r="F104">
        <f t="shared" si="10"/>
        <v>0</v>
      </c>
      <c r="G104">
        <f t="shared" si="10"/>
        <v>0</v>
      </c>
      <c r="H104">
        <f t="shared" si="10"/>
        <v>0</v>
      </c>
      <c r="I104">
        <f t="shared" si="10"/>
        <v>0</v>
      </c>
      <c r="J104" s="12" t="s">
        <v>120</v>
      </c>
      <c r="K104" s="14" t="s">
        <v>1060</v>
      </c>
      <c r="L104" s="29"/>
      <c r="M104" s="14">
        <f>INDEX('Pivot Analysis'!A:B,MATCH(J104,'Pivot Analysis'!B:B,0),1)</f>
        <v>0</v>
      </c>
      <c r="N104" s="14">
        <f>INDEX(Cloc!E:F,MATCH(J104,Cloc!F:F,0),1)</f>
        <v>32.160000000000004</v>
      </c>
      <c r="O104" s="14">
        <f t="shared" si="8"/>
        <v>0</v>
      </c>
      <c r="P104" s="14">
        <f>O104/Q104</f>
        <v>0</v>
      </c>
      <c r="Q104">
        <f>MAX(1,SUMPRODUCT($R$1:$AD$1,R104:AD104))</f>
        <v>3</v>
      </c>
      <c r="Y104">
        <v>1</v>
      </c>
    </row>
    <row r="105" spans="1:26" x14ac:dyDescent="0.25">
      <c r="A105" s="25" t="str">
        <f t="shared" si="9"/>
        <v>hr_holidays_contract;base.group_user;2,472;4,944;7,416;9,888;12,36;12,36;12,36;12,36</v>
      </c>
      <c r="B105">
        <f t="shared" si="7"/>
        <v>2.472</v>
      </c>
      <c r="C105">
        <f t="shared" si="10"/>
        <v>4.944</v>
      </c>
      <c r="D105">
        <f t="shared" si="10"/>
        <v>7.4160000000000004</v>
      </c>
      <c r="E105">
        <f t="shared" si="10"/>
        <v>9.8879999999999999</v>
      </c>
      <c r="F105">
        <f t="shared" si="10"/>
        <v>12.36</v>
      </c>
      <c r="G105">
        <f t="shared" si="10"/>
        <v>12.36</v>
      </c>
      <c r="H105">
        <f t="shared" si="10"/>
        <v>12.36</v>
      </c>
      <c r="I105">
        <f t="shared" si="10"/>
        <v>12.36</v>
      </c>
      <c r="J105" s="14" t="s">
        <v>1050</v>
      </c>
      <c r="K105" s="14" t="s">
        <v>1060</v>
      </c>
      <c r="L105" s="29"/>
      <c r="M105" s="14" t="e">
        <f>INDEX('Pivot Analysis'!A:B,MATCH(J105,'Pivot Analysis'!B:B,0),1)</f>
        <v>#N/A</v>
      </c>
      <c r="N105" s="14">
        <f>INDEX(Cloc!E:F,MATCH(J105,Cloc!F:F,0),1)</f>
        <v>12.36</v>
      </c>
      <c r="O105" s="14">
        <f t="shared" si="8"/>
        <v>12.36</v>
      </c>
      <c r="P105" s="14">
        <f>O105/Q105</f>
        <v>2.472</v>
      </c>
      <c r="Q105">
        <f>MAX(1,SUMPRODUCT($R$1:$AD$1,R105:AD105))</f>
        <v>5</v>
      </c>
      <c r="X105">
        <v>1</v>
      </c>
      <c r="Y105" t="str">
        <f>IF(SUM(R105:X105)&gt;0,"",VLOOKUP(J105,'Apps-from-odoo'!A:A,1,0))</f>
        <v/>
      </c>
    </row>
    <row r="106" spans="1:26" x14ac:dyDescent="0.25">
      <c r="A106" s="25" t="str">
        <f t="shared" si="9"/>
        <v>hr_homeworking;base.group_user;78;78;78;78;78;78;78;78</v>
      </c>
      <c r="B106">
        <f t="shared" si="7"/>
        <v>77.999999999999986</v>
      </c>
      <c r="C106">
        <f t="shared" si="10"/>
        <v>77.999999999999986</v>
      </c>
      <c r="D106">
        <f t="shared" si="10"/>
        <v>77.999999999999986</v>
      </c>
      <c r="E106">
        <f t="shared" si="10"/>
        <v>77.999999999999986</v>
      </c>
      <c r="F106">
        <f t="shared" si="10"/>
        <v>77.999999999999986</v>
      </c>
      <c r="G106">
        <f t="shared" si="10"/>
        <v>77.999999999999986</v>
      </c>
      <c r="H106">
        <f t="shared" si="10"/>
        <v>77.999999999999986</v>
      </c>
      <c r="I106">
        <f t="shared" si="10"/>
        <v>77.999999999999986</v>
      </c>
      <c r="J106" s="12" t="s">
        <v>793</v>
      </c>
      <c r="K106" s="14" t="s">
        <v>1060</v>
      </c>
      <c r="L106" s="29"/>
      <c r="M106" s="14">
        <f>INDEX('Pivot Analysis'!A:B,MATCH(J106,'Pivot Analysis'!B:B,0),1)</f>
        <v>77.999999999999986</v>
      </c>
      <c r="N106" s="14" t="e">
        <f>INDEX(Cloc!E:F,MATCH(J106,Cloc!F:F,0),1)</f>
        <v>#N/A</v>
      </c>
      <c r="O106" s="14">
        <f t="shared" si="8"/>
        <v>77.999999999999986</v>
      </c>
      <c r="P106" s="14">
        <f>O106/Q106</f>
        <v>77.999999999999986</v>
      </c>
      <c r="Q106">
        <f>MAX(1,SUMPRODUCT($R$1:$AD$1,R106:AD106))</f>
        <v>1</v>
      </c>
    </row>
    <row r="107" spans="1:26" x14ac:dyDescent="0.25">
      <c r="A107" s="25" t="str">
        <f t="shared" si="9"/>
        <v>hr_homeworking_calendar;base.group_user;1000;1000;1000;1000;1000;1000;1000;1000</v>
      </c>
      <c r="B107">
        <f t="shared" si="7"/>
        <v>1000</v>
      </c>
      <c r="C107">
        <f t="shared" si="10"/>
        <v>1000</v>
      </c>
      <c r="D107">
        <f t="shared" si="10"/>
        <v>1000</v>
      </c>
      <c r="E107">
        <f t="shared" si="10"/>
        <v>1000</v>
      </c>
      <c r="F107">
        <f t="shared" si="10"/>
        <v>1000</v>
      </c>
      <c r="G107">
        <f t="shared" si="10"/>
        <v>1000</v>
      </c>
      <c r="H107">
        <f t="shared" si="10"/>
        <v>1000</v>
      </c>
      <c r="I107">
        <f t="shared" si="10"/>
        <v>1000</v>
      </c>
      <c r="J107" s="14" t="s">
        <v>1090</v>
      </c>
      <c r="K107" s="14" t="s">
        <v>1060</v>
      </c>
      <c r="L107" s="29"/>
      <c r="M107" s="14" t="e">
        <f>INDEX('Pivot Analysis'!A:B,MATCH(J107,'Pivot Analysis'!B:B,0),1)</f>
        <v>#N/A</v>
      </c>
      <c r="N107" s="14" t="e">
        <f>INDEX(Cloc!E:F,MATCH(J107,Cloc!F:F,0),1)</f>
        <v>#N/A</v>
      </c>
      <c r="O107" s="14">
        <f t="shared" si="8"/>
        <v>1000</v>
      </c>
      <c r="P107" s="14">
        <f>O107/Q107</f>
        <v>1000</v>
      </c>
      <c r="Q107">
        <f>MAX(1,SUMPRODUCT($R$1:$AD$1,R107:AD107))</f>
        <v>1</v>
      </c>
      <c r="Z107">
        <v>1</v>
      </c>
    </row>
    <row r="108" spans="1:26" x14ac:dyDescent="0.25">
      <c r="A108" s="25" t="str">
        <f t="shared" si="9"/>
        <v>hr_hourly_cost;base.group_user;0;0;0;0;0;0;0;0</v>
      </c>
      <c r="B108">
        <f t="shared" si="7"/>
        <v>0</v>
      </c>
      <c r="C108">
        <f t="shared" si="10"/>
        <v>0</v>
      </c>
      <c r="D108">
        <f t="shared" si="10"/>
        <v>0</v>
      </c>
      <c r="E108">
        <f t="shared" si="10"/>
        <v>0</v>
      </c>
      <c r="F108">
        <f t="shared" si="10"/>
        <v>0</v>
      </c>
      <c r="G108">
        <f t="shared" si="10"/>
        <v>0</v>
      </c>
      <c r="H108">
        <f t="shared" si="10"/>
        <v>0</v>
      </c>
      <c r="I108">
        <f t="shared" si="10"/>
        <v>0</v>
      </c>
      <c r="J108" s="12" t="s">
        <v>122</v>
      </c>
      <c r="K108" s="14" t="s">
        <v>1060</v>
      </c>
      <c r="L108" s="29"/>
      <c r="M108" s="14">
        <f>INDEX('Pivot Analysis'!A:B,MATCH(J108,'Pivot Analysis'!B:B,0),1)</f>
        <v>0</v>
      </c>
      <c r="N108" s="14" t="e">
        <f>INDEX(Cloc!E:F,MATCH(J108,Cloc!F:F,0),1)</f>
        <v>#N/A</v>
      </c>
      <c r="O108" s="14">
        <f t="shared" si="8"/>
        <v>0</v>
      </c>
      <c r="P108" s="14">
        <f>O108/Q108</f>
        <v>0</v>
      </c>
      <c r="Q108">
        <f>MAX(1,SUMPRODUCT($R$1:$AD$1,R108:AD108))</f>
        <v>1</v>
      </c>
    </row>
    <row r="109" spans="1:26" x14ac:dyDescent="0.25">
      <c r="A109" s="25" t="str">
        <f t="shared" si="9"/>
        <v>hr_livechat;base.group_user;10;20;30;30;30;30;30;30</v>
      </c>
      <c r="B109">
        <f t="shared" si="7"/>
        <v>10</v>
      </c>
      <c r="C109">
        <f t="shared" si="10"/>
        <v>20</v>
      </c>
      <c r="D109">
        <f t="shared" si="10"/>
        <v>30</v>
      </c>
      <c r="E109">
        <f t="shared" si="10"/>
        <v>30</v>
      </c>
      <c r="F109">
        <f t="shared" si="10"/>
        <v>30</v>
      </c>
      <c r="G109">
        <f t="shared" si="10"/>
        <v>30</v>
      </c>
      <c r="H109">
        <f t="shared" si="10"/>
        <v>30</v>
      </c>
      <c r="I109">
        <f t="shared" si="10"/>
        <v>30</v>
      </c>
      <c r="J109" s="12" t="s">
        <v>795</v>
      </c>
      <c r="K109" s="14" t="s">
        <v>1060</v>
      </c>
      <c r="L109" s="29"/>
      <c r="M109" s="14">
        <f>INDEX('Pivot Analysis'!A:B,MATCH(J109,'Pivot Analysis'!B:B,0),1)</f>
        <v>30</v>
      </c>
      <c r="N109" s="14">
        <f>INDEX(Cloc!E:F,MATCH(J109,Cloc!F:F,0),1)</f>
        <v>0.96</v>
      </c>
      <c r="O109" s="14">
        <f t="shared" si="8"/>
        <v>30</v>
      </c>
      <c r="P109" s="14">
        <f>O109/Q109</f>
        <v>10</v>
      </c>
      <c r="Q109">
        <f>MAX(1,SUMPRODUCT($R$1:$AD$1,R109:AD109))</f>
        <v>3</v>
      </c>
      <c r="Y109">
        <v>1</v>
      </c>
    </row>
    <row r="110" spans="1:26" x14ac:dyDescent="0.25">
      <c r="A110" s="25" t="str">
        <f t="shared" si="9"/>
        <v>hr_maintenance;base.group_user;1;2;3;3;3;3;3;3</v>
      </c>
      <c r="B110">
        <f t="shared" si="7"/>
        <v>1</v>
      </c>
      <c r="C110">
        <f t="shared" si="10"/>
        <v>2</v>
      </c>
      <c r="D110">
        <f t="shared" si="10"/>
        <v>3</v>
      </c>
      <c r="E110">
        <f t="shared" si="10"/>
        <v>3</v>
      </c>
      <c r="F110">
        <f t="shared" si="10"/>
        <v>3</v>
      </c>
      <c r="G110">
        <f t="shared" si="10"/>
        <v>3</v>
      </c>
      <c r="H110">
        <f t="shared" si="10"/>
        <v>3</v>
      </c>
      <c r="I110">
        <f t="shared" si="10"/>
        <v>3</v>
      </c>
      <c r="J110" s="12" t="s">
        <v>123</v>
      </c>
      <c r="K110" s="14" t="s">
        <v>1060</v>
      </c>
      <c r="L110" s="29"/>
      <c r="M110" s="14">
        <f>INDEX('Pivot Analysis'!A:B,MATCH(J110,'Pivot Analysis'!B:B,0),1)</f>
        <v>3</v>
      </c>
      <c r="N110" s="14">
        <f>INDEX(Cloc!E:F,MATCH(J110,Cloc!F:F,0),1)</f>
        <v>21.9</v>
      </c>
      <c r="O110" s="14">
        <f t="shared" si="8"/>
        <v>3</v>
      </c>
      <c r="P110" s="14">
        <f>O110/Q110</f>
        <v>1</v>
      </c>
      <c r="Q110">
        <f>MAX(1,SUMPRODUCT($R$1:$AD$1,R110:AD110))</f>
        <v>3</v>
      </c>
      <c r="Y110">
        <v>1</v>
      </c>
    </row>
    <row r="111" spans="1:26" x14ac:dyDescent="0.25">
      <c r="A111" s="25" t="str">
        <f t="shared" si="9"/>
        <v>hr_org_chart;base.group_user;0,66;1,32;1,98;2,64;3,3;3,3;3,3;3,3</v>
      </c>
      <c r="B111">
        <f t="shared" si="7"/>
        <v>0.65999999999999992</v>
      </c>
      <c r="C111">
        <f t="shared" si="10"/>
        <v>1.3199999999999998</v>
      </c>
      <c r="D111">
        <f t="shared" si="10"/>
        <v>1.9799999999999998</v>
      </c>
      <c r="E111">
        <f t="shared" si="10"/>
        <v>2.6399999999999997</v>
      </c>
      <c r="F111">
        <f t="shared" si="10"/>
        <v>3.3</v>
      </c>
      <c r="G111">
        <f t="shared" si="10"/>
        <v>3.3</v>
      </c>
      <c r="H111">
        <f t="shared" si="10"/>
        <v>3.3</v>
      </c>
      <c r="I111">
        <f t="shared" si="10"/>
        <v>3.3</v>
      </c>
      <c r="J111" s="12" t="s">
        <v>124</v>
      </c>
      <c r="K111" s="14" t="s">
        <v>1060</v>
      </c>
      <c r="L111" s="29"/>
      <c r="M111" s="14">
        <f>INDEX('Pivot Analysis'!A:B,MATCH(J111,'Pivot Analysis'!B:B,0),1)</f>
        <v>3.3</v>
      </c>
      <c r="N111" s="14">
        <f>INDEX(Cloc!E:F,MATCH(J111,Cloc!F:F,0),1)</f>
        <v>55.92</v>
      </c>
      <c r="O111" s="14">
        <f t="shared" si="8"/>
        <v>3.3</v>
      </c>
      <c r="P111" s="14">
        <f>O111/Q111</f>
        <v>0.65999999999999992</v>
      </c>
      <c r="Q111">
        <f>MAX(1,SUMPRODUCT($R$1:$AD$1,R111:AD111))</f>
        <v>5</v>
      </c>
      <c r="W111">
        <v>1</v>
      </c>
      <c r="X111" t="str">
        <f>IF(SUM(R111:W111)=0,VLOOKUP(J111,#REF!,1,0),"")</f>
        <v/>
      </c>
      <c r="Y111" t="str">
        <f>IF(SUM(R111:X111)&gt;0,"",VLOOKUP(J111,'Apps-from-odoo'!A:A,1,0))</f>
        <v/>
      </c>
    </row>
    <row r="112" spans="1:26" x14ac:dyDescent="0.25">
      <c r="A112" s="25" t="str">
        <f t="shared" si="9"/>
        <v>hr_presence;base.group_user;6,3;6,3;6,3;6,3;6,3;6,3;6,3;6,3</v>
      </c>
      <c r="B112">
        <f t="shared" si="7"/>
        <v>6.3</v>
      </c>
      <c r="C112">
        <f t="shared" si="10"/>
        <v>6.3</v>
      </c>
      <c r="D112">
        <f t="shared" si="10"/>
        <v>6.3</v>
      </c>
      <c r="E112">
        <f t="shared" si="10"/>
        <v>6.3</v>
      </c>
      <c r="F112">
        <f t="shared" si="10"/>
        <v>6.3</v>
      </c>
      <c r="G112">
        <f t="shared" si="10"/>
        <v>6.3</v>
      </c>
      <c r="H112">
        <f t="shared" si="10"/>
        <v>6.3</v>
      </c>
      <c r="I112">
        <f t="shared" si="10"/>
        <v>6.3</v>
      </c>
      <c r="J112" s="12" t="s">
        <v>125</v>
      </c>
      <c r="K112" s="14" t="s">
        <v>1060</v>
      </c>
      <c r="L112" s="29"/>
      <c r="M112" s="14">
        <f>INDEX('Pivot Analysis'!A:B,MATCH(J112,'Pivot Analysis'!B:B,0),1)</f>
        <v>6.3</v>
      </c>
      <c r="N112" s="14" t="e">
        <f>INDEX(Cloc!E:F,MATCH(J112,Cloc!F:F,0),1)</f>
        <v>#N/A</v>
      </c>
      <c r="O112" s="14">
        <f t="shared" si="8"/>
        <v>6.3</v>
      </c>
      <c r="P112" s="14">
        <f>O112/Q112</f>
        <v>6.3</v>
      </c>
      <c r="Q112">
        <f>MAX(1,SUMPRODUCT($R$1:$AD$1,R112:AD112))</f>
        <v>1</v>
      </c>
    </row>
    <row r="113" spans="1:25" x14ac:dyDescent="0.25">
      <c r="A113" s="25" t="str">
        <f t="shared" si="9"/>
        <v>hr_recruitment;base.group_user;43,4;86,8;130,2;130,2;130,2;130,2;130,2;130,2</v>
      </c>
      <c r="B113">
        <f t="shared" si="7"/>
        <v>43.4</v>
      </c>
      <c r="C113">
        <f t="shared" si="10"/>
        <v>86.8</v>
      </c>
      <c r="D113">
        <f t="shared" si="10"/>
        <v>130.19999999999999</v>
      </c>
      <c r="E113">
        <f t="shared" si="10"/>
        <v>130.19999999999999</v>
      </c>
      <c r="F113">
        <f t="shared" si="10"/>
        <v>130.19999999999999</v>
      </c>
      <c r="G113">
        <f t="shared" si="10"/>
        <v>130.19999999999999</v>
      </c>
      <c r="H113">
        <f t="shared" si="10"/>
        <v>130.19999999999999</v>
      </c>
      <c r="I113">
        <f t="shared" si="10"/>
        <v>130.19999999999999</v>
      </c>
      <c r="J113" s="12" t="s">
        <v>126</v>
      </c>
      <c r="K113" s="14" t="s">
        <v>1060</v>
      </c>
      <c r="L113" s="29"/>
      <c r="M113" s="14">
        <f>INDEX('Pivot Analysis'!A:B,MATCH(J113,'Pivot Analysis'!B:B,0),1)</f>
        <v>130.19999999999999</v>
      </c>
      <c r="N113" s="14">
        <f>INDEX(Cloc!E:F,MATCH(J113,Cloc!F:F,0),1)</f>
        <v>364.79999999999995</v>
      </c>
      <c r="O113" s="14">
        <f t="shared" si="8"/>
        <v>130.19999999999999</v>
      </c>
      <c r="P113" s="14">
        <f>O113/Q113</f>
        <v>43.4</v>
      </c>
      <c r="Q113">
        <f>MAX(1,SUMPRODUCT($R$1:$AD$1,R113:AD113))</f>
        <v>3</v>
      </c>
      <c r="Y113">
        <v>1</v>
      </c>
    </row>
    <row r="114" spans="1:25" x14ac:dyDescent="0.25">
      <c r="A114" s="25" t="str">
        <f t="shared" si="9"/>
        <v>hr_recruitment_skills;base.group_user;18,1;36,2;54,3;54,3;54,3;54,3;54,3;54,3</v>
      </c>
      <c r="B114">
        <f t="shared" si="7"/>
        <v>18.099999999999998</v>
      </c>
      <c r="C114">
        <f t="shared" si="10"/>
        <v>36.199999999999996</v>
      </c>
      <c r="D114">
        <f t="shared" si="10"/>
        <v>54.3</v>
      </c>
      <c r="E114">
        <f t="shared" si="10"/>
        <v>54.3</v>
      </c>
      <c r="F114">
        <f t="shared" si="10"/>
        <v>54.3</v>
      </c>
      <c r="G114">
        <f t="shared" si="10"/>
        <v>54.3</v>
      </c>
      <c r="H114">
        <f t="shared" si="10"/>
        <v>54.3</v>
      </c>
      <c r="I114">
        <f t="shared" si="10"/>
        <v>54.3</v>
      </c>
      <c r="J114" s="12" t="s">
        <v>128</v>
      </c>
      <c r="K114" s="14" t="s">
        <v>1060</v>
      </c>
      <c r="L114" s="29"/>
      <c r="M114" s="14">
        <f>INDEX('Pivot Analysis'!A:B,MATCH(J114,'Pivot Analysis'!B:B,0),1)</f>
        <v>54.3</v>
      </c>
      <c r="N114" s="14">
        <f>INDEX(Cloc!E:F,MATCH(J114,Cloc!F:F,0),1)</f>
        <v>26.82</v>
      </c>
      <c r="O114" s="14">
        <f t="shared" si="8"/>
        <v>54.3</v>
      </c>
      <c r="P114" s="14">
        <f>O114/Q114</f>
        <v>18.099999999999998</v>
      </c>
      <c r="Q114">
        <f>MAX(1,SUMPRODUCT($R$1:$AD$1,R114:AD114))</f>
        <v>3</v>
      </c>
      <c r="Y114">
        <v>1</v>
      </c>
    </row>
    <row r="115" spans="1:25" x14ac:dyDescent="0.25">
      <c r="A115" s="25" t="str">
        <f t="shared" si="9"/>
        <v>hr_recruitment_survey;base.group_user;6,9;6,9;6,9;6,9;6,9;6,9;6,9;6,9</v>
      </c>
      <c r="B115">
        <f t="shared" si="7"/>
        <v>6.8999999999999995</v>
      </c>
      <c r="C115">
        <f t="shared" si="10"/>
        <v>6.8999999999999995</v>
      </c>
      <c r="D115">
        <f t="shared" si="10"/>
        <v>6.8999999999999995</v>
      </c>
      <c r="E115">
        <f t="shared" si="10"/>
        <v>6.8999999999999995</v>
      </c>
      <c r="F115">
        <f t="shared" si="10"/>
        <v>6.8999999999999995</v>
      </c>
      <c r="G115">
        <f t="shared" si="10"/>
        <v>6.8999999999999995</v>
      </c>
      <c r="H115">
        <f t="shared" si="10"/>
        <v>6.8999999999999995</v>
      </c>
      <c r="I115">
        <f t="shared" si="10"/>
        <v>6.8999999999999995</v>
      </c>
      <c r="J115" s="12" t="s">
        <v>129</v>
      </c>
      <c r="K115" s="14" t="s">
        <v>1060</v>
      </c>
      <c r="L115" s="29"/>
      <c r="M115" s="14">
        <f>INDEX('Pivot Analysis'!A:B,MATCH(J115,'Pivot Analysis'!B:B,0),1)</f>
        <v>6.8999999999999995</v>
      </c>
      <c r="N115" s="14" t="e">
        <f>INDEX(Cloc!E:F,MATCH(J115,Cloc!F:F,0),1)</f>
        <v>#N/A</v>
      </c>
      <c r="O115" s="14">
        <f t="shared" si="8"/>
        <v>6.8999999999999995</v>
      </c>
      <c r="P115" s="14">
        <f>O115/Q115</f>
        <v>6.8999999999999995</v>
      </c>
      <c r="Q115">
        <f>MAX(1,SUMPRODUCT($R$1:$AD$1,R115:AD115))</f>
        <v>1</v>
      </c>
    </row>
    <row r="116" spans="1:25" x14ac:dyDescent="0.25">
      <c r="A116" s="25" t="str">
        <f t="shared" si="9"/>
        <v>hr_skills;base.group_user;20,46;40,92;61,38;81,84;102,3;102,3;102,3;102,3</v>
      </c>
      <c r="B116">
        <f t="shared" si="7"/>
        <v>20.459999999999997</v>
      </c>
      <c r="C116">
        <f t="shared" si="10"/>
        <v>40.919999999999995</v>
      </c>
      <c r="D116">
        <f t="shared" si="10"/>
        <v>61.379999999999995</v>
      </c>
      <c r="E116">
        <f t="shared" si="10"/>
        <v>81.839999999999989</v>
      </c>
      <c r="F116">
        <f t="shared" si="10"/>
        <v>102.29999999999998</v>
      </c>
      <c r="G116">
        <f t="shared" si="10"/>
        <v>102.29999999999998</v>
      </c>
      <c r="H116">
        <f t="shared" si="10"/>
        <v>102.29999999999998</v>
      </c>
      <c r="I116">
        <f t="shared" si="10"/>
        <v>102.29999999999998</v>
      </c>
      <c r="J116" s="12" t="s">
        <v>131</v>
      </c>
      <c r="K116" s="14" t="s">
        <v>1060</v>
      </c>
      <c r="L116" s="29"/>
      <c r="M116" s="14">
        <f>INDEX('Pivot Analysis'!A:B,MATCH(J116,'Pivot Analysis'!B:B,0),1)</f>
        <v>102.29999999999998</v>
      </c>
      <c r="N116" s="14">
        <f>INDEX(Cloc!E:F,MATCH(J116,Cloc!F:F,0),1)</f>
        <v>183.42000000000002</v>
      </c>
      <c r="O116" s="14">
        <f t="shared" si="8"/>
        <v>102.29999999999998</v>
      </c>
      <c r="P116" s="14">
        <f>O116/Q116</f>
        <v>20.459999999999997</v>
      </c>
      <c r="Q116">
        <f>MAX(1,SUMPRODUCT($R$1:$AD$1,R116:AD116))</f>
        <v>5</v>
      </c>
      <c r="W116">
        <v>1</v>
      </c>
      <c r="X116" t="str">
        <f>IF(SUM(R116:W116)=0,VLOOKUP(J116,#REF!,1,0),"")</f>
        <v/>
      </c>
      <c r="Y116" t="str">
        <f>IF(SUM(R116:X116)&gt;0,"",VLOOKUP(J116,'Apps-from-odoo'!A:A,1,0))</f>
        <v/>
      </c>
    </row>
    <row r="117" spans="1:25" x14ac:dyDescent="0.25">
      <c r="A117" s="25" t="str">
        <f t="shared" si="9"/>
        <v>hr_skills_slides;base.group_user;0;0;0;0;0;0;0;0</v>
      </c>
      <c r="B117">
        <f t="shared" ref="B117:B180" si="11">$P117*MIN($Q117,B$3)</f>
        <v>0</v>
      </c>
      <c r="C117">
        <f t="shared" si="10"/>
        <v>0</v>
      </c>
      <c r="D117">
        <f t="shared" si="10"/>
        <v>0</v>
      </c>
      <c r="E117">
        <f t="shared" si="10"/>
        <v>0</v>
      </c>
      <c r="F117">
        <f t="shared" si="10"/>
        <v>0</v>
      </c>
      <c r="G117">
        <f t="shared" si="10"/>
        <v>0</v>
      </c>
      <c r="H117">
        <f t="shared" si="10"/>
        <v>0</v>
      </c>
      <c r="I117">
        <f t="shared" si="10"/>
        <v>0</v>
      </c>
      <c r="J117" s="12" t="s">
        <v>134</v>
      </c>
      <c r="K117" s="14" t="s">
        <v>1060</v>
      </c>
      <c r="L117" s="29"/>
      <c r="M117" s="14">
        <f>INDEX('Pivot Analysis'!A:B,MATCH(J117,'Pivot Analysis'!B:B,0),1)</f>
        <v>0</v>
      </c>
      <c r="N117" s="14">
        <f>INDEX(Cloc!E:F,MATCH(J117,Cloc!F:F,0),1)</f>
        <v>17.16</v>
      </c>
      <c r="O117" s="14">
        <f t="shared" si="8"/>
        <v>0</v>
      </c>
      <c r="P117" s="14">
        <f>O117/Q117</f>
        <v>0</v>
      </c>
      <c r="Q117">
        <f>MAX(1,SUMPRODUCT($R$1:$AD$1,R117:AD117))</f>
        <v>3</v>
      </c>
      <c r="Y117">
        <v>1</v>
      </c>
    </row>
    <row r="118" spans="1:25" x14ac:dyDescent="0.25">
      <c r="A118" s="25" t="str">
        <f t="shared" si="9"/>
        <v>hr_skills_survey;base.group_user;21,5;43;64,5;64,5;64,5;64,5;64,5;64,5</v>
      </c>
      <c r="B118">
        <f t="shared" si="11"/>
        <v>21.5</v>
      </c>
      <c r="C118">
        <f t="shared" si="10"/>
        <v>43</v>
      </c>
      <c r="D118">
        <f t="shared" si="10"/>
        <v>64.5</v>
      </c>
      <c r="E118">
        <f t="shared" si="10"/>
        <v>64.5</v>
      </c>
      <c r="F118">
        <f t="shared" si="10"/>
        <v>64.5</v>
      </c>
      <c r="G118">
        <f t="shared" si="10"/>
        <v>64.5</v>
      </c>
      <c r="H118">
        <f t="shared" si="10"/>
        <v>64.5</v>
      </c>
      <c r="I118">
        <f t="shared" si="10"/>
        <v>64.5</v>
      </c>
      <c r="J118" s="12" t="s">
        <v>135</v>
      </c>
      <c r="K118" s="14" t="s">
        <v>1060</v>
      </c>
      <c r="L118" s="29"/>
      <c r="M118" s="14">
        <f>INDEX('Pivot Analysis'!A:B,MATCH(J118,'Pivot Analysis'!B:B,0),1)</f>
        <v>64.5</v>
      </c>
      <c r="N118" s="14">
        <f>INDEX(Cloc!E:F,MATCH(J118,Cloc!F:F,0),1)</f>
        <v>16.559999999999999</v>
      </c>
      <c r="O118" s="14">
        <f t="shared" si="8"/>
        <v>64.5</v>
      </c>
      <c r="P118" s="14">
        <f>O118/Q118</f>
        <v>21.5</v>
      </c>
      <c r="Q118">
        <f>MAX(1,SUMPRODUCT($R$1:$AD$1,R118:AD118))</f>
        <v>3</v>
      </c>
      <c r="Y118">
        <v>1</v>
      </c>
    </row>
    <row r="119" spans="1:25" x14ac:dyDescent="0.25">
      <c r="A119" s="25" t="str">
        <f t="shared" si="9"/>
        <v>hr_timesheet;base.group_user;8,1;8,1;8,1;8,1;8,1;8,1;8,1;8,1</v>
      </c>
      <c r="B119">
        <f t="shared" si="11"/>
        <v>8.0999999999999979</v>
      </c>
      <c r="C119">
        <f t="shared" si="10"/>
        <v>8.0999999999999979</v>
      </c>
      <c r="D119">
        <f t="shared" si="10"/>
        <v>8.0999999999999979</v>
      </c>
      <c r="E119">
        <f t="shared" si="10"/>
        <v>8.0999999999999979</v>
      </c>
      <c r="F119">
        <f t="shared" si="10"/>
        <v>8.0999999999999979</v>
      </c>
      <c r="G119">
        <f t="shared" si="10"/>
        <v>8.0999999999999979</v>
      </c>
      <c r="H119">
        <f t="shared" si="10"/>
        <v>8.0999999999999979</v>
      </c>
      <c r="I119">
        <f t="shared" si="10"/>
        <v>8.0999999999999979</v>
      </c>
      <c r="J119" s="12" t="s">
        <v>138</v>
      </c>
      <c r="K119" s="14" t="s">
        <v>1060</v>
      </c>
      <c r="L119" s="29"/>
      <c r="M119" s="14">
        <f>INDEX('Pivot Analysis'!A:B,MATCH(J119,'Pivot Analysis'!B:B,0),1)</f>
        <v>8.0999999999999979</v>
      </c>
      <c r="N119" s="14" t="e">
        <f>INDEX(Cloc!E:F,MATCH(J119,Cloc!F:F,0),1)</f>
        <v>#N/A</v>
      </c>
      <c r="O119" s="14">
        <f t="shared" si="8"/>
        <v>8.0999999999999979</v>
      </c>
      <c r="P119" s="14">
        <f>O119/Q119</f>
        <v>8.0999999999999979</v>
      </c>
      <c r="Q119">
        <f>MAX(1,SUMPRODUCT($R$1:$AD$1,R119:AD119))</f>
        <v>1</v>
      </c>
    </row>
    <row r="120" spans="1:25" x14ac:dyDescent="0.25">
      <c r="A120" s="25" t="str">
        <f t="shared" si="9"/>
        <v>hr_timesheet_attendance;base.group_user;0;0;0;0;0;0;0;0</v>
      </c>
      <c r="B120">
        <f t="shared" si="11"/>
        <v>0</v>
      </c>
      <c r="C120">
        <f t="shared" si="10"/>
        <v>0</v>
      </c>
      <c r="D120">
        <f t="shared" si="10"/>
        <v>0</v>
      </c>
      <c r="E120">
        <f t="shared" si="10"/>
        <v>0</v>
      </c>
      <c r="F120">
        <f t="shared" si="10"/>
        <v>0</v>
      </c>
      <c r="G120">
        <f t="shared" si="10"/>
        <v>0</v>
      </c>
      <c r="H120">
        <f t="shared" si="10"/>
        <v>0</v>
      </c>
      <c r="I120">
        <f t="shared" si="10"/>
        <v>0</v>
      </c>
      <c r="J120" s="12" t="s">
        <v>140</v>
      </c>
      <c r="K120" s="14" t="s">
        <v>1060</v>
      </c>
      <c r="L120" s="29"/>
      <c r="M120" s="14">
        <f>INDEX('Pivot Analysis'!A:B,MATCH(J120,'Pivot Analysis'!B:B,0),1)</f>
        <v>0</v>
      </c>
      <c r="N120" s="14" t="e">
        <f>INDEX(Cloc!E:F,MATCH(J120,Cloc!F:F,0),1)</f>
        <v>#N/A</v>
      </c>
      <c r="O120" s="14">
        <f t="shared" si="8"/>
        <v>0</v>
      </c>
      <c r="P120" s="14">
        <f>O120/Q120</f>
        <v>0</v>
      </c>
      <c r="Q120">
        <f>MAX(1,SUMPRODUCT($R$1:$AD$1,R120:AD120))</f>
        <v>1</v>
      </c>
    </row>
    <row r="121" spans="1:25" x14ac:dyDescent="0.25">
      <c r="A121" s="25" t="str">
        <f t="shared" si="9"/>
        <v>hr_work_entry;base.group_user;49,5;49,5;49,5;49,5;49,5;49,5;49,5;49,5</v>
      </c>
      <c r="B121">
        <f t="shared" si="11"/>
        <v>49.5</v>
      </c>
      <c r="C121">
        <f t="shared" si="10"/>
        <v>49.5</v>
      </c>
      <c r="D121">
        <f t="shared" si="10"/>
        <v>49.5</v>
      </c>
      <c r="E121">
        <f t="shared" si="10"/>
        <v>49.5</v>
      </c>
      <c r="F121">
        <f t="shared" si="10"/>
        <v>49.5</v>
      </c>
      <c r="G121">
        <f t="shared" si="10"/>
        <v>49.5</v>
      </c>
      <c r="H121">
        <f t="shared" si="10"/>
        <v>49.5</v>
      </c>
      <c r="I121">
        <f t="shared" si="10"/>
        <v>49.5</v>
      </c>
      <c r="J121" s="12" t="s">
        <v>141</v>
      </c>
      <c r="K121" s="14" t="s">
        <v>1060</v>
      </c>
      <c r="L121" s="29"/>
      <c r="M121" s="14">
        <f>INDEX('Pivot Analysis'!A:B,MATCH(J121,'Pivot Analysis'!B:B,0),1)</f>
        <v>49.5</v>
      </c>
      <c r="N121" s="14" t="e">
        <f>INDEX(Cloc!E:F,MATCH(J121,Cloc!F:F,0),1)</f>
        <v>#N/A</v>
      </c>
      <c r="O121" s="14">
        <f t="shared" si="8"/>
        <v>49.5</v>
      </c>
      <c r="P121" s="14">
        <f>O121/Q121</f>
        <v>49.5</v>
      </c>
      <c r="Q121">
        <f>MAX(1,SUMPRODUCT($R$1:$AD$1,R121:AD121))</f>
        <v>1</v>
      </c>
    </row>
    <row r="122" spans="1:25" x14ac:dyDescent="0.25">
      <c r="A122" s="25" t="str">
        <f t="shared" si="9"/>
        <v>hr_work_entry_contract;base.group_user;0;0;0;0;0;0;0;0</v>
      </c>
      <c r="B122">
        <f t="shared" si="11"/>
        <v>0</v>
      </c>
      <c r="C122">
        <f t="shared" si="10"/>
        <v>0</v>
      </c>
      <c r="D122">
        <f t="shared" si="10"/>
        <v>0</v>
      </c>
      <c r="E122">
        <f t="shared" si="10"/>
        <v>0</v>
      </c>
      <c r="F122">
        <f t="shared" si="10"/>
        <v>0</v>
      </c>
      <c r="G122">
        <f t="shared" si="10"/>
        <v>0</v>
      </c>
      <c r="H122">
        <f t="shared" si="10"/>
        <v>0</v>
      </c>
      <c r="I122">
        <f t="shared" si="10"/>
        <v>0</v>
      </c>
      <c r="J122" s="12" t="s">
        <v>142</v>
      </c>
      <c r="K122" s="14" t="s">
        <v>1060</v>
      </c>
      <c r="L122" s="29"/>
      <c r="M122" s="14">
        <f>INDEX('Pivot Analysis'!A:B,MATCH(J122,'Pivot Analysis'!B:B,0),1)</f>
        <v>0</v>
      </c>
      <c r="N122" s="14" t="e">
        <f>INDEX(Cloc!E:F,MATCH(J122,Cloc!F:F,0),1)</f>
        <v>#N/A</v>
      </c>
      <c r="O122" s="14">
        <f t="shared" si="8"/>
        <v>0</v>
      </c>
      <c r="P122" s="14">
        <f>O122/Q122</f>
        <v>0</v>
      </c>
      <c r="Q122">
        <f>MAX(1,SUMPRODUCT($R$1:$AD$1,R122:AD122))</f>
        <v>1</v>
      </c>
    </row>
    <row r="123" spans="1:25" x14ac:dyDescent="0.25">
      <c r="A123" s="25" t="str">
        <f t="shared" si="9"/>
        <v>hr_work_entry_holidays;base.group_user;33;33;33;33;33;33;33;33</v>
      </c>
      <c r="B123">
        <f t="shared" si="11"/>
        <v>33</v>
      </c>
      <c r="C123">
        <f t="shared" si="10"/>
        <v>33</v>
      </c>
      <c r="D123">
        <f t="shared" si="10"/>
        <v>33</v>
      </c>
      <c r="E123">
        <f t="shared" si="10"/>
        <v>33</v>
      </c>
      <c r="F123">
        <f t="shared" si="10"/>
        <v>33</v>
      </c>
      <c r="G123">
        <f t="shared" si="10"/>
        <v>33</v>
      </c>
      <c r="H123">
        <f t="shared" si="10"/>
        <v>33</v>
      </c>
      <c r="I123">
        <f t="shared" si="10"/>
        <v>33</v>
      </c>
      <c r="J123" s="12" t="s">
        <v>143</v>
      </c>
      <c r="K123" s="14" t="s">
        <v>1060</v>
      </c>
      <c r="L123" s="29"/>
      <c r="M123" s="14">
        <f>INDEX('Pivot Analysis'!A:B,MATCH(J123,'Pivot Analysis'!B:B,0),1)</f>
        <v>33</v>
      </c>
      <c r="N123" s="14" t="e">
        <f>INDEX(Cloc!E:F,MATCH(J123,Cloc!F:F,0),1)</f>
        <v>#N/A</v>
      </c>
      <c r="O123" s="14">
        <f t="shared" si="8"/>
        <v>33</v>
      </c>
      <c r="P123" s="14">
        <f>O123/Q123</f>
        <v>33</v>
      </c>
      <c r="Q123">
        <f>MAX(1,SUMPRODUCT($R$1:$AD$1,R123:AD123))</f>
        <v>1</v>
      </c>
    </row>
    <row r="124" spans="1:25" x14ac:dyDescent="0.25">
      <c r="A124" s="25" t="str">
        <f t="shared" si="9"/>
        <v>html_editor;base.group_user;2,01966;4,03932;6,05898;8,07864;10,0983;12,11796;14,13762;16,15728</v>
      </c>
      <c r="B124">
        <f t="shared" si="11"/>
        <v>2.01966</v>
      </c>
      <c r="C124">
        <f t="shared" si="10"/>
        <v>4.03932</v>
      </c>
      <c r="D124">
        <f t="shared" si="10"/>
        <v>6.05898</v>
      </c>
      <c r="E124">
        <f t="shared" si="10"/>
        <v>8.07864</v>
      </c>
      <c r="F124">
        <f t="shared" si="10"/>
        <v>10.0983</v>
      </c>
      <c r="G124">
        <f t="shared" si="10"/>
        <v>12.11796</v>
      </c>
      <c r="H124">
        <f t="shared" si="10"/>
        <v>14.13762</v>
      </c>
      <c r="I124">
        <f t="shared" si="10"/>
        <v>16.15728</v>
      </c>
      <c r="J124" s="12" t="s">
        <v>1042</v>
      </c>
      <c r="K124" s="14" t="s">
        <v>1060</v>
      </c>
      <c r="L124" s="29"/>
      <c r="M124" s="14" t="e">
        <f>INDEX('Pivot Analysis'!A:B,MATCH(J124,'Pivot Analysis'!B:B,0),1)</f>
        <v>#N/A</v>
      </c>
      <c r="N124" s="14">
        <f>INDEX(Cloc!E:F,MATCH(J124,Cloc!F:F,0),1)</f>
        <v>2019.66</v>
      </c>
      <c r="O124" s="14">
        <f t="shared" si="8"/>
        <v>2019.66</v>
      </c>
      <c r="P124" s="14">
        <f>O124/Q124</f>
        <v>2.01966</v>
      </c>
      <c r="Q124">
        <f>MAX(1,SUMPRODUCT($R$1:$AD$1,R124:AD124))</f>
        <v>1000</v>
      </c>
      <c r="R124">
        <v>1</v>
      </c>
      <c r="X124" t="str">
        <f>IF(SUM(R124:W124)=0,VLOOKUP(J124,#REF!,1,0),"")</f>
        <v/>
      </c>
      <c r="Y124" t="str">
        <f>IF(SUM(R124:X124)&gt;0,"",VLOOKUP(J124,'Apps-from-odoo'!A:A,1,0))</f>
        <v/>
      </c>
    </row>
    <row r="125" spans="1:25" x14ac:dyDescent="0.25">
      <c r="A125" s="25" t="str">
        <f t="shared" si="9"/>
        <v>http_routing;base.group_user;0;0;0;0;0;0;0;0</v>
      </c>
      <c r="B125">
        <f t="shared" si="11"/>
        <v>0</v>
      </c>
      <c r="C125">
        <f t="shared" si="10"/>
        <v>0</v>
      </c>
      <c r="D125">
        <f t="shared" si="10"/>
        <v>0</v>
      </c>
      <c r="E125">
        <f t="shared" si="10"/>
        <v>0</v>
      </c>
      <c r="F125">
        <f t="shared" si="10"/>
        <v>0</v>
      </c>
      <c r="G125">
        <f t="shared" si="10"/>
        <v>0</v>
      </c>
      <c r="H125">
        <f t="shared" ref="C125:I188" si="12">$P125*MIN($Q125,H$3)</f>
        <v>0</v>
      </c>
      <c r="I125">
        <f t="shared" si="12"/>
        <v>0</v>
      </c>
      <c r="J125" s="12" t="s">
        <v>144</v>
      </c>
      <c r="K125" s="14" t="s">
        <v>1060</v>
      </c>
      <c r="L125" s="29"/>
      <c r="M125" s="14">
        <f>INDEX('Pivot Analysis'!A:B,MATCH(J125,'Pivot Analysis'!B:B,0),1)</f>
        <v>0</v>
      </c>
      <c r="N125" s="14">
        <f>INDEX(Cloc!E:F,MATCH(J125,Cloc!F:F,0),1)</f>
        <v>57.96</v>
      </c>
      <c r="O125" s="14">
        <f t="shared" si="8"/>
        <v>0</v>
      </c>
      <c r="P125" s="14">
        <f>O125/Q125</f>
        <v>0</v>
      </c>
      <c r="Q125">
        <f>MAX(1,SUMPRODUCT($R$1:$AD$1,R125:AD125))</f>
        <v>10</v>
      </c>
      <c r="S125">
        <v>1</v>
      </c>
      <c r="X125" t="str">
        <f>IF(SUM(R125:W125)=0,VLOOKUP(J125,#REF!,1,0),"")</f>
        <v/>
      </c>
      <c r="Y125" t="str">
        <f>IF(SUM(R125:X125)&gt;0,"",VLOOKUP(J125,'Apps-from-odoo'!A:A,1,0))</f>
        <v/>
      </c>
    </row>
    <row r="126" spans="1:25" x14ac:dyDescent="0.25">
      <c r="A126" s="25" t="str">
        <f t="shared" si="9"/>
        <v>hw_drivers;base.group_user;33;33;33;33;33;33;33;33</v>
      </c>
      <c r="B126">
        <f t="shared" si="11"/>
        <v>33</v>
      </c>
      <c r="C126">
        <f t="shared" si="12"/>
        <v>33</v>
      </c>
      <c r="D126">
        <f t="shared" si="12"/>
        <v>33</v>
      </c>
      <c r="E126">
        <f t="shared" si="12"/>
        <v>33</v>
      </c>
      <c r="F126">
        <f t="shared" si="12"/>
        <v>33</v>
      </c>
      <c r="G126">
        <f t="shared" si="12"/>
        <v>33</v>
      </c>
      <c r="H126">
        <f t="shared" si="12"/>
        <v>33</v>
      </c>
      <c r="I126">
        <f t="shared" si="12"/>
        <v>33</v>
      </c>
      <c r="J126" s="12" t="s">
        <v>145</v>
      </c>
      <c r="K126" s="14" t="s">
        <v>1060</v>
      </c>
      <c r="L126" s="29"/>
      <c r="M126" s="14">
        <f>INDEX('Pivot Analysis'!A:B,MATCH(J126,'Pivot Analysis'!B:B,0),1)</f>
        <v>33</v>
      </c>
      <c r="N126" s="14" t="e">
        <f>INDEX(Cloc!E:F,MATCH(J126,Cloc!F:F,0),1)</f>
        <v>#N/A</v>
      </c>
      <c r="O126" s="14">
        <f t="shared" si="8"/>
        <v>33</v>
      </c>
      <c r="P126" s="14">
        <f>O126/Q126</f>
        <v>33</v>
      </c>
      <c r="Q126">
        <f>MAX(1,SUMPRODUCT($R$1:$AD$1,R126:AD126))</f>
        <v>1</v>
      </c>
    </row>
    <row r="127" spans="1:25" x14ac:dyDescent="0.25">
      <c r="A127" s="25" t="str">
        <f t="shared" si="9"/>
        <v>hw_escpos;base.group_user;33;33;33;33;33;33;33;33</v>
      </c>
      <c r="B127">
        <f t="shared" si="11"/>
        <v>33</v>
      </c>
      <c r="C127">
        <f t="shared" si="12"/>
        <v>33</v>
      </c>
      <c r="D127">
        <f t="shared" si="12"/>
        <v>33</v>
      </c>
      <c r="E127">
        <f t="shared" si="12"/>
        <v>33</v>
      </c>
      <c r="F127">
        <f t="shared" si="12"/>
        <v>33</v>
      </c>
      <c r="G127">
        <f t="shared" si="12"/>
        <v>33</v>
      </c>
      <c r="H127">
        <f t="shared" si="12"/>
        <v>33</v>
      </c>
      <c r="I127">
        <f t="shared" si="12"/>
        <v>33</v>
      </c>
      <c r="J127" s="12" t="s">
        <v>146</v>
      </c>
      <c r="K127" s="14" t="s">
        <v>1060</v>
      </c>
      <c r="L127" s="29"/>
      <c r="M127" s="14">
        <f>INDEX('Pivot Analysis'!A:B,MATCH(J127,'Pivot Analysis'!B:B,0),1)</f>
        <v>33</v>
      </c>
      <c r="N127" s="14" t="e">
        <f>INDEX(Cloc!E:F,MATCH(J127,Cloc!F:F,0),1)</f>
        <v>#N/A</v>
      </c>
      <c r="O127" s="14">
        <f t="shared" si="8"/>
        <v>33</v>
      </c>
      <c r="P127" s="14">
        <f>O127/Q127</f>
        <v>33</v>
      </c>
      <c r="Q127">
        <f>MAX(1,SUMPRODUCT($R$1:$AD$1,R127:AD127))</f>
        <v>1</v>
      </c>
    </row>
    <row r="128" spans="1:25" x14ac:dyDescent="0.25">
      <c r="A128" s="25" t="str">
        <f t="shared" si="9"/>
        <v>hw_posbox_homepage;base.group_user;33;33;33;33;33;33;33;33</v>
      </c>
      <c r="B128">
        <f t="shared" si="11"/>
        <v>33</v>
      </c>
      <c r="C128">
        <f t="shared" si="12"/>
        <v>33</v>
      </c>
      <c r="D128">
        <f t="shared" si="12"/>
        <v>33</v>
      </c>
      <c r="E128">
        <f t="shared" si="12"/>
        <v>33</v>
      </c>
      <c r="F128">
        <f t="shared" si="12"/>
        <v>33</v>
      </c>
      <c r="G128">
        <f t="shared" si="12"/>
        <v>33</v>
      </c>
      <c r="H128">
        <f t="shared" si="12"/>
        <v>33</v>
      </c>
      <c r="I128">
        <f t="shared" si="12"/>
        <v>33</v>
      </c>
      <c r="J128" s="12" t="s">
        <v>147</v>
      </c>
      <c r="K128" s="14" t="s">
        <v>1060</v>
      </c>
      <c r="L128" s="29"/>
      <c r="M128" s="14">
        <f>INDEX('Pivot Analysis'!A:B,MATCH(J128,'Pivot Analysis'!B:B,0),1)</f>
        <v>33</v>
      </c>
      <c r="N128" s="14" t="e">
        <f>INDEX(Cloc!E:F,MATCH(J128,Cloc!F:F,0),1)</f>
        <v>#N/A</v>
      </c>
      <c r="O128" s="14">
        <f t="shared" si="8"/>
        <v>33</v>
      </c>
      <c r="P128" s="14">
        <f>O128/Q128</f>
        <v>33</v>
      </c>
      <c r="Q128">
        <f>MAX(1,SUMPRODUCT($R$1:$AD$1,R128:AD128))</f>
        <v>1</v>
      </c>
    </row>
    <row r="129" spans="1:26" x14ac:dyDescent="0.25">
      <c r="A129" s="25" t="str">
        <f t="shared" si="9"/>
        <v>iap;base.group_user;0,0348;0,0696;0,1044;0,1392;0,174;0,2088;0,2436;0,2784</v>
      </c>
      <c r="B129">
        <f t="shared" si="11"/>
        <v>3.4800000000000005E-2</v>
      </c>
      <c r="C129">
        <f t="shared" si="12"/>
        <v>6.9600000000000009E-2</v>
      </c>
      <c r="D129">
        <f t="shared" si="12"/>
        <v>0.10440000000000002</v>
      </c>
      <c r="E129">
        <f t="shared" si="12"/>
        <v>0.13920000000000002</v>
      </c>
      <c r="F129">
        <f t="shared" si="12"/>
        <v>0.17400000000000002</v>
      </c>
      <c r="G129">
        <f t="shared" si="12"/>
        <v>0.20880000000000004</v>
      </c>
      <c r="H129">
        <f t="shared" si="12"/>
        <v>0.24360000000000004</v>
      </c>
      <c r="I129">
        <f t="shared" si="12"/>
        <v>0.27840000000000004</v>
      </c>
      <c r="J129" s="12" t="s">
        <v>148</v>
      </c>
      <c r="K129" s="14" t="s">
        <v>1060</v>
      </c>
      <c r="L129" s="29"/>
      <c r="M129" s="14">
        <f>INDEX('Pivot Analysis'!A:B,MATCH(J129,'Pivot Analysis'!B:B,0),1)</f>
        <v>34.800000000000004</v>
      </c>
      <c r="N129" s="14">
        <f>INDEX(Cloc!E:F,MATCH(J129,Cloc!F:F,0),1)</f>
        <v>50.400000000000006</v>
      </c>
      <c r="O129" s="14">
        <f t="shared" si="8"/>
        <v>34.800000000000004</v>
      </c>
      <c r="P129" s="14">
        <f>O129/Q129</f>
        <v>3.4800000000000005E-2</v>
      </c>
      <c r="Q129">
        <f>MAX(1,SUMPRODUCT($R$1:$AD$1,R129:AD129))</f>
        <v>1000</v>
      </c>
      <c r="R129">
        <v>1</v>
      </c>
      <c r="X129" t="str">
        <f>IF(SUM(R129:W129)=0,VLOOKUP(J129,#REF!,1,0),"")</f>
        <v/>
      </c>
      <c r="Y129" t="str">
        <f>IF(SUM(R129:X129)&gt;0,"",VLOOKUP(J129,'Apps-from-odoo'!A:A,1,0))</f>
        <v/>
      </c>
    </row>
    <row r="130" spans="1:26" x14ac:dyDescent="0.25">
      <c r="A130" s="25" t="str">
        <f t="shared" si="9"/>
        <v>iap_crm;base.group_user;0;0;0;0;0;0;0;0</v>
      </c>
      <c r="B130">
        <f t="shared" si="11"/>
        <v>0</v>
      </c>
      <c r="C130">
        <f t="shared" si="12"/>
        <v>0</v>
      </c>
      <c r="D130">
        <f t="shared" si="12"/>
        <v>0</v>
      </c>
      <c r="E130">
        <f t="shared" si="12"/>
        <v>0</v>
      </c>
      <c r="F130">
        <f t="shared" si="12"/>
        <v>0</v>
      </c>
      <c r="G130">
        <f t="shared" si="12"/>
        <v>0</v>
      </c>
      <c r="H130">
        <f t="shared" si="12"/>
        <v>0</v>
      </c>
      <c r="I130">
        <f t="shared" si="12"/>
        <v>0</v>
      </c>
      <c r="J130" s="12" t="s">
        <v>150</v>
      </c>
      <c r="K130" s="14" t="s">
        <v>1060</v>
      </c>
      <c r="L130" s="29"/>
      <c r="M130" s="14">
        <f>INDEX('Pivot Analysis'!A:B,MATCH(J130,'Pivot Analysis'!B:B,0),1)</f>
        <v>0</v>
      </c>
      <c r="N130" s="14">
        <f>INDEX(Cloc!E:F,MATCH(J130,Cloc!F:F,0),1)</f>
        <v>1.26</v>
      </c>
      <c r="O130" s="14">
        <f t="shared" si="8"/>
        <v>0</v>
      </c>
      <c r="P130" s="14">
        <f>O130/Q130</f>
        <v>0</v>
      </c>
      <c r="Q130">
        <f>MAX(1,SUMPRODUCT($R$1:$AD$1,R130:AD130))</f>
        <v>3</v>
      </c>
      <c r="Y130">
        <v>1</v>
      </c>
    </row>
    <row r="131" spans="1:26" x14ac:dyDescent="0.25">
      <c r="A131" s="25" t="str">
        <f t="shared" si="9"/>
        <v>iap_mail;base.group_user;0,6;1,2;1,8;2,4;3;3,6;4,2;4,8</v>
      </c>
      <c r="B131">
        <f t="shared" si="11"/>
        <v>0.6</v>
      </c>
      <c r="C131">
        <f t="shared" si="12"/>
        <v>1.2</v>
      </c>
      <c r="D131">
        <f t="shared" si="12"/>
        <v>1.7999999999999998</v>
      </c>
      <c r="E131">
        <f t="shared" si="12"/>
        <v>2.4</v>
      </c>
      <c r="F131">
        <f t="shared" si="12"/>
        <v>3</v>
      </c>
      <c r="G131">
        <f t="shared" si="12"/>
        <v>3.5999999999999996</v>
      </c>
      <c r="H131">
        <f t="shared" si="12"/>
        <v>4.2</v>
      </c>
      <c r="I131">
        <f t="shared" si="12"/>
        <v>4.8</v>
      </c>
      <c r="J131" s="12" t="s">
        <v>151</v>
      </c>
      <c r="K131" s="14" t="s">
        <v>1060</v>
      </c>
      <c r="L131" s="29"/>
      <c r="M131" s="14">
        <f>INDEX('Pivot Analysis'!A:B,MATCH(J131,'Pivot Analysis'!B:B,0),1)</f>
        <v>6</v>
      </c>
      <c r="N131" s="14">
        <f>INDEX(Cloc!E:F,MATCH(J131,Cloc!F:F,0),1)</f>
        <v>13.919999999999998</v>
      </c>
      <c r="O131" s="14">
        <f t="shared" si="8"/>
        <v>6</v>
      </c>
      <c r="P131" s="14">
        <f>O131/Q131</f>
        <v>0.6</v>
      </c>
      <c r="Q131">
        <f>MAX(1,SUMPRODUCT($R$1:$AD$1,R131:AD131))</f>
        <v>10</v>
      </c>
      <c r="S131">
        <v>1</v>
      </c>
      <c r="X131" t="str">
        <f>IF(SUM(R131:W131)=0,VLOOKUP(J131,#REF!,1,0),"")</f>
        <v/>
      </c>
      <c r="Y131" t="str">
        <f>IF(SUM(R131:X131)&gt;0,"",VLOOKUP(J131,'Apps-from-odoo'!A:A,1,0))</f>
        <v/>
      </c>
    </row>
    <row r="132" spans="1:26" x14ac:dyDescent="0.25">
      <c r="A132" s="25" t="str">
        <f t="shared" si="9"/>
        <v>im_livechat;base.group_user;1,6;3,2;4,8;4,8;4,8;4,8;4,8;4,8</v>
      </c>
      <c r="B132">
        <f t="shared" si="11"/>
        <v>1.5999999999999999</v>
      </c>
      <c r="C132">
        <f t="shared" si="12"/>
        <v>3.1999999999999997</v>
      </c>
      <c r="D132">
        <f t="shared" si="12"/>
        <v>4.8</v>
      </c>
      <c r="E132">
        <f t="shared" si="12"/>
        <v>4.8</v>
      </c>
      <c r="F132">
        <f t="shared" si="12"/>
        <v>4.8</v>
      </c>
      <c r="G132">
        <f t="shared" si="12"/>
        <v>4.8</v>
      </c>
      <c r="H132">
        <f t="shared" si="12"/>
        <v>4.8</v>
      </c>
      <c r="I132">
        <f t="shared" si="12"/>
        <v>4.8</v>
      </c>
      <c r="J132" s="12" t="s">
        <v>152</v>
      </c>
      <c r="K132" s="14" t="s">
        <v>1060</v>
      </c>
      <c r="L132" s="29"/>
      <c r="M132" s="14">
        <f>INDEX('Pivot Analysis'!A:B,MATCH(J132,'Pivot Analysis'!B:B,0),1)</f>
        <v>4.8</v>
      </c>
      <c r="N132" s="14">
        <f>INDEX(Cloc!E:F,MATCH(J132,Cloc!F:F,0),1)</f>
        <v>438</v>
      </c>
      <c r="O132" s="14">
        <f t="shared" si="8"/>
        <v>4.8</v>
      </c>
      <c r="P132" s="14">
        <f>O132/Q132</f>
        <v>1.5999999999999999</v>
      </c>
      <c r="Q132">
        <f>MAX(1,SUMPRODUCT($R$1:$AD$1,R132:AD132))</f>
        <v>3</v>
      </c>
      <c r="Y132">
        <v>1</v>
      </c>
    </row>
    <row r="133" spans="1:26" x14ac:dyDescent="0.25">
      <c r="A133" s="25" t="str">
        <f t="shared" si="9"/>
        <v>im_livechat_mail_bot;base.group_user;0;0;0;0;0;0;0;0</v>
      </c>
      <c r="B133">
        <f t="shared" si="11"/>
        <v>0</v>
      </c>
      <c r="C133">
        <f t="shared" si="12"/>
        <v>0</v>
      </c>
      <c r="D133">
        <f t="shared" si="12"/>
        <v>0</v>
      </c>
      <c r="E133">
        <f t="shared" si="12"/>
        <v>0</v>
      </c>
      <c r="F133">
        <f t="shared" si="12"/>
        <v>0</v>
      </c>
      <c r="G133">
        <f t="shared" si="12"/>
        <v>0</v>
      </c>
      <c r="H133">
        <f t="shared" si="12"/>
        <v>0</v>
      </c>
      <c r="I133">
        <f t="shared" si="12"/>
        <v>0</v>
      </c>
      <c r="J133" s="12" t="s">
        <v>154</v>
      </c>
      <c r="K133" s="14" t="s">
        <v>1060</v>
      </c>
      <c r="L133" s="29"/>
      <c r="M133" s="14">
        <f>INDEX('Pivot Analysis'!A:B,MATCH(J133,'Pivot Analysis'!B:B,0),1)</f>
        <v>0</v>
      </c>
      <c r="N133" s="14" t="e">
        <f>INDEX(Cloc!E:F,MATCH(J133,Cloc!F:F,0),1)</f>
        <v>#N/A</v>
      </c>
      <c r="O133" s="14">
        <f t="shared" ref="O133:O196" si="13">IFERROR(IFERROR(IF(L133&lt;&gt;"",L133,M133),N133),$O$1)</f>
        <v>0</v>
      </c>
      <c r="P133" s="14">
        <f>O133/Q133</f>
        <v>0</v>
      </c>
      <c r="Q133">
        <f>MAX(1,SUMPRODUCT($R$1:$AD$1,R133:AD133))</f>
        <v>1</v>
      </c>
    </row>
    <row r="134" spans="1:26" x14ac:dyDescent="0.25">
      <c r="A134" s="25" t="str">
        <f t="shared" si="9"/>
        <v>industry_fsm;base.group_user;1000;1000;1000;1000;1000;1000;1000;1000</v>
      </c>
      <c r="B134">
        <f t="shared" si="11"/>
        <v>1000</v>
      </c>
      <c r="C134">
        <f t="shared" si="12"/>
        <v>1000</v>
      </c>
      <c r="D134">
        <f t="shared" si="12"/>
        <v>1000</v>
      </c>
      <c r="E134">
        <f t="shared" si="12"/>
        <v>1000</v>
      </c>
      <c r="F134">
        <f t="shared" si="12"/>
        <v>1000</v>
      </c>
      <c r="G134">
        <f t="shared" si="12"/>
        <v>1000</v>
      </c>
      <c r="H134">
        <f t="shared" si="12"/>
        <v>1000</v>
      </c>
      <c r="I134">
        <f t="shared" si="12"/>
        <v>1000</v>
      </c>
      <c r="J134" s="14" t="s">
        <v>1074</v>
      </c>
      <c r="K134" s="14" t="s">
        <v>1060</v>
      </c>
      <c r="L134" s="29"/>
      <c r="M134" s="14" t="e">
        <f>INDEX('Pivot Analysis'!A:B,MATCH(J134,'Pivot Analysis'!B:B,0),1)</f>
        <v>#N/A</v>
      </c>
      <c r="N134" s="14" t="e">
        <f>INDEX(Cloc!E:F,MATCH(J134,Cloc!F:F,0),1)</f>
        <v>#N/A</v>
      </c>
      <c r="O134" s="14">
        <f t="shared" si="13"/>
        <v>1000</v>
      </c>
      <c r="P134" s="14">
        <f>O134/Q134</f>
        <v>1000</v>
      </c>
      <c r="Q134">
        <f>MAX(1,SUMPRODUCT($R$1:$AD$1,R134:AD134))</f>
        <v>1</v>
      </c>
      <c r="Z134">
        <v>1</v>
      </c>
    </row>
    <row r="135" spans="1:26" x14ac:dyDescent="0.25">
      <c r="A135" s="25" t="str">
        <f t="shared" si="9"/>
        <v>knowledge;base.group_user;1000;1000;1000;1000;1000;1000;1000;1000</v>
      </c>
      <c r="B135">
        <f t="shared" si="11"/>
        <v>1000</v>
      </c>
      <c r="C135">
        <f t="shared" si="12"/>
        <v>1000</v>
      </c>
      <c r="D135">
        <f t="shared" si="12"/>
        <v>1000</v>
      </c>
      <c r="E135">
        <f t="shared" si="12"/>
        <v>1000</v>
      </c>
      <c r="F135">
        <f t="shared" si="12"/>
        <v>1000</v>
      </c>
      <c r="G135">
        <f t="shared" si="12"/>
        <v>1000</v>
      </c>
      <c r="H135">
        <f t="shared" si="12"/>
        <v>1000</v>
      </c>
      <c r="I135">
        <f t="shared" si="12"/>
        <v>1000</v>
      </c>
      <c r="J135" s="14" t="s">
        <v>1071</v>
      </c>
      <c r="K135" s="14" t="s">
        <v>1060</v>
      </c>
      <c r="L135" s="29"/>
      <c r="M135" s="14" t="e">
        <f>INDEX('Pivot Analysis'!A:B,MATCH(J135,'Pivot Analysis'!B:B,0),1)</f>
        <v>#N/A</v>
      </c>
      <c r="N135" s="14" t="e">
        <f>INDEX(Cloc!E:F,MATCH(J135,Cloc!F:F,0),1)</f>
        <v>#N/A</v>
      </c>
      <c r="O135" s="14">
        <f t="shared" si="13"/>
        <v>1000</v>
      </c>
      <c r="P135" s="14">
        <f>O135/Q135</f>
        <v>1000</v>
      </c>
      <c r="Q135">
        <f>MAX(1,SUMPRODUCT($R$1:$AD$1,R135:AD135))</f>
        <v>1</v>
      </c>
      <c r="Z135">
        <v>1</v>
      </c>
    </row>
    <row r="136" spans="1:26" x14ac:dyDescent="0.25">
      <c r="A136" s="25" t="str">
        <f t="shared" si="9"/>
        <v>l10n_account_edi_ubl_cii_tests;base.group_user;33;33;33;33;33;33;33;33</v>
      </c>
      <c r="B136">
        <f t="shared" si="11"/>
        <v>33</v>
      </c>
      <c r="C136">
        <f t="shared" si="12"/>
        <v>33</v>
      </c>
      <c r="D136">
        <f t="shared" si="12"/>
        <v>33</v>
      </c>
      <c r="E136">
        <f t="shared" si="12"/>
        <v>33</v>
      </c>
      <c r="F136">
        <f t="shared" si="12"/>
        <v>33</v>
      </c>
      <c r="G136">
        <f t="shared" si="12"/>
        <v>33</v>
      </c>
      <c r="H136">
        <f t="shared" si="12"/>
        <v>33</v>
      </c>
      <c r="I136">
        <f t="shared" si="12"/>
        <v>33</v>
      </c>
      <c r="J136" s="12" t="s">
        <v>155</v>
      </c>
      <c r="K136" s="14" t="s">
        <v>1060</v>
      </c>
      <c r="L136" s="29"/>
      <c r="M136" s="14">
        <f>INDEX('Pivot Analysis'!A:B,MATCH(J136,'Pivot Analysis'!B:B,0),1)</f>
        <v>33</v>
      </c>
      <c r="N136" s="14" t="e">
        <f>INDEX(Cloc!E:F,MATCH(J136,Cloc!F:F,0),1)</f>
        <v>#N/A</v>
      </c>
      <c r="O136" s="14">
        <f t="shared" si="13"/>
        <v>33</v>
      </c>
      <c r="P136" s="14">
        <f>O136/Q136</f>
        <v>33</v>
      </c>
      <c r="Q136">
        <f>MAX(1,SUMPRODUCT($R$1:$AD$1,R136:AD136))</f>
        <v>1</v>
      </c>
    </row>
    <row r="137" spans="1:26" x14ac:dyDescent="0.25">
      <c r="A137" s="25" t="str">
        <f t="shared" ref="A137:A200" si="14">J137&amp;";"&amp;K137&amp;";"&amp;B137&amp;";"&amp;C137&amp;";"&amp;D137&amp;";"&amp;E137&amp;";"&amp;F137&amp;";"&amp;G137&amp;";"&amp;H137&amp;";"&amp;I137</f>
        <v>l10n_ae;base.group_user;98,1;98,1;98,1;98,1;98,1;98,1;98,1;98,1</v>
      </c>
      <c r="B137">
        <f t="shared" si="11"/>
        <v>98.1</v>
      </c>
      <c r="C137">
        <f t="shared" si="12"/>
        <v>98.1</v>
      </c>
      <c r="D137">
        <f t="shared" si="12"/>
        <v>98.1</v>
      </c>
      <c r="E137">
        <f t="shared" si="12"/>
        <v>98.1</v>
      </c>
      <c r="F137">
        <f t="shared" si="12"/>
        <v>98.1</v>
      </c>
      <c r="G137">
        <f t="shared" si="12"/>
        <v>98.1</v>
      </c>
      <c r="H137">
        <f t="shared" si="12"/>
        <v>98.1</v>
      </c>
      <c r="I137">
        <f t="shared" si="12"/>
        <v>98.1</v>
      </c>
      <c r="J137" s="12" t="s">
        <v>156</v>
      </c>
      <c r="K137" s="14" t="s">
        <v>1060</v>
      </c>
      <c r="L137" s="29"/>
      <c r="M137" s="14">
        <f>INDEX('Pivot Analysis'!A:B,MATCH(J137,'Pivot Analysis'!B:B,0),1)</f>
        <v>98.1</v>
      </c>
      <c r="N137" s="14" t="e">
        <f>INDEX(Cloc!E:F,MATCH(J137,Cloc!F:F,0),1)</f>
        <v>#N/A</v>
      </c>
      <c r="O137" s="14">
        <f t="shared" si="13"/>
        <v>98.1</v>
      </c>
      <c r="P137" s="14">
        <f>O137/Q137</f>
        <v>98.1</v>
      </c>
      <c r="Q137">
        <f>MAX(1,SUMPRODUCT($R$1:$AD$1,R137:AD137))</f>
        <v>1</v>
      </c>
    </row>
    <row r="138" spans="1:26" x14ac:dyDescent="0.25">
      <c r="A138" s="25" t="str">
        <f t="shared" si="14"/>
        <v>l10n_ae_pos;base.group_user;180;180;180;180;180;180;180;180</v>
      </c>
      <c r="B138">
        <f t="shared" si="11"/>
        <v>180</v>
      </c>
      <c r="C138">
        <f t="shared" si="12"/>
        <v>180</v>
      </c>
      <c r="D138">
        <f t="shared" si="12"/>
        <v>180</v>
      </c>
      <c r="E138">
        <f t="shared" si="12"/>
        <v>180</v>
      </c>
      <c r="F138">
        <f t="shared" si="12"/>
        <v>180</v>
      </c>
      <c r="G138">
        <f t="shared" si="12"/>
        <v>180</v>
      </c>
      <c r="H138">
        <f t="shared" si="12"/>
        <v>180</v>
      </c>
      <c r="I138">
        <f t="shared" si="12"/>
        <v>180</v>
      </c>
      <c r="J138" s="12" t="s">
        <v>159</v>
      </c>
      <c r="K138" s="14" t="s">
        <v>1060</v>
      </c>
      <c r="L138" s="29"/>
      <c r="M138" s="14">
        <f>INDEX('Pivot Analysis'!A:B,MATCH(J138,'Pivot Analysis'!B:B,0),1)</f>
        <v>180</v>
      </c>
      <c r="N138" s="14" t="e">
        <f>INDEX(Cloc!E:F,MATCH(J138,Cloc!F:F,0),1)</f>
        <v>#N/A</v>
      </c>
      <c r="O138" s="14">
        <f t="shared" si="13"/>
        <v>180</v>
      </c>
      <c r="P138" s="14">
        <f>O138/Q138</f>
        <v>180</v>
      </c>
      <c r="Q138">
        <f>MAX(1,SUMPRODUCT($R$1:$AD$1,R138:AD138))</f>
        <v>1</v>
      </c>
    </row>
    <row r="139" spans="1:26" x14ac:dyDescent="0.25">
      <c r="A139" s="25" t="str">
        <f t="shared" si="14"/>
        <v>l10n_anz_ubl_pint;base.group_user;60;60;60;60;60;60;60;60</v>
      </c>
      <c r="B139">
        <f t="shared" si="11"/>
        <v>60</v>
      </c>
      <c r="C139">
        <f t="shared" si="12"/>
        <v>60</v>
      </c>
      <c r="D139">
        <f t="shared" si="12"/>
        <v>60</v>
      </c>
      <c r="E139">
        <f t="shared" si="12"/>
        <v>60</v>
      </c>
      <c r="F139">
        <f t="shared" si="12"/>
        <v>60</v>
      </c>
      <c r="G139">
        <f t="shared" si="12"/>
        <v>60</v>
      </c>
      <c r="H139">
        <f t="shared" si="12"/>
        <v>60</v>
      </c>
      <c r="I139">
        <f t="shared" si="12"/>
        <v>60</v>
      </c>
      <c r="J139" s="12" t="s">
        <v>807</v>
      </c>
      <c r="K139" s="14" t="s">
        <v>1060</v>
      </c>
      <c r="L139" s="29"/>
      <c r="M139" s="14">
        <f>INDEX('Pivot Analysis'!A:B,MATCH(J139,'Pivot Analysis'!B:B,0),1)</f>
        <v>60</v>
      </c>
      <c r="N139" s="14" t="e">
        <f>INDEX(Cloc!E:F,MATCH(J139,Cloc!F:F,0),1)</f>
        <v>#N/A</v>
      </c>
      <c r="O139" s="14">
        <f t="shared" si="13"/>
        <v>60</v>
      </c>
      <c r="P139" s="14">
        <f>O139/Q139</f>
        <v>60</v>
      </c>
      <c r="Q139">
        <f>MAX(1,SUMPRODUCT($R$1:$AD$1,R139:AD139))</f>
        <v>1</v>
      </c>
    </row>
    <row r="140" spans="1:26" x14ac:dyDescent="0.25">
      <c r="A140" s="25" t="str">
        <f t="shared" si="14"/>
        <v>l10n_ar;base.group_user;216;216;216;216;216;216;216;216</v>
      </c>
      <c r="B140">
        <f t="shared" si="11"/>
        <v>216</v>
      </c>
      <c r="C140">
        <f t="shared" si="12"/>
        <v>216</v>
      </c>
      <c r="D140">
        <f t="shared" si="12"/>
        <v>216</v>
      </c>
      <c r="E140">
        <f t="shared" si="12"/>
        <v>216</v>
      </c>
      <c r="F140">
        <f t="shared" si="12"/>
        <v>216</v>
      </c>
      <c r="G140">
        <f t="shared" si="12"/>
        <v>216</v>
      </c>
      <c r="H140">
        <f t="shared" si="12"/>
        <v>216</v>
      </c>
      <c r="I140">
        <f t="shared" si="12"/>
        <v>216</v>
      </c>
      <c r="J140" s="12" t="s">
        <v>161</v>
      </c>
      <c r="K140" s="14" t="s">
        <v>1060</v>
      </c>
      <c r="L140" s="29"/>
      <c r="M140" s="14">
        <f>INDEX('Pivot Analysis'!A:B,MATCH(J140,'Pivot Analysis'!B:B,0),1)</f>
        <v>216</v>
      </c>
      <c r="N140" s="14" t="e">
        <f>INDEX(Cloc!E:F,MATCH(J140,Cloc!F:F,0),1)</f>
        <v>#N/A</v>
      </c>
      <c r="O140" s="14">
        <f t="shared" si="13"/>
        <v>216</v>
      </c>
      <c r="P140" s="14">
        <f>O140/Q140</f>
        <v>216</v>
      </c>
      <c r="Q140">
        <f>MAX(1,SUMPRODUCT($R$1:$AD$1,R140:AD140))</f>
        <v>1</v>
      </c>
    </row>
    <row r="141" spans="1:26" x14ac:dyDescent="0.25">
      <c r="A141" s="25" t="str">
        <f t="shared" si="14"/>
        <v>l10n_ar_pos;base.group_user;30;30;30;30;30;30;30;30</v>
      </c>
      <c r="B141">
        <f t="shared" si="11"/>
        <v>30</v>
      </c>
      <c r="C141">
        <f t="shared" si="12"/>
        <v>30</v>
      </c>
      <c r="D141">
        <f t="shared" si="12"/>
        <v>30</v>
      </c>
      <c r="E141">
        <f t="shared" si="12"/>
        <v>30</v>
      </c>
      <c r="F141">
        <f t="shared" si="12"/>
        <v>30</v>
      </c>
      <c r="G141">
        <f t="shared" si="12"/>
        <v>30</v>
      </c>
      <c r="H141">
        <f t="shared" si="12"/>
        <v>30</v>
      </c>
      <c r="I141">
        <f t="shared" si="12"/>
        <v>30</v>
      </c>
      <c r="J141" s="12" t="s">
        <v>808</v>
      </c>
      <c r="K141" s="14" t="s">
        <v>1060</v>
      </c>
      <c r="L141" s="29"/>
      <c r="M141" s="14">
        <f>INDEX('Pivot Analysis'!A:B,MATCH(J141,'Pivot Analysis'!B:B,0),1)</f>
        <v>30</v>
      </c>
      <c r="N141" s="14" t="e">
        <f>INDEX(Cloc!E:F,MATCH(J141,Cloc!F:F,0),1)</f>
        <v>#N/A</v>
      </c>
      <c r="O141" s="14">
        <f t="shared" si="13"/>
        <v>30</v>
      </c>
      <c r="P141" s="14">
        <f>O141/Q141</f>
        <v>30</v>
      </c>
      <c r="Q141">
        <f>MAX(1,SUMPRODUCT($R$1:$AD$1,R141:AD141))</f>
        <v>1</v>
      </c>
    </row>
    <row r="142" spans="1:26" x14ac:dyDescent="0.25">
      <c r="A142" s="25" t="str">
        <f t="shared" si="14"/>
        <v>l10n_ar_website_sale;base.group_user;33;33;33;33;33;33;33;33</v>
      </c>
      <c r="B142">
        <f t="shared" si="11"/>
        <v>33</v>
      </c>
      <c r="C142">
        <f t="shared" si="12"/>
        <v>33</v>
      </c>
      <c r="D142">
        <f t="shared" si="12"/>
        <v>33</v>
      </c>
      <c r="E142">
        <f t="shared" si="12"/>
        <v>33</v>
      </c>
      <c r="F142">
        <f t="shared" si="12"/>
        <v>33</v>
      </c>
      <c r="G142">
        <f t="shared" si="12"/>
        <v>33</v>
      </c>
      <c r="H142">
        <f t="shared" si="12"/>
        <v>33</v>
      </c>
      <c r="I142">
        <f t="shared" si="12"/>
        <v>33</v>
      </c>
      <c r="J142" s="12" t="s">
        <v>164</v>
      </c>
      <c r="K142" s="14" t="s">
        <v>1060</v>
      </c>
      <c r="L142" s="29"/>
      <c r="M142" s="14">
        <f>INDEX('Pivot Analysis'!A:B,MATCH(J142,'Pivot Analysis'!B:B,0),1)</f>
        <v>33</v>
      </c>
      <c r="N142" s="14" t="e">
        <f>INDEX(Cloc!E:F,MATCH(J142,Cloc!F:F,0),1)</f>
        <v>#N/A</v>
      </c>
      <c r="O142" s="14">
        <f t="shared" si="13"/>
        <v>33</v>
      </c>
      <c r="P142" s="14">
        <f>O142/Q142</f>
        <v>33</v>
      </c>
      <c r="Q142">
        <f>MAX(1,SUMPRODUCT($R$1:$AD$1,R142:AD142))</f>
        <v>1</v>
      </c>
    </row>
    <row r="143" spans="1:26" x14ac:dyDescent="0.25">
      <c r="A143" s="25" t="str">
        <f t="shared" si="14"/>
        <v>l10n_ar_withholding;base.group_user;444;444;444;444;444;444;444;444</v>
      </c>
      <c r="B143">
        <f t="shared" si="11"/>
        <v>444</v>
      </c>
      <c r="C143">
        <f t="shared" si="12"/>
        <v>444</v>
      </c>
      <c r="D143">
        <f t="shared" si="12"/>
        <v>444</v>
      </c>
      <c r="E143">
        <f t="shared" si="12"/>
        <v>444</v>
      </c>
      <c r="F143">
        <f t="shared" si="12"/>
        <v>444</v>
      </c>
      <c r="G143">
        <f t="shared" si="12"/>
        <v>444</v>
      </c>
      <c r="H143">
        <f t="shared" si="12"/>
        <v>444</v>
      </c>
      <c r="I143">
        <f t="shared" si="12"/>
        <v>444</v>
      </c>
      <c r="J143" s="12" t="s">
        <v>809</v>
      </c>
      <c r="K143" s="14" t="s">
        <v>1060</v>
      </c>
      <c r="L143" s="29"/>
      <c r="M143" s="14">
        <f>INDEX('Pivot Analysis'!A:B,MATCH(J143,'Pivot Analysis'!B:B,0),1)</f>
        <v>444</v>
      </c>
      <c r="N143" s="14" t="e">
        <f>INDEX(Cloc!E:F,MATCH(J143,Cloc!F:F,0),1)</f>
        <v>#N/A</v>
      </c>
      <c r="O143" s="14">
        <f t="shared" si="13"/>
        <v>444</v>
      </c>
      <c r="P143" s="14">
        <f>O143/Q143</f>
        <v>444</v>
      </c>
      <c r="Q143">
        <f>MAX(1,SUMPRODUCT($R$1:$AD$1,R143:AD143))</f>
        <v>1</v>
      </c>
    </row>
    <row r="144" spans="1:26" x14ac:dyDescent="0.25">
      <c r="A144" s="25" t="str">
        <f t="shared" si="14"/>
        <v>l10n_at;base.group_user;402;402;402;402;402;402;402;402</v>
      </c>
      <c r="B144">
        <f t="shared" si="11"/>
        <v>402</v>
      </c>
      <c r="C144">
        <f t="shared" si="12"/>
        <v>402</v>
      </c>
      <c r="D144">
        <f t="shared" si="12"/>
        <v>402</v>
      </c>
      <c r="E144">
        <f t="shared" si="12"/>
        <v>402</v>
      </c>
      <c r="F144">
        <f t="shared" si="12"/>
        <v>402</v>
      </c>
      <c r="G144">
        <f t="shared" si="12"/>
        <v>402</v>
      </c>
      <c r="H144">
        <f t="shared" si="12"/>
        <v>402</v>
      </c>
      <c r="I144">
        <f t="shared" si="12"/>
        <v>402</v>
      </c>
      <c r="J144" s="12" t="s">
        <v>165</v>
      </c>
      <c r="K144" s="14" t="s">
        <v>1060</v>
      </c>
      <c r="L144" s="29"/>
      <c r="M144" s="14">
        <f>INDEX('Pivot Analysis'!A:B,MATCH(J144,'Pivot Analysis'!B:B,0),1)</f>
        <v>402</v>
      </c>
      <c r="N144" s="14" t="e">
        <f>INDEX(Cloc!E:F,MATCH(J144,Cloc!F:F,0),1)</f>
        <v>#N/A</v>
      </c>
      <c r="O144" s="14">
        <f t="shared" si="13"/>
        <v>402</v>
      </c>
      <c r="P144" s="14">
        <f>O144/Q144</f>
        <v>402</v>
      </c>
      <c r="Q144">
        <f>MAX(1,SUMPRODUCT($R$1:$AD$1,R144:AD144))</f>
        <v>1</v>
      </c>
    </row>
    <row r="145" spans="1:26" x14ac:dyDescent="0.25">
      <c r="A145" s="25" t="str">
        <f t="shared" si="14"/>
        <v>l10n_au;base.group_user;99,6;99,6;99,6;99,6;99,6;99,6;99,6;99,6</v>
      </c>
      <c r="B145">
        <f t="shared" si="11"/>
        <v>99.6</v>
      </c>
      <c r="C145">
        <f t="shared" si="12"/>
        <v>99.6</v>
      </c>
      <c r="D145">
        <f t="shared" si="12"/>
        <v>99.6</v>
      </c>
      <c r="E145">
        <f t="shared" si="12"/>
        <v>99.6</v>
      </c>
      <c r="F145">
        <f t="shared" si="12"/>
        <v>99.6</v>
      </c>
      <c r="G145">
        <f t="shared" si="12"/>
        <v>99.6</v>
      </c>
      <c r="H145">
        <f t="shared" si="12"/>
        <v>99.6</v>
      </c>
      <c r="I145">
        <f t="shared" si="12"/>
        <v>99.6</v>
      </c>
      <c r="J145" s="12" t="s">
        <v>168</v>
      </c>
      <c r="K145" s="14" t="s">
        <v>1060</v>
      </c>
      <c r="L145" s="29"/>
      <c r="M145" s="14">
        <f>INDEX('Pivot Analysis'!A:B,MATCH(J145,'Pivot Analysis'!B:B,0),1)</f>
        <v>99.6</v>
      </c>
      <c r="N145" s="14" t="e">
        <f>INDEX(Cloc!E:F,MATCH(J145,Cloc!F:F,0),1)</f>
        <v>#N/A</v>
      </c>
      <c r="O145" s="14">
        <f t="shared" si="13"/>
        <v>99.6</v>
      </c>
      <c r="P145" s="14">
        <f>O145/Q145</f>
        <v>99.6</v>
      </c>
      <c r="Q145">
        <f>MAX(1,SUMPRODUCT($R$1:$AD$1,R145:AD145))</f>
        <v>1</v>
      </c>
    </row>
    <row r="146" spans="1:26" x14ac:dyDescent="0.25">
      <c r="A146" s="25" t="str">
        <f t="shared" si="14"/>
        <v>l10n_bd;base.group_user;30;30;30;30;30;30;30;30</v>
      </c>
      <c r="B146">
        <f t="shared" si="11"/>
        <v>30</v>
      </c>
      <c r="C146">
        <f t="shared" si="12"/>
        <v>30</v>
      </c>
      <c r="D146">
        <f t="shared" si="12"/>
        <v>30</v>
      </c>
      <c r="E146">
        <f t="shared" si="12"/>
        <v>30</v>
      </c>
      <c r="F146">
        <f t="shared" si="12"/>
        <v>30</v>
      </c>
      <c r="G146">
        <f t="shared" si="12"/>
        <v>30</v>
      </c>
      <c r="H146">
        <f t="shared" si="12"/>
        <v>30</v>
      </c>
      <c r="I146">
        <f t="shared" si="12"/>
        <v>30</v>
      </c>
      <c r="J146" s="12" t="s">
        <v>813</v>
      </c>
      <c r="K146" s="14" t="s">
        <v>1060</v>
      </c>
      <c r="L146" s="29"/>
      <c r="M146" s="14">
        <f>INDEX('Pivot Analysis'!A:B,MATCH(J146,'Pivot Analysis'!B:B,0),1)</f>
        <v>30</v>
      </c>
      <c r="N146" s="14" t="e">
        <f>INDEX(Cloc!E:F,MATCH(J146,Cloc!F:F,0),1)</f>
        <v>#N/A</v>
      </c>
      <c r="O146" s="14">
        <f t="shared" si="13"/>
        <v>30</v>
      </c>
      <c r="P146" s="14">
        <f>O146/Q146</f>
        <v>30</v>
      </c>
      <c r="Q146">
        <f>MAX(1,SUMPRODUCT($R$1:$AD$1,R146:AD146))</f>
        <v>1</v>
      </c>
    </row>
    <row r="147" spans="1:26" x14ac:dyDescent="0.25">
      <c r="A147" s="25" t="str">
        <f t="shared" si="14"/>
        <v>l10n_be;base.group_user;310,5;310,5;310,5;310,5;310,5;310,5;310,5;310,5</v>
      </c>
      <c r="B147">
        <f t="shared" si="11"/>
        <v>310.5</v>
      </c>
      <c r="C147">
        <f t="shared" si="12"/>
        <v>310.5</v>
      </c>
      <c r="D147">
        <f t="shared" si="12"/>
        <v>310.5</v>
      </c>
      <c r="E147">
        <f t="shared" si="12"/>
        <v>310.5</v>
      </c>
      <c r="F147">
        <f t="shared" si="12"/>
        <v>310.5</v>
      </c>
      <c r="G147">
        <f t="shared" si="12"/>
        <v>310.5</v>
      </c>
      <c r="H147">
        <f t="shared" si="12"/>
        <v>310.5</v>
      </c>
      <c r="I147">
        <f t="shared" si="12"/>
        <v>310.5</v>
      </c>
      <c r="J147" s="12" t="s">
        <v>171</v>
      </c>
      <c r="K147" s="14" t="s">
        <v>1060</v>
      </c>
      <c r="L147" s="29"/>
      <c r="M147" s="14">
        <f>INDEX('Pivot Analysis'!A:B,MATCH(J147,'Pivot Analysis'!B:B,0),1)</f>
        <v>310.5</v>
      </c>
      <c r="N147" s="14" t="e">
        <f>INDEX(Cloc!E:F,MATCH(J147,Cloc!F:F,0),1)</f>
        <v>#N/A</v>
      </c>
      <c r="O147" s="14">
        <f t="shared" si="13"/>
        <v>310.5</v>
      </c>
      <c r="P147" s="14">
        <f>O147/Q147</f>
        <v>310.5</v>
      </c>
      <c r="Q147">
        <f>MAX(1,SUMPRODUCT($R$1:$AD$1,R147:AD147))</f>
        <v>1</v>
      </c>
    </row>
    <row r="148" spans="1:26" x14ac:dyDescent="0.25">
      <c r="A148" s="25" t="str">
        <f t="shared" si="14"/>
        <v>l10n_be_pos_restaurant;base.group_user;1000;1000;1000;1000;1000;1000;1000;1000</v>
      </c>
      <c r="B148">
        <f t="shared" si="11"/>
        <v>1000</v>
      </c>
      <c r="C148">
        <f t="shared" si="12"/>
        <v>1000</v>
      </c>
      <c r="D148">
        <f t="shared" si="12"/>
        <v>1000</v>
      </c>
      <c r="E148">
        <f t="shared" si="12"/>
        <v>1000</v>
      </c>
      <c r="F148">
        <f t="shared" si="12"/>
        <v>1000</v>
      </c>
      <c r="G148">
        <f t="shared" si="12"/>
        <v>1000</v>
      </c>
      <c r="H148">
        <f t="shared" si="12"/>
        <v>1000</v>
      </c>
      <c r="I148">
        <f t="shared" si="12"/>
        <v>1000</v>
      </c>
      <c r="J148" s="14" t="s">
        <v>1091</v>
      </c>
      <c r="K148" s="14" t="s">
        <v>1060</v>
      </c>
      <c r="L148" s="29"/>
      <c r="M148" s="14" t="e">
        <f>INDEX('Pivot Analysis'!A:B,MATCH(J148,'Pivot Analysis'!B:B,0),1)</f>
        <v>#N/A</v>
      </c>
      <c r="N148" s="14" t="e">
        <f>INDEX(Cloc!E:F,MATCH(J148,Cloc!F:F,0),1)</f>
        <v>#N/A</v>
      </c>
      <c r="O148" s="14">
        <f t="shared" si="13"/>
        <v>1000</v>
      </c>
      <c r="P148" s="14">
        <f>O148/Q148</f>
        <v>1000</v>
      </c>
      <c r="Q148">
        <f>MAX(1,SUMPRODUCT($R$1:$AD$1,R148:AD148))</f>
        <v>1</v>
      </c>
      <c r="Z148">
        <v>1</v>
      </c>
    </row>
    <row r="149" spans="1:26" x14ac:dyDescent="0.25">
      <c r="A149" s="25" t="str">
        <f t="shared" si="14"/>
        <v>l10n_be_pos_sale;base.group_user;33;33;33;33;33;33;33;33</v>
      </c>
      <c r="B149">
        <f t="shared" si="11"/>
        <v>33</v>
      </c>
      <c r="C149">
        <f t="shared" si="12"/>
        <v>33</v>
      </c>
      <c r="D149">
        <f t="shared" si="12"/>
        <v>33</v>
      </c>
      <c r="E149">
        <f t="shared" si="12"/>
        <v>33</v>
      </c>
      <c r="F149">
        <f t="shared" si="12"/>
        <v>33</v>
      </c>
      <c r="G149">
        <f t="shared" si="12"/>
        <v>33</v>
      </c>
      <c r="H149">
        <f t="shared" si="12"/>
        <v>33</v>
      </c>
      <c r="I149">
        <f t="shared" si="12"/>
        <v>33</v>
      </c>
      <c r="J149" s="12" t="s">
        <v>174</v>
      </c>
      <c r="K149" s="14" t="s">
        <v>1060</v>
      </c>
      <c r="L149" s="29"/>
      <c r="M149" s="14">
        <f>INDEX('Pivot Analysis'!A:B,MATCH(J149,'Pivot Analysis'!B:B,0),1)</f>
        <v>33</v>
      </c>
      <c r="N149" s="14" t="e">
        <f>INDEX(Cloc!E:F,MATCH(J149,Cloc!F:F,0),1)</f>
        <v>#N/A</v>
      </c>
      <c r="O149" s="14">
        <f t="shared" si="13"/>
        <v>33</v>
      </c>
      <c r="P149" s="14">
        <f>O149/Q149</f>
        <v>33</v>
      </c>
      <c r="Q149">
        <f>MAX(1,SUMPRODUCT($R$1:$AD$1,R149:AD149))</f>
        <v>1</v>
      </c>
    </row>
    <row r="150" spans="1:26" x14ac:dyDescent="0.25">
      <c r="A150" s="25" t="str">
        <f t="shared" si="14"/>
        <v>l10n_bf;base.group_user;30;30;30;30;30;30;30;30</v>
      </c>
      <c r="B150">
        <f t="shared" si="11"/>
        <v>30</v>
      </c>
      <c r="C150">
        <f t="shared" si="12"/>
        <v>30</v>
      </c>
      <c r="D150">
        <f t="shared" si="12"/>
        <v>30</v>
      </c>
      <c r="E150">
        <f t="shared" si="12"/>
        <v>30</v>
      </c>
      <c r="F150">
        <f t="shared" si="12"/>
        <v>30</v>
      </c>
      <c r="G150">
        <f t="shared" si="12"/>
        <v>30</v>
      </c>
      <c r="H150">
        <f t="shared" si="12"/>
        <v>30</v>
      </c>
      <c r="I150">
        <f t="shared" si="12"/>
        <v>30</v>
      </c>
      <c r="J150" s="12" t="s">
        <v>814</v>
      </c>
      <c r="K150" s="14" t="s">
        <v>1060</v>
      </c>
      <c r="L150" s="29"/>
      <c r="M150" s="14">
        <f>INDEX('Pivot Analysis'!A:B,MATCH(J150,'Pivot Analysis'!B:B,0),1)</f>
        <v>30</v>
      </c>
      <c r="N150" s="14" t="e">
        <f>INDEX(Cloc!E:F,MATCH(J150,Cloc!F:F,0),1)</f>
        <v>#N/A</v>
      </c>
      <c r="O150" s="14">
        <f t="shared" si="13"/>
        <v>30</v>
      </c>
      <c r="P150" s="14">
        <f>O150/Q150</f>
        <v>30</v>
      </c>
      <c r="Q150">
        <f>MAX(1,SUMPRODUCT($R$1:$AD$1,R150:AD150))</f>
        <v>1</v>
      </c>
    </row>
    <row r="151" spans="1:26" x14ac:dyDescent="0.25">
      <c r="A151" s="25" t="str">
        <f t="shared" si="14"/>
        <v>l10n_bg;base.group_user;168;168;168;168;168;168;168;168</v>
      </c>
      <c r="B151">
        <f t="shared" si="11"/>
        <v>168.00000000000003</v>
      </c>
      <c r="C151">
        <f t="shared" si="12"/>
        <v>168.00000000000003</v>
      </c>
      <c r="D151">
        <f t="shared" si="12"/>
        <v>168.00000000000003</v>
      </c>
      <c r="E151">
        <f t="shared" si="12"/>
        <v>168.00000000000003</v>
      </c>
      <c r="F151">
        <f t="shared" si="12"/>
        <v>168.00000000000003</v>
      </c>
      <c r="G151">
        <f t="shared" si="12"/>
        <v>168.00000000000003</v>
      </c>
      <c r="H151">
        <f t="shared" si="12"/>
        <v>168.00000000000003</v>
      </c>
      <c r="I151">
        <f t="shared" si="12"/>
        <v>168.00000000000003</v>
      </c>
      <c r="J151" s="12" t="s">
        <v>175</v>
      </c>
      <c r="K151" s="14" t="s">
        <v>1060</v>
      </c>
      <c r="L151" s="29"/>
      <c r="M151" s="14">
        <f>INDEX('Pivot Analysis'!A:B,MATCH(J151,'Pivot Analysis'!B:B,0),1)</f>
        <v>168.00000000000003</v>
      </c>
      <c r="N151" s="14" t="e">
        <f>INDEX(Cloc!E:F,MATCH(J151,Cloc!F:F,0),1)</f>
        <v>#N/A</v>
      </c>
      <c r="O151" s="14">
        <f t="shared" si="13"/>
        <v>168.00000000000003</v>
      </c>
      <c r="P151" s="14">
        <f>O151/Q151</f>
        <v>168.00000000000003</v>
      </c>
      <c r="Q151">
        <f>MAX(1,SUMPRODUCT($R$1:$AD$1,R151:AD151))</f>
        <v>1</v>
      </c>
    </row>
    <row r="152" spans="1:26" x14ac:dyDescent="0.25">
      <c r="A152" s="25" t="str">
        <f t="shared" si="14"/>
        <v>l10n_bg_ledger;base.group_user;1000;1000;1000;1000;1000;1000;1000;1000</v>
      </c>
      <c r="B152">
        <f t="shared" si="11"/>
        <v>1000</v>
      </c>
      <c r="C152">
        <f t="shared" si="12"/>
        <v>1000</v>
      </c>
      <c r="D152">
        <f t="shared" si="12"/>
        <v>1000</v>
      </c>
      <c r="E152">
        <f t="shared" si="12"/>
        <v>1000</v>
      </c>
      <c r="F152">
        <f t="shared" si="12"/>
        <v>1000</v>
      </c>
      <c r="G152">
        <f t="shared" si="12"/>
        <v>1000</v>
      </c>
      <c r="H152">
        <f t="shared" si="12"/>
        <v>1000</v>
      </c>
      <c r="I152">
        <f t="shared" si="12"/>
        <v>1000</v>
      </c>
      <c r="J152" s="14" t="s">
        <v>1092</v>
      </c>
      <c r="K152" s="14" t="s">
        <v>1060</v>
      </c>
      <c r="L152" s="29"/>
      <c r="M152" s="14" t="e">
        <f>INDEX('Pivot Analysis'!A:B,MATCH(J152,'Pivot Analysis'!B:B,0),1)</f>
        <v>#N/A</v>
      </c>
      <c r="N152" s="14" t="e">
        <f>INDEX(Cloc!E:F,MATCH(J152,Cloc!F:F,0),1)</f>
        <v>#N/A</v>
      </c>
      <c r="O152" s="14">
        <f t="shared" si="13"/>
        <v>1000</v>
      </c>
      <c r="P152" s="14">
        <f>O152/Q152</f>
        <v>1000</v>
      </c>
      <c r="Q152">
        <f>MAX(1,SUMPRODUCT($R$1:$AD$1,R152:AD152))</f>
        <v>1</v>
      </c>
      <c r="Z152">
        <v>1</v>
      </c>
    </row>
    <row r="153" spans="1:26" x14ac:dyDescent="0.25">
      <c r="A153" s="25" t="str">
        <f t="shared" si="14"/>
        <v>l10n_bh;base.group_user;30;30;30;30;30;30;30;30</v>
      </c>
      <c r="B153">
        <f t="shared" si="11"/>
        <v>30</v>
      </c>
      <c r="C153">
        <f t="shared" si="12"/>
        <v>30</v>
      </c>
      <c r="D153">
        <f t="shared" si="12"/>
        <v>30</v>
      </c>
      <c r="E153">
        <f t="shared" si="12"/>
        <v>30</v>
      </c>
      <c r="F153">
        <f t="shared" si="12"/>
        <v>30</v>
      </c>
      <c r="G153">
        <f t="shared" si="12"/>
        <v>30</v>
      </c>
      <c r="H153">
        <f t="shared" si="12"/>
        <v>30</v>
      </c>
      <c r="I153">
        <f t="shared" si="12"/>
        <v>30</v>
      </c>
      <c r="J153" s="12" t="s">
        <v>815</v>
      </c>
      <c r="K153" s="14" t="s">
        <v>1060</v>
      </c>
      <c r="L153" s="29"/>
      <c r="M153" s="14">
        <f>INDEX('Pivot Analysis'!A:B,MATCH(J153,'Pivot Analysis'!B:B,0),1)</f>
        <v>30</v>
      </c>
      <c r="N153" s="14" t="e">
        <f>INDEX(Cloc!E:F,MATCH(J153,Cloc!F:F,0),1)</f>
        <v>#N/A</v>
      </c>
      <c r="O153" s="14">
        <f t="shared" si="13"/>
        <v>30</v>
      </c>
      <c r="P153" s="14">
        <f>O153/Q153</f>
        <v>30</v>
      </c>
      <c r="Q153">
        <f>MAX(1,SUMPRODUCT($R$1:$AD$1,R153:AD153))</f>
        <v>1</v>
      </c>
    </row>
    <row r="154" spans="1:26" x14ac:dyDescent="0.25">
      <c r="A154" s="25" t="str">
        <f t="shared" si="14"/>
        <v>l10n_bj;base.group_user;30;30;30;30;30;30;30;30</v>
      </c>
      <c r="B154">
        <f t="shared" si="11"/>
        <v>30</v>
      </c>
      <c r="C154">
        <f t="shared" si="12"/>
        <v>30</v>
      </c>
      <c r="D154">
        <f t="shared" si="12"/>
        <v>30</v>
      </c>
      <c r="E154">
        <f t="shared" si="12"/>
        <v>30</v>
      </c>
      <c r="F154">
        <f t="shared" si="12"/>
        <v>30</v>
      </c>
      <c r="G154">
        <f t="shared" si="12"/>
        <v>30</v>
      </c>
      <c r="H154">
        <f t="shared" si="12"/>
        <v>30</v>
      </c>
      <c r="I154">
        <f t="shared" si="12"/>
        <v>30</v>
      </c>
      <c r="J154" s="12" t="s">
        <v>816</v>
      </c>
      <c r="K154" s="14" t="s">
        <v>1060</v>
      </c>
      <c r="L154" s="29"/>
      <c r="M154" s="14">
        <f>INDEX('Pivot Analysis'!A:B,MATCH(J154,'Pivot Analysis'!B:B,0),1)</f>
        <v>30</v>
      </c>
      <c r="N154" s="14" t="e">
        <f>INDEX(Cloc!E:F,MATCH(J154,Cloc!F:F,0),1)</f>
        <v>#N/A</v>
      </c>
      <c r="O154" s="14">
        <f t="shared" si="13"/>
        <v>30</v>
      </c>
      <c r="P154" s="14">
        <f>O154/Q154</f>
        <v>30</v>
      </c>
      <c r="Q154">
        <f>MAX(1,SUMPRODUCT($R$1:$AD$1,R154:AD154))</f>
        <v>1</v>
      </c>
    </row>
    <row r="155" spans="1:26" x14ac:dyDescent="0.25">
      <c r="A155" s="25" t="str">
        <f t="shared" si="14"/>
        <v>l10n_bo;base.group_user;96;96;96;96;96;96;96;96</v>
      </c>
      <c r="B155">
        <f t="shared" si="11"/>
        <v>95.999999999999986</v>
      </c>
      <c r="C155">
        <f t="shared" si="12"/>
        <v>95.999999999999986</v>
      </c>
      <c r="D155">
        <f t="shared" si="12"/>
        <v>95.999999999999986</v>
      </c>
      <c r="E155">
        <f t="shared" si="12"/>
        <v>95.999999999999986</v>
      </c>
      <c r="F155">
        <f t="shared" si="12"/>
        <v>95.999999999999986</v>
      </c>
      <c r="G155">
        <f t="shared" si="12"/>
        <v>95.999999999999986</v>
      </c>
      <c r="H155">
        <f t="shared" si="12"/>
        <v>95.999999999999986</v>
      </c>
      <c r="I155">
        <f t="shared" si="12"/>
        <v>95.999999999999986</v>
      </c>
      <c r="J155" s="12" t="s">
        <v>178</v>
      </c>
      <c r="K155" s="14" t="s">
        <v>1060</v>
      </c>
      <c r="L155" s="29"/>
      <c r="M155" s="14">
        <f>INDEX('Pivot Analysis'!A:B,MATCH(J155,'Pivot Analysis'!B:B,0),1)</f>
        <v>95.999999999999986</v>
      </c>
      <c r="N155" s="14" t="e">
        <f>INDEX(Cloc!E:F,MATCH(J155,Cloc!F:F,0),1)</f>
        <v>#N/A</v>
      </c>
      <c r="O155" s="14">
        <f t="shared" si="13"/>
        <v>95.999999999999986</v>
      </c>
      <c r="P155" s="14">
        <f>O155/Q155</f>
        <v>95.999999999999986</v>
      </c>
      <c r="Q155">
        <f>MAX(1,SUMPRODUCT($R$1:$AD$1,R155:AD155))</f>
        <v>1</v>
      </c>
    </row>
    <row r="156" spans="1:26" x14ac:dyDescent="0.25">
      <c r="A156" s="25" t="str">
        <f t="shared" si="14"/>
        <v>l10n_br;base.group_user;823,5;823,5;823,5;823,5;823,5;823,5;823,5;823,5</v>
      </c>
      <c r="B156">
        <f t="shared" si="11"/>
        <v>823.5</v>
      </c>
      <c r="C156">
        <f t="shared" si="12"/>
        <v>823.5</v>
      </c>
      <c r="D156">
        <f t="shared" si="12"/>
        <v>823.5</v>
      </c>
      <c r="E156">
        <f t="shared" si="12"/>
        <v>823.5</v>
      </c>
      <c r="F156">
        <f t="shared" si="12"/>
        <v>823.5</v>
      </c>
      <c r="G156">
        <f t="shared" si="12"/>
        <v>823.5</v>
      </c>
      <c r="H156">
        <f t="shared" si="12"/>
        <v>823.5</v>
      </c>
      <c r="I156">
        <f t="shared" si="12"/>
        <v>823.5</v>
      </c>
      <c r="J156" s="12" t="s">
        <v>180</v>
      </c>
      <c r="K156" s="14" t="s">
        <v>1060</v>
      </c>
      <c r="L156" s="29"/>
      <c r="M156" s="14">
        <f>INDEX('Pivot Analysis'!A:B,MATCH(J156,'Pivot Analysis'!B:B,0),1)</f>
        <v>823.5</v>
      </c>
      <c r="N156" s="14" t="e">
        <f>INDEX(Cloc!E:F,MATCH(J156,Cloc!F:F,0),1)</f>
        <v>#N/A</v>
      </c>
      <c r="O156" s="14">
        <f t="shared" si="13"/>
        <v>823.5</v>
      </c>
      <c r="P156" s="14">
        <f>O156/Q156</f>
        <v>823.5</v>
      </c>
      <c r="Q156">
        <f>MAX(1,SUMPRODUCT($R$1:$AD$1,R156:AD156))</f>
        <v>1</v>
      </c>
    </row>
    <row r="157" spans="1:26" x14ac:dyDescent="0.25">
      <c r="A157" s="25" t="str">
        <f t="shared" si="14"/>
        <v>l10n_br_pix;base.group_user;0;0;0;0;0;0;0;0</v>
      </c>
      <c r="B157">
        <f t="shared" si="11"/>
        <v>0</v>
      </c>
      <c r="C157">
        <f t="shared" si="12"/>
        <v>0</v>
      </c>
      <c r="D157">
        <f t="shared" si="12"/>
        <v>0</v>
      </c>
      <c r="E157">
        <f t="shared" si="12"/>
        <v>0</v>
      </c>
      <c r="F157">
        <f t="shared" si="12"/>
        <v>0</v>
      </c>
      <c r="G157">
        <f t="shared" si="12"/>
        <v>0</v>
      </c>
      <c r="H157">
        <f t="shared" si="12"/>
        <v>0</v>
      </c>
      <c r="I157">
        <f t="shared" si="12"/>
        <v>0</v>
      </c>
      <c r="J157" s="12" t="s">
        <v>819</v>
      </c>
      <c r="K157" s="14" t="s">
        <v>1060</v>
      </c>
      <c r="L157" s="29"/>
      <c r="M157" s="14">
        <f>INDEX('Pivot Analysis'!A:B,MATCH(J157,'Pivot Analysis'!B:B,0),1)</f>
        <v>0</v>
      </c>
      <c r="N157" s="14" t="e">
        <f>INDEX(Cloc!E:F,MATCH(J157,Cloc!F:F,0),1)</f>
        <v>#N/A</v>
      </c>
      <c r="O157" s="14">
        <f t="shared" si="13"/>
        <v>0</v>
      </c>
      <c r="P157" s="14">
        <f>O157/Q157</f>
        <v>0</v>
      </c>
      <c r="Q157">
        <f>MAX(1,SUMPRODUCT($R$1:$AD$1,R157:AD157))</f>
        <v>1</v>
      </c>
    </row>
    <row r="158" spans="1:26" x14ac:dyDescent="0.25">
      <c r="A158" s="25" t="str">
        <f t="shared" si="14"/>
        <v>l10n_br_sales;base.group_user;30;30;30;30;30;30;30;30</v>
      </c>
      <c r="B158">
        <f t="shared" si="11"/>
        <v>30</v>
      </c>
      <c r="C158">
        <f t="shared" si="12"/>
        <v>30</v>
      </c>
      <c r="D158">
        <f t="shared" si="12"/>
        <v>30</v>
      </c>
      <c r="E158">
        <f t="shared" si="12"/>
        <v>30</v>
      </c>
      <c r="F158">
        <f t="shared" si="12"/>
        <v>30</v>
      </c>
      <c r="G158">
        <f t="shared" si="12"/>
        <v>30</v>
      </c>
      <c r="H158">
        <f t="shared" si="12"/>
        <v>30</v>
      </c>
      <c r="I158">
        <f t="shared" si="12"/>
        <v>30</v>
      </c>
      <c r="J158" s="12" t="s">
        <v>821</v>
      </c>
      <c r="K158" s="14" t="s">
        <v>1060</v>
      </c>
      <c r="L158" s="29"/>
      <c r="M158" s="14">
        <f>INDEX('Pivot Analysis'!A:B,MATCH(J158,'Pivot Analysis'!B:B,0),1)</f>
        <v>30</v>
      </c>
      <c r="N158" s="14" t="e">
        <f>INDEX(Cloc!E:F,MATCH(J158,Cloc!F:F,0),1)</f>
        <v>#N/A</v>
      </c>
      <c r="O158" s="14">
        <f t="shared" si="13"/>
        <v>30</v>
      </c>
      <c r="P158" s="14">
        <f>O158/Q158</f>
        <v>30</v>
      </c>
      <c r="Q158">
        <f>MAX(1,SUMPRODUCT($R$1:$AD$1,R158:AD158))</f>
        <v>1</v>
      </c>
    </row>
    <row r="159" spans="1:26" x14ac:dyDescent="0.25">
      <c r="A159" s="25" t="str">
        <f t="shared" si="14"/>
        <v>l10n_br_website_sale;base.group_user;30;30;30;30;30;30;30;30</v>
      </c>
      <c r="B159">
        <f t="shared" si="11"/>
        <v>30</v>
      </c>
      <c r="C159">
        <f t="shared" si="12"/>
        <v>30</v>
      </c>
      <c r="D159">
        <f t="shared" si="12"/>
        <v>30</v>
      </c>
      <c r="E159">
        <f t="shared" si="12"/>
        <v>30</v>
      </c>
      <c r="F159">
        <f t="shared" si="12"/>
        <v>30</v>
      </c>
      <c r="G159">
        <f t="shared" si="12"/>
        <v>30</v>
      </c>
      <c r="H159">
        <f t="shared" si="12"/>
        <v>30</v>
      </c>
      <c r="I159">
        <f t="shared" si="12"/>
        <v>30</v>
      </c>
      <c r="J159" s="12" t="s">
        <v>822</v>
      </c>
      <c r="K159" s="14" t="s">
        <v>1060</v>
      </c>
      <c r="L159" s="29"/>
      <c r="M159" s="14">
        <f>INDEX('Pivot Analysis'!A:B,MATCH(J159,'Pivot Analysis'!B:B,0),1)</f>
        <v>30</v>
      </c>
      <c r="N159" s="14" t="e">
        <f>INDEX(Cloc!E:F,MATCH(J159,Cloc!F:F,0),1)</f>
        <v>#N/A</v>
      </c>
      <c r="O159" s="14">
        <f t="shared" si="13"/>
        <v>30</v>
      </c>
      <c r="P159" s="14">
        <f>O159/Q159</f>
        <v>30</v>
      </c>
      <c r="Q159">
        <f>MAX(1,SUMPRODUCT($R$1:$AD$1,R159:AD159))</f>
        <v>1</v>
      </c>
    </row>
    <row r="160" spans="1:26" x14ac:dyDescent="0.25">
      <c r="A160" s="25" t="str">
        <f t="shared" si="14"/>
        <v>l10n_ca;base.group_user;165;165;165;165;165;165;165;165</v>
      </c>
      <c r="B160">
        <f t="shared" si="11"/>
        <v>164.99999999999997</v>
      </c>
      <c r="C160">
        <f t="shared" si="12"/>
        <v>164.99999999999997</v>
      </c>
      <c r="D160">
        <f t="shared" si="12"/>
        <v>164.99999999999997</v>
      </c>
      <c r="E160">
        <f t="shared" si="12"/>
        <v>164.99999999999997</v>
      </c>
      <c r="F160">
        <f t="shared" si="12"/>
        <v>164.99999999999997</v>
      </c>
      <c r="G160">
        <f t="shared" si="12"/>
        <v>164.99999999999997</v>
      </c>
      <c r="H160">
        <f t="shared" si="12"/>
        <v>164.99999999999997</v>
      </c>
      <c r="I160">
        <f t="shared" si="12"/>
        <v>164.99999999999997</v>
      </c>
      <c r="J160" s="12" t="s">
        <v>183</v>
      </c>
      <c r="K160" s="14" t="s">
        <v>1060</v>
      </c>
      <c r="L160" s="29"/>
      <c r="M160" s="14">
        <f>INDEX('Pivot Analysis'!A:B,MATCH(J160,'Pivot Analysis'!B:B,0),1)</f>
        <v>164.99999999999997</v>
      </c>
      <c r="N160" s="14" t="e">
        <f>INDEX(Cloc!E:F,MATCH(J160,Cloc!F:F,0),1)</f>
        <v>#N/A</v>
      </c>
      <c r="O160" s="14">
        <f t="shared" si="13"/>
        <v>164.99999999999997</v>
      </c>
      <c r="P160" s="14">
        <f>O160/Q160</f>
        <v>164.99999999999997</v>
      </c>
      <c r="Q160">
        <f>MAX(1,SUMPRODUCT($R$1:$AD$1,R160:AD160))</f>
        <v>1</v>
      </c>
    </row>
    <row r="161" spans="1:17" x14ac:dyDescent="0.25">
      <c r="A161" s="25" t="str">
        <f t="shared" si="14"/>
        <v>l10n_cd;base.group_user;30;30;30;30;30;30;30;30</v>
      </c>
      <c r="B161">
        <f t="shared" si="11"/>
        <v>30</v>
      </c>
      <c r="C161">
        <f t="shared" si="12"/>
        <v>30</v>
      </c>
      <c r="D161">
        <f t="shared" si="12"/>
        <v>30</v>
      </c>
      <c r="E161">
        <f t="shared" si="12"/>
        <v>30</v>
      </c>
      <c r="F161">
        <f t="shared" si="12"/>
        <v>30</v>
      </c>
      <c r="G161">
        <f t="shared" si="12"/>
        <v>30</v>
      </c>
      <c r="H161">
        <f t="shared" si="12"/>
        <v>30</v>
      </c>
      <c r="I161">
        <f t="shared" si="12"/>
        <v>30</v>
      </c>
      <c r="J161" s="12" t="s">
        <v>823</v>
      </c>
      <c r="K161" s="14" t="s">
        <v>1060</v>
      </c>
      <c r="L161" s="29"/>
      <c r="M161" s="14">
        <f>INDEX('Pivot Analysis'!A:B,MATCH(J161,'Pivot Analysis'!B:B,0),1)</f>
        <v>30</v>
      </c>
      <c r="N161" s="14" t="e">
        <f>INDEX(Cloc!E:F,MATCH(J161,Cloc!F:F,0),1)</f>
        <v>#N/A</v>
      </c>
      <c r="O161" s="14">
        <f t="shared" si="13"/>
        <v>30</v>
      </c>
      <c r="P161" s="14">
        <f>O161/Q161</f>
        <v>30</v>
      </c>
      <c r="Q161">
        <f>MAX(1,SUMPRODUCT($R$1:$AD$1,R161:AD161))</f>
        <v>1</v>
      </c>
    </row>
    <row r="162" spans="1:17" x14ac:dyDescent="0.25">
      <c r="A162" s="25" t="str">
        <f t="shared" si="14"/>
        <v>l10n_cf;base.group_user;30;30;30;30;30;30;30;30</v>
      </c>
      <c r="B162">
        <f t="shared" si="11"/>
        <v>30</v>
      </c>
      <c r="C162">
        <f t="shared" si="12"/>
        <v>30</v>
      </c>
      <c r="D162">
        <f t="shared" ref="C162:I225" si="15">$P162*MIN($Q162,D$3)</f>
        <v>30</v>
      </c>
      <c r="E162">
        <f t="shared" si="15"/>
        <v>30</v>
      </c>
      <c r="F162">
        <f t="shared" si="15"/>
        <v>30</v>
      </c>
      <c r="G162">
        <f t="shared" si="15"/>
        <v>30</v>
      </c>
      <c r="H162">
        <f t="shared" si="15"/>
        <v>30</v>
      </c>
      <c r="I162">
        <f t="shared" si="15"/>
        <v>30</v>
      </c>
      <c r="J162" s="12" t="s">
        <v>824</v>
      </c>
      <c r="K162" s="14" t="s">
        <v>1060</v>
      </c>
      <c r="L162" s="29"/>
      <c r="M162" s="14">
        <f>INDEX('Pivot Analysis'!A:B,MATCH(J162,'Pivot Analysis'!B:B,0),1)</f>
        <v>30</v>
      </c>
      <c r="N162" s="14" t="e">
        <f>INDEX(Cloc!E:F,MATCH(J162,Cloc!F:F,0),1)</f>
        <v>#N/A</v>
      </c>
      <c r="O162" s="14">
        <f t="shared" si="13"/>
        <v>30</v>
      </c>
      <c r="P162" s="14">
        <f>O162/Q162</f>
        <v>30</v>
      </c>
      <c r="Q162">
        <f>MAX(1,SUMPRODUCT($R$1:$AD$1,R162:AD162))</f>
        <v>1</v>
      </c>
    </row>
    <row r="163" spans="1:17" x14ac:dyDescent="0.25">
      <c r="A163" s="25" t="str">
        <f t="shared" si="14"/>
        <v>l10n_cg;base.group_user;30;30;30;30;30;30;30;30</v>
      </c>
      <c r="B163">
        <f t="shared" si="11"/>
        <v>30</v>
      </c>
      <c r="C163">
        <f t="shared" si="15"/>
        <v>30</v>
      </c>
      <c r="D163">
        <f t="shared" si="15"/>
        <v>30</v>
      </c>
      <c r="E163">
        <f t="shared" si="15"/>
        <v>30</v>
      </c>
      <c r="F163">
        <f t="shared" si="15"/>
        <v>30</v>
      </c>
      <c r="G163">
        <f t="shared" si="15"/>
        <v>30</v>
      </c>
      <c r="H163">
        <f t="shared" si="15"/>
        <v>30</v>
      </c>
      <c r="I163">
        <f t="shared" si="15"/>
        <v>30</v>
      </c>
      <c r="J163" s="12" t="s">
        <v>825</v>
      </c>
      <c r="K163" s="14" t="s">
        <v>1060</v>
      </c>
      <c r="L163" s="29"/>
      <c r="M163" s="14">
        <f>INDEX('Pivot Analysis'!A:B,MATCH(J163,'Pivot Analysis'!B:B,0),1)</f>
        <v>30</v>
      </c>
      <c r="N163" s="14" t="e">
        <f>INDEX(Cloc!E:F,MATCH(J163,Cloc!F:F,0),1)</f>
        <v>#N/A</v>
      </c>
      <c r="O163" s="14">
        <f t="shared" si="13"/>
        <v>30</v>
      </c>
      <c r="P163" s="14">
        <f>O163/Q163</f>
        <v>30</v>
      </c>
      <c r="Q163">
        <f>MAX(1,SUMPRODUCT($R$1:$AD$1,R163:AD163))</f>
        <v>1</v>
      </c>
    </row>
    <row r="164" spans="1:17" x14ac:dyDescent="0.25">
      <c r="A164" s="25" t="str">
        <f t="shared" si="14"/>
        <v>l10n_ch;base.group_user;201;201;201;201;201;201;201;201</v>
      </c>
      <c r="B164">
        <f t="shared" si="11"/>
        <v>200.99999999999994</v>
      </c>
      <c r="C164">
        <f t="shared" si="15"/>
        <v>200.99999999999994</v>
      </c>
      <c r="D164">
        <f t="shared" si="15"/>
        <v>200.99999999999994</v>
      </c>
      <c r="E164">
        <f t="shared" si="15"/>
        <v>200.99999999999994</v>
      </c>
      <c r="F164">
        <f t="shared" si="15"/>
        <v>200.99999999999994</v>
      </c>
      <c r="G164">
        <f t="shared" si="15"/>
        <v>200.99999999999994</v>
      </c>
      <c r="H164">
        <f t="shared" si="15"/>
        <v>200.99999999999994</v>
      </c>
      <c r="I164">
        <f t="shared" si="15"/>
        <v>200.99999999999994</v>
      </c>
      <c r="J164" s="12" t="s">
        <v>186</v>
      </c>
      <c r="K164" s="14" t="s">
        <v>1060</v>
      </c>
      <c r="L164" s="29"/>
      <c r="M164" s="14">
        <f>INDEX('Pivot Analysis'!A:B,MATCH(J164,'Pivot Analysis'!B:B,0),1)</f>
        <v>200.99999999999994</v>
      </c>
      <c r="N164" s="14" t="e">
        <f>INDEX(Cloc!E:F,MATCH(J164,Cloc!F:F,0),1)</f>
        <v>#N/A</v>
      </c>
      <c r="O164" s="14">
        <f t="shared" si="13"/>
        <v>200.99999999999994</v>
      </c>
      <c r="P164" s="14">
        <f>O164/Q164</f>
        <v>200.99999999999994</v>
      </c>
      <c r="Q164">
        <f>MAX(1,SUMPRODUCT($R$1:$AD$1,R164:AD164))</f>
        <v>1</v>
      </c>
    </row>
    <row r="165" spans="1:17" x14ac:dyDescent="0.25">
      <c r="A165" s="25" t="str">
        <f t="shared" si="14"/>
        <v>l10n_ch_pos;base.group_user;33;33;33;33;33;33;33;33</v>
      </c>
      <c r="B165">
        <f t="shared" si="11"/>
        <v>33</v>
      </c>
      <c r="C165">
        <f t="shared" si="15"/>
        <v>33</v>
      </c>
      <c r="D165">
        <f t="shared" si="15"/>
        <v>33</v>
      </c>
      <c r="E165">
        <f t="shared" si="15"/>
        <v>33</v>
      </c>
      <c r="F165">
        <f t="shared" si="15"/>
        <v>33</v>
      </c>
      <c r="G165">
        <f t="shared" si="15"/>
        <v>33</v>
      </c>
      <c r="H165">
        <f t="shared" si="15"/>
        <v>33</v>
      </c>
      <c r="I165">
        <f t="shared" si="15"/>
        <v>33</v>
      </c>
      <c r="J165" s="12" t="s">
        <v>189</v>
      </c>
      <c r="K165" s="14" t="s">
        <v>1060</v>
      </c>
      <c r="L165" s="29"/>
      <c r="M165" s="14">
        <f>INDEX('Pivot Analysis'!A:B,MATCH(J165,'Pivot Analysis'!B:B,0),1)</f>
        <v>33</v>
      </c>
      <c r="N165" s="14" t="e">
        <f>INDEX(Cloc!E:F,MATCH(J165,Cloc!F:F,0),1)</f>
        <v>#N/A</v>
      </c>
      <c r="O165" s="14">
        <f t="shared" si="13"/>
        <v>33</v>
      </c>
      <c r="P165" s="14">
        <f>O165/Q165</f>
        <v>33</v>
      </c>
      <c r="Q165">
        <f>MAX(1,SUMPRODUCT($R$1:$AD$1,R165:AD165))</f>
        <v>1</v>
      </c>
    </row>
    <row r="166" spans="1:17" x14ac:dyDescent="0.25">
      <c r="A166" s="25" t="str">
        <f t="shared" si="14"/>
        <v>l10n_ci;base.group_user;30;30;30;30;30;30;30;30</v>
      </c>
      <c r="B166">
        <f t="shared" si="11"/>
        <v>30</v>
      </c>
      <c r="C166">
        <f t="shared" si="15"/>
        <v>30</v>
      </c>
      <c r="D166">
        <f t="shared" si="15"/>
        <v>30</v>
      </c>
      <c r="E166">
        <f t="shared" si="15"/>
        <v>30</v>
      </c>
      <c r="F166">
        <f t="shared" si="15"/>
        <v>30</v>
      </c>
      <c r="G166">
        <f t="shared" si="15"/>
        <v>30</v>
      </c>
      <c r="H166">
        <f t="shared" si="15"/>
        <v>30</v>
      </c>
      <c r="I166">
        <f t="shared" si="15"/>
        <v>30</v>
      </c>
      <c r="J166" s="12" t="s">
        <v>826</v>
      </c>
      <c r="K166" s="14" t="s">
        <v>1060</v>
      </c>
      <c r="L166" s="29"/>
      <c r="M166" s="14">
        <f>INDEX('Pivot Analysis'!A:B,MATCH(J166,'Pivot Analysis'!B:B,0),1)</f>
        <v>30</v>
      </c>
      <c r="N166" s="14" t="e">
        <f>INDEX(Cloc!E:F,MATCH(J166,Cloc!F:F,0),1)</f>
        <v>#N/A</v>
      </c>
      <c r="O166" s="14">
        <f t="shared" si="13"/>
        <v>30</v>
      </c>
      <c r="P166" s="14">
        <f>O166/Q166</f>
        <v>30</v>
      </c>
      <c r="Q166">
        <f>MAX(1,SUMPRODUCT($R$1:$AD$1,R166:AD166))</f>
        <v>1</v>
      </c>
    </row>
    <row r="167" spans="1:17" x14ac:dyDescent="0.25">
      <c r="A167" s="25" t="str">
        <f t="shared" si="14"/>
        <v>l10n_cl;base.group_user;135;135;135;135;135;135;135;135</v>
      </c>
      <c r="B167">
        <f t="shared" si="11"/>
        <v>135</v>
      </c>
      <c r="C167">
        <f t="shared" si="15"/>
        <v>135</v>
      </c>
      <c r="D167">
        <f t="shared" si="15"/>
        <v>135</v>
      </c>
      <c r="E167">
        <f t="shared" si="15"/>
        <v>135</v>
      </c>
      <c r="F167">
        <f t="shared" si="15"/>
        <v>135</v>
      </c>
      <c r="G167">
        <f t="shared" si="15"/>
        <v>135</v>
      </c>
      <c r="H167">
        <f t="shared" si="15"/>
        <v>135</v>
      </c>
      <c r="I167">
        <f t="shared" si="15"/>
        <v>135</v>
      </c>
      <c r="J167" s="12" t="s">
        <v>190</v>
      </c>
      <c r="K167" s="14" t="s">
        <v>1060</v>
      </c>
      <c r="L167" s="29"/>
      <c r="M167" s="14">
        <f>INDEX('Pivot Analysis'!A:B,MATCH(J167,'Pivot Analysis'!B:B,0),1)</f>
        <v>135</v>
      </c>
      <c r="N167" s="14" t="e">
        <f>INDEX(Cloc!E:F,MATCH(J167,Cloc!F:F,0),1)</f>
        <v>#N/A</v>
      </c>
      <c r="O167" s="14">
        <f t="shared" si="13"/>
        <v>135</v>
      </c>
      <c r="P167" s="14">
        <f>O167/Q167</f>
        <v>135</v>
      </c>
      <c r="Q167">
        <f>MAX(1,SUMPRODUCT($R$1:$AD$1,R167:AD167))</f>
        <v>1</v>
      </c>
    </row>
    <row r="168" spans="1:17" x14ac:dyDescent="0.25">
      <c r="A168" s="25" t="str">
        <f t="shared" si="14"/>
        <v>l10n_cm;base.group_user;30;30;30;30;30;30;30;30</v>
      </c>
      <c r="B168">
        <f t="shared" si="11"/>
        <v>30</v>
      </c>
      <c r="C168">
        <f t="shared" si="15"/>
        <v>30</v>
      </c>
      <c r="D168">
        <f t="shared" si="15"/>
        <v>30</v>
      </c>
      <c r="E168">
        <f t="shared" si="15"/>
        <v>30</v>
      </c>
      <c r="F168">
        <f t="shared" si="15"/>
        <v>30</v>
      </c>
      <c r="G168">
        <f t="shared" si="15"/>
        <v>30</v>
      </c>
      <c r="H168">
        <f t="shared" si="15"/>
        <v>30</v>
      </c>
      <c r="I168">
        <f t="shared" si="15"/>
        <v>30</v>
      </c>
      <c r="J168" s="12" t="s">
        <v>827</v>
      </c>
      <c r="K168" s="14" t="s">
        <v>1060</v>
      </c>
      <c r="L168" s="29"/>
      <c r="M168" s="14">
        <f>INDEX('Pivot Analysis'!A:B,MATCH(J168,'Pivot Analysis'!B:B,0),1)</f>
        <v>30</v>
      </c>
      <c r="N168" s="14" t="e">
        <f>INDEX(Cloc!E:F,MATCH(J168,Cloc!F:F,0),1)</f>
        <v>#N/A</v>
      </c>
      <c r="O168" s="14">
        <f t="shared" si="13"/>
        <v>30</v>
      </c>
      <c r="P168" s="14">
        <f>O168/Q168</f>
        <v>30</v>
      </c>
      <c r="Q168">
        <f>MAX(1,SUMPRODUCT($R$1:$AD$1,R168:AD168))</f>
        <v>1</v>
      </c>
    </row>
    <row r="169" spans="1:17" x14ac:dyDescent="0.25">
      <c r="A169" s="25" t="str">
        <f t="shared" si="14"/>
        <v>l10n_cn;base.group_user;57;57;57;57;57;57;57;57</v>
      </c>
      <c r="B169">
        <f t="shared" si="11"/>
        <v>57</v>
      </c>
      <c r="C169">
        <f t="shared" si="15"/>
        <v>57</v>
      </c>
      <c r="D169">
        <f t="shared" si="15"/>
        <v>57</v>
      </c>
      <c r="E169">
        <f t="shared" si="15"/>
        <v>57</v>
      </c>
      <c r="F169">
        <f t="shared" si="15"/>
        <v>57</v>
      </c>
      <c r="G169">
        <f t="shared" si="15"/>
        <v>57</v>
      </c>
      <c r="H169">
        <f t="shared" si="15"/>
        <v>57</v>
      </c>
      <c r="I169">
        <f t="shared" si="15"/>
        <v>57</v>
      </c>
      <c r="J169" s="12" t="s">
        <v>193</v>
      </c>
      <c r="K169" s="14" t="s">
        <v>1060</v>
      </c>
      <c r="L169" s="29"/>
      <c r="M169" s="14">
        <f>INDEX('Pivot Analysis'!A:B,MATCH(J169,'Pivot Analysis'!B:B,0),1)</f>
        <v>57</v>
      </c>
      <c r="N169" s="14" t="e">
        <f>INDEX(Cloc!E:F,MATCH(J169,Cloc!F:F,0),1)</f>
        <v>#N/A</v>
      </c>
      <c r="O169" s="14">
        <f t="shared" si="13"/>
        <v>57</v>
      </c>
      <c r="P169" s="14">
        <f>O169/Q169</f>
        <v>57</v>
      </c>
      <c r="Q169">
        <f>MAX(1,SUMPRODUCT($R$1:$AD$1,R169:AD169))</f>
        <v>1</v>
      </c>
    </row>
    <row r="170" spans="1:17" x14ac:dyDescent="0.25">
      <c r="A170" s="25" t="str">
        <f t="shared" si="14"/>
        <v>l10n_cn_city;base.group_user;33;33;33;33;33;33;33;33</v>
      </c>
      <c r="B170">
        <f t="shared" si="11"/>
        <v>33</v>
      </c>
      <c r="C170">
        <f t="shared" si="15"/>
        <v>33</v>
      </c>
      <c r="D170">
        <f t="shared" si="15"/>
        <v>33</v>
      </c>
      <c r="E170">
        <f t="shared" si="15"/>
        <v>33</v>
      </c>
      <c r="F170">
        <f t="shared" si="15"/>
        <v>33</v>
      </c>
      <c r="G170">
        <f t="shared" si="15"/>
        <v>33</v>
      </c>
      <c r="H170">
        <f t="shared" si="15"/>
        <v>33</v>
      </c>
      <c r="I170">
        <f t="shared" si="15"/>
        <v>33</v>
      </c>
      <c r="J170" s="12" t="s">
        <v>196</v>
      </c>
      <c r="K170" s="14" t="s">
        <v>1060</v>
      </c>
      <c r="L170" s="29"/>
      <c r="M170" s="14">
        <f>INDEX('Pivot Analysis'!A:B,MATCH(J170,'Pivot Analysis'!B:B,0),1)</f>
        <v>33</v>
      </c>
      <c r="N170" s="14" t="e">
        <f>INDEX(Cloc!E:F,MATCH(J170,Cloc!F:F,0),1)</f>
        <v>#N/A</v>
      </c>
      <c r="O170" s="14">
        <f t="shared" si="13"/>
        <v>33</v>
      </c>
      <c r="P170" s="14">
        <f>O170/Q170</f>
        <v>33</v>
      </c>
      <c r="Q170">
        <f>MAX(1,SUMPRODUCT($R$1:$AD$1,R170:AD170))</f>
        <v>1</v>
      </c>
    </row>
    <row r="171" spans="1:17" x14ac:dyDescent="0.25">
      <c r="A171" s="25" t="str">
        <f t="shared" si="14"/>
        <v>l10n_co;base.group_user;174;174;174;174;174;174;174;174</v>
      </c>
      <c r="B171">
        <f t="shared" si="11"/>
        <v>174</v>
      </c>
      <c r="C171">
        <f t="shared" si="15"/>
        <v>174</v>
      </c>
      <c r="D171">
        <f t="shared" si="15"/>
        <v>174</v>
      </c>
      <c r="E171">
        <f t="shared" si="15"/>
        <v>174</v>
      </c>
      <c r="F171">
        <f t="shared" si="15"/>
        <v>174</v>
      </c>
      <c r="G171">
        <f t="shared" si="15"/>
        <v>174</v>
      </c>
      <c r="H171">
        <f t="shared" si="15"/>
        <v>174</v>
      </c>
      <c r="I171">
        <f t="shared" si="15"/>
        <v>174</v>
      </c>
      <c r="J171" s="12" t="s">
        <v>197</v>
      </c>
      <c r="K171" s="14" t="s">
        <v>1060</v>
      </c>
      <c r="L171" s="29"/>
      <c r="M171" s="14">
        <f>INDEX('Pivot Analysis'!A:B,MATCH(J171,'Pivot Analysis'!B:B,0),1)</f>
        <v>174</v>
      </c>
      <c r="N171" s="14" t="e">
        <f>INDEX(Cloc!E:F,MATCH(J171,Cloc!F:F,0),1)</f>
        <v>#N/A</v>
      </c>
      <c r="O171" s="14">
        <f t="shared" si="13"/>
        <v>174</v>
      </c>
      <c r="P171" s="14">
        <f>O171/Q171</f>
        <v>174</v>
      </c>
      <c r="Q171">
        <f>MAX(1,SUMPRODUCT($R$1:$AD$1,R171:AD171))</f>
        <v>1</v>
      </c>
    </row>
    <row r="172" spans="1:17" x14ac:dyDescent="0.25">
      <c r="A172" s="25" t="str">
        <f t="shared" si="14"/>
        <v>l10n_co_pos;base.group_user;33;33;33;33;33;33;33;33</v>
      </c>
      <c r="B172">
        <f t="shared" si="11"/>
        <v>33</v>
      </c>
      <c r="C172">
        <f t="shared" si="15"/>
        <v>33</v>
      </c>
      <c r="D172">
        <f t="shared" si="15"/>
        <v>33</v>
      </c>
      <c r="E172">
        <f t="shared" si="15"/>
        <v>33</v>
      </c>
      <c r="F172">
        <f t="shared" si="15"/>
        <v>33</v>
      </c>
      <c r="G172">
        <f t="shared" si="15"/>
        <v>33</v>
      </c>
      <c r="H172">
        <f t="shared" si="15"/>
        <v>33</v>
      </c>
      <c r="I172">
        <f t="shared" si="15"/>
        <v>33</v>
      </c>
      <c r="J172" s="12" t="s">
        <v>200</v>
      </c>
      <c r="K172" s="14" t="s">
        <v>1060</v>
      </c>
      <c r="L172" s="29"/>
      <c r="M172" s="14">
        <f>INDEX('Pivot Analysis'!A:B,MATCH(J172,'Pivot Analysis'!B:B,0),1)</f>
        <v>33</v>
      </c>
      <c r="N172" s="14" t="e">
        <f>INDEX(Cloc!E:F,MATCH(J172,Cloc!F:F,0),1)</f>
        <v>#N/A</v>
      </c>
      <c r="O172" s="14">
        <f t="shared" si="13"/>
        <v>33</v>
      </c>
      <c r="P172" s="14">
        <f>O172/Q172</f>
        <v>33</v>
      </c>
      <c r="Q172">
        <f>MAX(1,SUMPRODUCT($R$1:$AD$1,R172:AD172))</f>
        <v>1</v>
      </c>
    </row>
    <row r="173" spans="1:17" x14ac:dyDescent="0.25">
      <c r="A173" s="25" t="str">
        <f t="shared" si="14"/>
        <v>l10n_cr;base.group_user;63;63;63;63;63;63;63;63</v>
      </c>
      <c r="B173">
        <f t="shared" si="11"/>
        <v>63</v>
      </c>
      <c r="C173">
        <f t="shared" si="15"/>
        <v>63</v>
      </c>
      <c r="D173">
        <f t="shared" si="15"/>
        <v>63</v>
      </c>
      <c r="E173">
        <f t="shared" si="15"/>
        <v>63</v>
      </c>
      <c r="F173">
        <f t="shared" si="15"/>
        <v>63</v>
      </c>
      <c r="G173">
        <f t="shared" si="15"/>
        <v>63</v>
      </c>
      <c r="H173">
        <f t="shared" si="15"/>
        <v>63</v>
      </c>
      <c r="I173">
        <f t="shared" si="15"/>
        <v>63</v>
      </c>
      <c r="J173" s="12" t="s">
        <v>201</v>
      </c>
      <c r="K173" s="14" t="s">
        <v>1060</v>
      </c>
      <c r="L173" s="29"/>
      <c r="M173" s="14">
        <f>INDEX('Pivot Analysis'!A:B,MATCH(J173,'Pivot Analysis'!B:B,0),1)</f>
        <v>63</v>
      </c>
      <c r="N173" s="14" t="e">
        <f>INDEX(Cloc!E:F,MATCH(J173,Cloc!F:F,0),1)</f>
        <v>#N/A</v>
      </c>
      <c r="O173" s="14">
        <f t="shared" si="13"/>
        <v>63</v>
      </c>
      <c r="P173" s="14">
        <f>O173/Q173</f>
        <v>63</v>
      </c>
      <c r="Q173">
        <f>MAX(1,SUMPRODUCT($R$1:$AD$1,R173:AD173))</f>
        <v>1</v>
      </c>
    </row>
    <row r="174" spans="1:17" x14ac:dyDescent="0.25">
      <c r="A174" s="25" t="str">
        <f t="shared" si="14"/>
        <v>l10n_cy;base.group_user;30;30;30;30;30;30;30;30</v>
      </c>
      <c r="B174">
        <f t="shared" si="11"/>
        <v>30</v>
      </c>
      <c r="C174">
        <f t="shared" si="15"/>
        <v>30</v>
      </c>
      <c r="D174">
        <f t="shared" si="15"/>
        <v>30</v>
      </c>
      <c r="E174">
        <f t="shared" si="15"/>
        <v>30</v>
      </c>
      <c r="F174">
        <f t="shared" si="15"/>
        <v>30</v>
      </c>
      <c r="G174">
        <f t="shared" si="15"/>
        <v>30</v>
      </c>
      <c r="H174">
        <f t="shared" si="15"/>
        <v>30</v>
      </c>
      <c r="I174">
        <f t="shared" si="15"/>
        <v>30</v>
      </c>
      <c r="J174" s="12" t="s">
        <v>828</v>
      </c>
      <c r="K174" s="14" t="s">
        <v>1060</v>
      </c>
      <c r="L174" s="29"/>
      <c r="M174" s="14">
        <f>INDEX('Pivot Analysis'!A:B,MATCH(J174,'Pivot Analysis'!B:B,0),1)</f>
        <v>30</v>
      </c>
      <c r="N174" s="14" t="e">
        <f>INDEX(Cloc!E:F,MATCH(J174,Cloc!F:F,0),1)</f>
        <v>#N/A</v>
      </c>
      <c r="O174" s="14">
        <f t="shared" si="13"/>
        <v>30</v>
      </c>
      <c r="P174" s="14">
        <f>O174/Q174</f>
        <v>30</v>
      </c>
      <c r="Q174">
        <f>MAX(1,SUMPRODUCT($R$1:$AD$1,R174:AD174))</f>
        <v>1</v>
      </c>
    </row>
    <row r="175" spans="1:17" x14ac:dyDescent="0.25">
      <c r="A175" s="25" t="str">
        <f t="shared" si="14"/>
        <v>l10n_cz;base.group_user;291;291;291;291;291;291;291;291</v>
      </c>
      <c r="B175">
        <f t="shared" si="11"/>
        <v>291</v>
      </c>
      <c r="C175">
        <f t="shared" si="15"/>
        <v>291</v>
      </c>
      <c r="D175">
        <f t="shared" si="15"/>
        <v>291</v>
      </c>
      <c r="E175">
        <f t="shared" si="15"/>
        <v>291</v>
      </c>
      <c r="F175">
        <f t="shared" si="15"/>
        <v>291</v>
      </c>
      <c r="G175">
        <f t="shared" si="15"/>
        <v>291</v>
      </c>
      <c r="H175">
        <f t="shared" si="15"/>
        <v>291</v>
      </c>
      <c r="I175">
        <f t="shared" si="15"/>
        <v>291</v>
      </c>
      <c r="J175" s="12" t="s">
        <v>203</v>
      </c>
      <c r="K175" s="14" t="s">
        <v>1060</v>
      </c>
      <c r="L175" s="29"/>
      <c r="M175" s="14">
        <f>INDEX('Pivot Analysis'!A:B,MATCH(J175,'Pivot Analysis'!B:B,0),1)</f>
        <v>291</v>
      </c>
      <c r="N175" s="14" t="e">
        <f>INDEX(Cloc!E:F,MATCH(J175,Cloc!F:F,0),1)</f>
        <v>#N/A</v>
      </c>
      <c r="O175" s="14">
        <f t="shared" si="13"/>
        <v>291</v>
      </c>
      <c r="P175" s="14">
        <f>O175/Q175</f>
        <v>291</v>
      </c>
      <c r="Q175">
        <f>MAX(1,SUMPRODUCT($R$1:$AD$1,R175:AD175))</f>
        <v>1</v>
      </c>
    </row>
    <row r="176" spans="1:17" x14ac:dyDescent="0.25">
      <c r="A176" s="25" t="str">
        <f t="shared" si="14"/>
        <v>l10n_de;base.group_user;858;858;858;858;858;858;858;858</v>
      </c>
      <c r="B176">
        <f t="shared" si="11"/>
        <v>858</v>
      </c>
      <c r="C176">
        <f t="shared" si="15"/>
        <v>858</v>
      </c>
      <c r="D176">
        <f t="shared" si="15"/>
        <v>858</v>
      </c>
      <c r="E176">
        <f t="shared" si="15"/>
        <v>858</v>
      </c>
      <c r="F176">
        <f t="shared" si="15"/>
        <v>858</v>
      </c>
      <c r="G176">
        <f t="shared" si="15"/>
        <v>858</v>
      </c>
      <c r="H176">
        <f t="shared" si="15"/>
        <v>858</v>
      </c>
      <c r="I176">
        <f t="shared" si="15"/>
        <v>858</v>
      </c>
      <c r="J176" s="12" t="s">
        <v>206</v>
      </c>
      <c r="K176" s="14" t="s">
        <v>1060</v>
      </c>
      <c r="L176" s="29"/>
      <c r="M176" s="14">
        <f>INDEX('Pivot Analysis'!A:B,MATCH(J176,'Pivot Analysis'!B:B,0),1)</f>
        <v>858</v>
      </c>
      <c r="N176" s="14" t="e">
        <f>INDEX(Cloc!E:F,MATCH(J176,Cloc!F:F,0),1)</f>
        <v>#N/A</v>
      </c>
      <c r="O176" s="14">
        <f t="shared" si="13"/>
        <v>858</v>
      </c>
      <c r="P176" s="14">
        <f>O176/Q176</f>
        <v>858</v>
      </c>
      <c r="Q176">
        <f>MAX(1,SUMPRODUCT($R$1:$AD$1,R176:AD176))</f>
        <v>1</v>
      </c>
    </row>
    <row r="177" spans="1:17" x14ac:dyDescent="0.25">
      <c r="A177" s="25" t="str">
        <f t="shared" si="14"/>
        <v>l10n_de_audit_trail;base.group_user;0;0;0;0;0;0;0;0</v>
      </c>
      <c r="B177">
        <f t="shared" si="11"/>
        <v>0</v>
      </c>
      <c r="C177">
        <f t="shared" si="15"/>
        <v>0</v>
      </c>
      <c r="D177">
        <f t="shared" si="15"/>
        <v>0</v>
      </c>
      <c r="E177">
        <f t="shared" si="15"/>
        <v>0</v>
      </c>
      <c r="F177">
        <f t="shared" si="15"/>
        <v>0</v>
      </c>
      <c r="G177">
        <f t="shared" si="15"/>
        <v>0</v>
      </c>
      <c r="H177">
        <f t="shared" si="15"/>
        <v>0</v>
      </c>
      <c r="I177">
        <f t="shared" si="15"/>
        <v>0</v>
      </c>
      <c r="J177" s="12" t="s">
        <v>829</v>
      </c>
      <c r="K177" s="14" t="s">
        <v>1060</v>
      </c>
      <c r="L177" s="29"/>
      <c r="M177" s="14">
        <f>INDEX('Pivot Analysis'!A:B,MATCH(J177,'Pivot Analysis'!B:B,0),1)</f>
        <v>0</v>
      </c>
      <c r="N177" s="14" t="e">
        <f>INDEX(Cloc!E:F,MATCH(J177,Cloc!F:F,0),1)</f>
        <v>#N/A</v>
      </c>
      <c r="O177" s="14">
        <f t="shared" si="13"/>
        <v>0</v>
      </c>
      <c r="P177" s="14">
        <f>O177/Q177</f>
        <v>0</v>
      </c>
      <c r="Q177">
        <f>MAX(1,SUMPRODUCT($R$1:$AD$1,R177:AD177))</f>
        <v>1</v>
      </c>
    </row>
    <row r="178" spans="1:17" x14ac:dyDescent="0.25">
      <c r="A178" s="25" t="str">
        <f t="shared" si="14"/>
        <v>l10n_de_skr03;base.group_user;0;0;0;0;0;0;0;0</v>
      </c>
      <c r="B178">
        <f t="shared" si="11"/>
        <v>0</v>
      </c>
      <c r="C178">
        <f t="shared" si="15"/>
        <v>0</v>
      </c>
      <c r="D178">
        <f t="shared" si="15"/>
        <v>0</v>
      </c>
      <c r="E178">
        <f t="shared" si="15"/>
        <v>0</v>
      </c>
      <c r="F178">
        <f t="shared" si="15"/>
        <v>0</v>
      </c>
      <c r="G178">
        <f t="shared" si="15"/>
        <v>0</v>
      </c>
      <c r="H178">
        <f t="shared" si="15"/>
        <v>0</v>
      </c>
      <c r="I178">
        <f t="shared" si="15"/>
        <v>0</v>
      </c>
      <c r="J178" s="12" t="s">
        <v>209</v>
      </c>
      <c r="K178" s="14" t="s">
        <v>1060</v>
      </c>
      <c r="L178" s="29"/>
      <c r="M178" s="14">
        <f>INDEX('Pivot Analysis'!A:B,MATCH(J178,'Pivot Analysis'!B:B,0),1)</f>
        <v>0</v>
      </c>
      <c r="N178" s="14" t="e">
        <f>INDEX(Cloc!E:F,MATCH(J178,Cloc!F:F,0),1)</f>
        <v>#N/A</v>
      </c>
      <c r="O178" s="14">
        <f t="shared" si="13"/>
        <v>0</v>
      </c>
      <c r="P178" s="14">
        <f>O178/Q178</f>
        <v>0</v>
      </c>
      <c r="Q178">
        <f>MAX(1,SUMPRODUCT($R$1:$AD$1,R178:AD178))</f>
        <v>1</v>
      </c>
    </row>
    <row r="179" spans="1:17" x14ac:dyDescent="0.25">
      <c r="A179" s="25" t="str">
        <f t="shared" si="14"/>
        <v>l10n_de_skr04;base.group_user;0;0;0;0;0;0;0;0</v>
      </c>
      <c r="B179">
        <f t="shared" si="11"/>
        <v>0</v>
      </c>
      <c r="C179">
        <f t="shared" si="15"/>
        <v>0</v>
      </c>
      <c r="D179">
        <f t="shared" si="15"/>
        <v>0</v>
      </c>
      <c r="E179">
        <f t="shared" si="15"/>
        <v>0</v>
      </c>
      <c r="F179">
        <f t="shared" si="15"/>
        <v>0</v>
      </c>
      <c r="G179">
        <f t="shared" si="15"/>
        <v>0</v>
      </c>
      <c r="H179">
        <f t="shared" si="15"/>
        <v>0</v>
      </c>
      <c r="I179">
        <f t="shared" si="15"/>
        <v>0</v>
      </c>
      <c r="J179" s="12" t="s">
        <v>211</v>
      </c>
      <c r="K179" s="14" t="s">
        <v>1060</v>
      </c>
      <c r="L179" s="29"/>
      <c r="M179" s="14">
        <f>INDEX('Pivot Analysis'!A:B,MATCH(J179,'Pivot Analysis'!B:B,0),1)</f>
        <v>0</v>
      </c>
      <c r="N179" s="14" t="e">
        <f>INDEX(Cloc!E:F,MATCH(J179,Cloc!F:F,0),1)</f>
        <v>#N/A</v>
      </c>
      <c r="O179" s="14">
        <f t="shared" si="13"/>
        <v>0</v>
      </c>
      <c r="P179" s="14">
        <f>O179/Q179</f>
        <v>0</v>
      </c>
      <c r="Q179">
        <f>MAX(1,SUMPRODUCT($R$1:$AD$1,R179:AD179))</f>
        <v>1</v>
      </c>
    </row>
    <row r="180" spans="1:17" x14ac:dyDescent="0.25">
      <c r="A180" s="25" t="str">
        <f t="shared" si="14"/>
        <v>l10n_din5008;base.group_user;33;33;33;33;33;33;33;33</v>
      </c>
      <c r="B180">
        <f t="shared" si="11"/>
        <v>33</v>
      </c>
      <c r="C180">
        <f t="shared" si="15"/>
        <v>33</v>
      </c>
      <c r="D180">
        <f t="shared" si="15"/>
        <v>33</v>
      </c>
      <c r="E180">
        <f t="shared" si="15"/>
        <v>33</v>
      </c>
      <c r="F180">
        <f t="shared" si="15"/>
        <v>33</v>
      </c>
      <c r="G180">
        <f t="shared" si="15"/>
        <v>33</v>
      </c>
      <c r="H180">
        <f t="shared" si="15"/>
        <v>33</v>
      </c>
      <c r="I180">
        <f t="shared" si="15"/>
        <v>33</v>
      </c>
      <c r="J180" s="12" t="s">
        <v>212</v>
      </c>
      <c r="K180" s="14" t="s">
        <v>1060</v>
      </c>
      <c r="L180" s="29"/>
      <c r="M180" s="14">
        <f>INDEX('Pivot Analysis'!A:B,MATCH(J180,'Pivot Analysis'!B:B,0),1)</f>
        <v>33</v>
      </c>
      <c r="N180" s="14" t="e">
        <f>INDEX(Cloc!E:F,MATCH(J180,Cloc!F:F,0),1)</f>
        <v>#N/A</v>
      </c>
      <c r="O180" s="14">
        <f t="shared" si="13"/>
        <v>33</v>
      </c>
      <c r="P180" s="14">
        <f>O180/Q180</f>
        <v>33</v>
      </c>
      <c r="Q180">
        <f>MAX(1,SUMPRODUCT($R$1:$AD$1,R180:AD180))</f>
        <v>1</v>
      </c>
    </row>
    <row r="181" spans="1:17" x14ac:dyDescent="0.25">
      <c r="A181" s="25" t="str">
        <f t="shared" si="14"/>
        <v>l10n_din5008_purchase;base.group_user;3,3;3,3;3,3;3,3;3,3;3,3;3,3;3,3</v>
      </c>
      <c r="B181">
        <f t="shared" ref="B181:I244" si="16">$P181*MIN($Q181,B$3)</f>
        <v>3.3</v>
      </c>
      <c r="C181">
        <f t="shared" si="15"/>
        <v>3.3</v>
      </c>
      <c r="D181">
        <f t="shared" si="15"/>
        <v>3.3</v>
      </c>
      <c r="E181">
        <f t="shared" si="15"/>
        <v>3.3</v>
      </c>
      <c r="F181">
        <f t="shared" si="15"/>
        <v>3.3</v>
      </c>
      <c r="G181">
        <f t="shared" si="15"/>
        <v>3.3</v>
      </c>
      <c r="H181">
        <f t="shared" si="15"/>
        <v>3.3</v>
      </c>
      <c r="I181">
        <f t="shared" si="15"/>
        <v>3.3</v>
      </c>
      <c r="J181" s="12" t="s">
        <v>213</v>
      </c>
      <c r="K181" s="14" t="s">
        <v>1060</v>
      </c>
      <c r="L181" s="29"/>
      <c r="M181" s="14">
        <f>INDEX('Pivot Analysis'!A:B,MATCH(J181,'Pivot Analysis'!B:B,0),1)</f>
        <v>3.3</v>
      </c>
      <c r="N181" s="14" t="e">
        <f>INDEX(Cloc!E:F,MATCH(J181,Cloc!F:F,0),1)</f>
        <v>#N/A</v>
      </c>
      <c r="O181" s="14">
        <f t="shared" si="13"/>
        <v>3.3</v>
      </c>
      <c r="P181" s="14">
        <f>O181/Q181</f>
        <v>3.3</v>
      </c>
      <c r="Q181">
        <f>MAX(1,SUMPRODUCT($R$1:$AD$1,R181:AD181))</f>
        <v>1</v>
      </c>
    </row>
    <row r="182" spans="1:17" x14ac:dyDescent="0.25">
      <c r="A182" s="25" t="str">
        <f t="shared" si="14"/>
        <v>l10n_din5008_repair;base.group_user;34,5;34,5;34,5;34,5;34,5;34,5;34,5;34,5</v>
      </c>
      <c r="B182">
        <f t="shared" si="16"/>
        <v>34.5</v>
      </c>
      <c r="C182">
        <f t="shared" si="15"/>
        <v>34.5</v>
      </c>
      <c r="D182">
        <f t="shared" si="15"/>
        <v>34.5</v>
      </c>
      <c r="E182">
        <f t="shared" si="15"/>
        <v>34.5</v>
      </c>
      <c r="F182">
        <f t="shared" si="15"/>
        <v>34.5</v>
      </c>
      <c r="G182">
        <f t="shared" si="15"/>
        <v>34.5</v>
      </c>
      <c r="H182">
        <f t="shared" si="15"/>
        <v>34.5</v>
      </c>
      <c r="I182">
        <f t="shared" si="15"/>
        <v>34.5</v>
      </c>
      <c r="J182" s="12" t="s">
        <v>214</v>
      </c>
      <c r="K182" s="14" t="s">
        <v>1060</v>
      </c>
      <c r="L182" s="29"/>
      <c r="M182" s="14">
        <f>INDEX('Pivot Analysis'!A:B,MATCH(J182,'Pivot Analysis'!B:B,0),1)</f>
        <v>34.5</v>
      </c>
      <c r="N182" s="14" t="e">
        <f>INDEX(Cloc!E:F,MATCH(J182,Cloc!F:F,0),1)</f>
        <v>#N/A</v>
      </c>
      <c r="O182" s="14">
        <f t="shared" si="13"/>
        <v>34.5</v>
      </c>
      <c r="P182" s="14">
        <f>O182/Q182</f>
        <v>34.5</v>
      </c>
      <c r="Q182">
        <f>MAX(1,SUMPRODUCT($R$1:$AD$1,R182:AD182))</f>
        <v>1</v>
      </c>
    </row>
    <row r="183" spans="1:17" x14ac:dyDescent="0.25">
      <c r="A183" s="25" t="str">
        <f t="shared" si="14"/>
        <v>l10n_din5008_sale;base.group_user;33;33;33;33;33;33;33;33</v>
      </c>
      <c r="B183">
        <f t="shared" si="16"/>
        <v>33</v>
      </c>
      <c r="C183">
        <f t="shared" si="15"/>
        <v>33</v>
      </c>
      <c r="D183">
        <f t="shared" si="15"/>
        <v>33</v>
      </c>
      <c r="E183">
        <f t="shared" si="15"/>
        <v>33</v>
      </c>
      <c r="F183">
        <f t="shared" si="15"/>
        <v>33</v>
      </c>
      <c r="G183">
        <f t="shared" si="15"/>
        <v>33</v>
      </c>
      <c r="H183">
        <f t="shared" si="15"/>
        <v>33</v>
      </c>
      <c r="I183">
        <f t="shared" si="15"/>
        <v>33</v>
      </c>
      <c r="J183" s="12" t="s">
        <v>215</v>
      </c>
      <c r="K183" s="14" t="s">
        <v>1060</v>
      </c>
      <c r="L183" s="29"/>
      <c r="M183" s="14">
        <f>INDEX('Pivot Analysis'!A:B,MATCH(J183,'Pivot Analysis'!B:B,0),1)</f>
        <v>33</v>
      </c>
      <c r="N183" s="14" t="e">
        <f>INDEX(Cloc!E:F,MATCH(J183,Cloc!F:F,0),1)</f>
        <v>#N/A</v>
      </c>
      <c r="O183" s="14">
        <f t="shared" si="13"/>
        <v>33</v>
      </c>
      <c r="P183" s="14">
        <f>O183/Q183</f>
        <v>33</v>
      </c>
      <c r="Q183">
        <f>MAX(1,SUMPRODUCT($R$1:$AD$1,R183:AD183))</f>
        <v>1</v>
      </c>
    </row>
    <row r="184" spans="1:17" x14ac:dyDescent="0.25">
      <c r="A184" s="25" t="str">
        <f t="shared" si="14"/>
        <v>l10n_din5008_stock;base.group_user;33;33;33;33;33;33;33;33</v>
      </c>
      <c r="B184">
        <f t="shared" si="16"/>
        <v>33</v>
      </c>
      <c r="C184">
        <f t="shared" si="15"/>
        <v>33</v>
      </c>
      <c r="D184">
        <f t="shared" si="15"/>
        <v>33</v>
      </c>
      <c r="E184">
        <f t="shared" si="15"/>
        <v>33</v>
      </c>
      <c r="F184">
        <f t="shared" si="15"/>
        <v>33</v>
      </c>
      <c r="G184">
        <f t="shared" si="15"/>
        <v>33</v>
      </c>
      <c r="H184">
        <f t="shared" si="15"/>
        <v>33</v>
      </c>
      <c r="I184">
        <f t="shared" si="15"/>
        <v>33</v>
      </c>
      <c r="J184" s="12" t="s">
        <v>216</v>
      </c>
      <c r="K184" s="14" t="s">
        <v>1060</v>
      </c>
      <c r="L184" s="29"/>
      <c r="M184" s="14">
        <f>INDEX('Pivot Analysis'!A:B,MATCH(J184,'Pivot Analysis'!B:B,0),1)</f>
        <v>33</v>
      </c>
      <c r="N184" s="14" t="e">
        <f>INDEX(Cloc!E:F,MATCH(J184,Cloc!F:F,0),1)</f>
        <v>#N/A</v>
      </c>
      <c r="O184" s="14">
        <f t="shared" si="13"/>
        <v>33</v>
      </c>
      <c r="P184" s="14">
        <f>O184/Q184</f>
        <v>33</v>
      </c>
      <c r="Q184">
        <f>MAX(1,SUMPRODUCT($R$1:$AD$1,R184:AD184))</f>
        <v>1</v>
      </c>
    </row>
    <row r="185" spans="1:17" x14ac:dyDescent="0.25">
      <c r="A185" s="25" t="str">
        <f t="shared" si="14"/>
        <v>l10n_dk;base.group_user;204,9;204,9;204,9;204,9;204,9;204,9;204,9;204,9</v>
      </c>
      <c r="B185">
        <f t="shared" si="16"/>
        <v>204.9</v>
      </c>
      <c r="C185">
        <f t="shared" si="15"/>
        <v>204.9</v>
      </c>
      <c r="D185">
        <f t="shared" si="15"/>
        <v>204.9</v>
      </c>
      <c r="E185">
        <f t="shared" si="15"/>
        <v>204.9</v>
      </c>
      <c r="F185">
        <f t="shared" si="15"/>
        <v>204.9</v>
      </c>
      <c r="G185">
        <f t="shared" si="15"/>
        <v>204.9</v>
      </c>
      <c r="H185">
        <f t="shared" si="15"/>
        <v>204.9</v>
      </c>
      <c r="I185">
        <f t="shared" si="15"/>
        <v>204.9</v>
      </c>
      <c r="J185" s="12" t="s">
        <v>217</v>
      </c>
      <c r="K185" s="14" t="s">
        <v>1060</v>
      </c>
      <c r="L185" s="29"/>
      <c r="M185" s="14">
        <f>INDEX('Pivot Analysis'!A:B,MATCH(J185,'Pivot Analysis'!B:B,0),1)</f>
        <v>204.9</v>
      </c>
      <c r="N185" s="14" t="e">
        <f>INDEX(Cloc!E:F,MATCH(J185,Cloc!F:F,0),1)</f>
        <v>#N/A</v>
      </c>
      <c r="O185" s="14">
        <f t="shared" si="13"/>
        <v>204.9</v>
      </c>
      <c r="P185" s="14">
        <f>O185/Q185</f>
        <v>204.9</v>
      </c>
      <c r="Q185">
        <f>MAX(1,SUMPRODUCT($R$1:$AD$1,R185:AD185))</f>
        <v>1</v>
      </c>
    </row>
    <row r="186" spans="1:17" x14ac:dyDescent="0.25">
      <c r="A186" s="25" t="str">
        <f t="shared" si="14"/>
        <v>l10n_dk_audit_trail;base.group_user;0;0;0;0;0;0;0;0</v>
      </c>
      <c r="B186">
        <f t="shared" si="16"/>
        <v>0</v>
      </c>
      <c r="C186">
        <f t="shared" si="15"/>
        <v>0</v>
      </c>
      <c r="D186">
        <f t="shared" si="15"/>
        <v>0</v>
      </c>
      <c r="E186">
        <f t="shared" si="15"/>
        <v>0</v>
      </c>
      <c r="F186">
        <f t="shared" si="15"/>
        <v>0</v>
      </c>
      <c r="G186">
        <f t="shared" si="15"/>
        <v>0</v>
      </c>
      <c r="H186">
        <f t="shared" si="15"/>
        <v>0</v>
      </c>
      <c r="I186">
        <f t="shared" si="15"/>
        <v>0</v>
      </c>
      <c r="J186" s="12" t="s">
        <v>832</v>
      </c>
      <c r="K186" s="14" t="s">
        <v>1060</v>
      </c>
      <c r="L186" s="29"/>
      <c r="M186" s="14">
        <f>INDEX('Pivot Analysis'!A:B,MATCH(J186,'Pivot Analysis'!B:B,0),1)</f>
        <v>0</v>
      </c>
      <c r="N186" s="14" t="e">
        <f>INDEX(Cloc!E:F,MATCH(J186,Cloc!F:F,0),1)</f>
        <v>#N/A</v>
      </c>
      <c r="O186" s="14">
        <f t="shared" si="13"/>
        <v>0</v>
      </c>
      <c r="P186" s="14">
        <f>O186/Q186</f>
        <v>0</v>
      </c>
      <c r="Q186">
        <f>MAX(1,SUMPRODUCT($R$1:$AD$1,R186:AD186))</f>
        <v>1</v>
      </c>
    </row>
    <row r="187" spans="1:17" x14ac:dyDescent="0.25">
      <c r="A187" s="25" t="str">
        <f t="shared" si="14"/>
        <v>l10n_dk_bookkeeping;base.group_user;0;0;0;0;0;0;0;0</v>
      </c>
      <c r="B187">
        <f t="shared" si="16"/>
        <v>0</v>
      </c>
      <c r="C187">
        <f t="shared" si="15"/>
        <v>0</v>
      </c>
      <c r="D187">
        <f t="shared" si="15"/>
        <v>0</v>
      </c>
      <c r="E187">
        <f t="shared" si="15"/>
        <v>0</v>
      </c>
      <c r="F187">
        <f t="shared" si="15"/>
        <v>0</v>
      </c>
      <c r="G187">
        <f t="shared" si="15"/>
        <v>0</v>
      </c>
      <c r="H187">
        <f t="shared" si="15"/>
        <v>0</v>
      </c>
      <c r="I187">
        <f t="shared" si="15"/>
        <v>0</v>
      </c>
      <c r="J187" s="12" t="s">
        <v>834</v>
      </c>
      <c r="K187" s="14" t="s">
        <v>1060</v>
      </c>
      <c r="L187" s="29"/>
      <c r="M187" s="14">
        <f>INDEX('Pivot Analysis'!A:B,MATCH(J187,'Pivot Analysis'!B:B,0),1)</f>
        <v>0</v>
      </c>
      <c r="N187" s="14" t="e">
        <f>INDEX(Cloc!E:F,MATCH(J187,Cloc!F:F,0),1)</f>
        <v>#N/A</v>
      </c>
      <c r="O187" s="14">
        <f t="shared" si="13"/>
        <v>0</v>
      </c>
      <c r="P187" s="14">
        <f>O187/Q187</f>
        <v>0</v>
      </c>
      <c r="Q187">
        <f>MAX(1,SUMPRODUCT($R$1:$AD$1,R187:AD187))</f>
        <v>1</v>
      </c>
    </row>
    <row r="188" spans="1:17" x14ac:dyDescent="0.25">
      <c r="A188" s="25" t="str">
        <f t="shared" si="14"/>
        <v>l10n_dk_oioubl;base.group_user;60;60;60;60;60;60;60;60</v>
      </c>
      <c r="B188">
        <f t="shared" si="16"/>
        <v>60</v>
      </c>
      <c r="C188">
        <f t="shared" si="15"/>
        <v>60</v>
      </c>
      <c r="D188">
        <f t="shared" si="15"/>
        <v>60</v>
      </c>
      <c r="E188">
        <f t="shared" si="15"/>
        <v>60</v>
      </c>
      <c r="F188">
        <f t="shared" si="15"/>
        <v>60</v>
      </c>
      <c r="G188">
        <f t="shared" si="15"/>
        <v>60</v>
      </c>
      <c r="H188">
        <f t="shared" si="15"/>
        <v>60</v>
      </c>
      <c r="I188">
        <f t="shared" si="15"/>
        <v>60</v>
      </c>
      <c r="J188" s="12" t="s">
        <v>835</v>
      </c>
      <c r="K188" s="14" t="s">
        <v>1060</v>
      </c>
      <c r="L188" s="29"/>
      <c r="M188" s="14">
        <f>INDEX('Pivot Analysis'!A:B,MATCH(J188,'Pivot Analysis'!B:B,0),1)</f>
        <v>60</v>
      </c>
      <c r="N188" s="14" t="e">
        <f>INDEX(Cloc!E:F,MATCH(J188,Cloc!F:F,0),1)</f>
        <v>#N/A</v>
      </c>
      <c r="O188" s="14">
        <f t="shared" si="13"/>
        <v>60</v>
      </c>
      <c r="P188" s="14">
        <f>O188/Q188</f>
        <v>60</v>
      </c>
      <c r="Q188">
        <f>MAX(1,SUMPRODUCT($R$1:$AD$1,R188:AD188))</f>
        <v>1</v>
      </c>
    </row>
    <row r="189" spans="1:17" x14ac:dyDescent="0.25">
      <c r="A189" s="25" t="str">
        <f t="shared" si="14"/>
        <v>l10n_do;base.group_user;228;228;228;228;228;228;228;228</v>
      </c>
      <c r="B189">
        <f t="shared" si="16"/>
        <v>228</v>
      </c>
      <c r="C189">
        <f t="shared" si="15"/>
        <v>228</v>
      </c>
      <c r="D189">
        <f t="shared" si="15"/>
        <v>228</v>
      </c>
      <c r="E189">
        <f t="shared" si="15"/>
        <v>228</v>
      </c>
      <c r="F189">
        <f t="shared" si="15"/>
        <v>228</v>
      </c>
      <c r="G189">
        <f t="shared" si="15"/>
        <v>228</v>
      </c>
      <c r="H189">
        <f t="shared" si="15"/>
        <v>228</v>
      </c>
      <c r="I189">
        <f t="shared" si="15"/>
        <v>228</v>
      </c>
      <c r="J189" s="12" t="s">
        <v>220</v>
      </c>
      <c r="K189" s="14" t="s">
        <v>1060</v>
      </c>
      <c r="L189" s="29"/>
      <c r="M189" s="14">
        <f>INDEX('Pivot Analysis'!A:B,MATCH(J189,'Pivot Analysis'!B:B,0),1)</f>
        <v>228</v>
      </c>
      <c r="N189" s="14" t="e">
        <f>INDEX(Cloc!E:F,MATCH(J189,Cloc!F:F,0),1)</f>
        <v>#N/A</v>
      </c>
      <c r="O189" s="14">
        <f t="shared" si="13"/>
        <v>228</v>
      </c>
      <c r="P189" s="14">
        <f>O189/Q189</f>
        <v>228</v>
      </c>
      <c r="Q189">
        <f>MAX(1,SUMPRODUCT($R$1:$AD$1,R189:AD189))</f>
        <v>1</v>
      </c>
    </row>
    <row r="190" spans="1:17" x14ac:dyDescent="0.25">
      <c r="A190" s="25" t="str">
        <f t="shared" si="14"/>
        <v>l10n_dz;base.group_user;396;396;396;396;396;396;396;396</v>
      </c>
      <c r="B190">
        <f t="shared" si="16"/>
        <v>396</v>
      </c>
      <c r="C190">
        <f t="shared" si="15"/>
        <v>396</v>
      </c>
      <c r="D190">
        <f t="shared" si="15"/>
        <v>396</v>
      </c>
      <c r="E190">
        <f t="shared" si="15"/>
        <v>396</v>
      </c>
      <c r="F190">
        <f t="shared" si="15"/>
        <v>396</v>
      </c>
      <c r="G190">
        <f t="shared" si="15"/>
        <v>396</v>
      </c>
      <c r="H190">
        <f t="shared" si="15"/>
        <v>396</v>
      </c>
      <c r="I190">
        <f t="shared" si="15"/>
        <v>396</v>
      </c>
      <c r="J190" s="12" t="s">
        <v>223</v>
      </c>
      <c r="K190" s="14" t="s">
        <v>1060</v>
      </c>
      <c r="L190" s="29"/>
      <c r="M190" s="14">
        <f>INDEX('Pivot Analysis'!A:B,MATCH(J190,'Pivot Analysis'!B:B,0),1)</f>
        <v>396</v>
      </c>
      <c r="N190" s="14" t="e">
        <f>INDEX(Cloc!E:F,MATCH(J190,Cloc!F:F,0),1)</f>
        <v>#N/A</v>
      </c>
      <c r="O190" s="14">
        <f t="shared" si="13"/>
        <v>396</v>
      </c>
      <c r="P190" s="14">
        <f>O190/Q190</f>
        <v>396</v>
      </c>
      <c r="Q190">
        <f>MAX(1,SUMPRODUCT($R$1:$AD$1,R190:AD190))</f>
        <v>1</v>
      </c>
    </row>
    <row r="191" spans="1:17" x14ac:dyDescent="0.25">
      <c r="A191" s="25" t="str">
        <f t="shared" si="14"/>
        <v>l10n_ec;base.group_user;369;369;369;369;369;369;369;369</v>
      </c>
      <c r="B191">
        <f t="shared" si="16"/>
        <v>368.99999999999994</v>
      </c>
      <c r="C191">
        <f t="shared" si="15"/>
        <v>368.99999999999994</v>
      </c>
      <c r="D191">
        <f t="shared" si="15"/>
        <v>368.99999999999994</v>
      </c>
      <c r="E191">
        <f t="shared" si="15"/>
        <v>368.99999999999994</v>
      </c>
      <c r="F191">
        <f t="shared" si="15"/>
        <v>368.99999999999994</v>
      </c>
      <c r="G191">
        <f t="shared" si="15"/>
        <v>368.99999999999994</v>
      </c>
      <c r="H191">
        <f t="shared" si="15"/>
        <v>368.99999999999994</v>
      </c>
      <c r="I191">
        <f t="shared" si="15"/>
        <v>368.99999999999994</v>
      </c>
      <c r="J191" s="12" t="s">
        <v>226</v>
      </c>
      <c r="K191" s="14" t="s">
        <v>1060</v>
      </c>
      <c r="L191" s="29"/>
      <c r="M191" s="14">
        <f>INDEX('Pivot Analysis'!A:B,MATCH(J191,'Pivot Analysis'!B:B,0),1)</f>
        <v>368.99999999999994</v>
      </c>
      <c r="N191" s="14" t="e">
        <f>INDEX(Cloc!E:F,MATCH(J191,Cloc!F:F,0),1)</f>
        <v>#N/A</v>
      </c>
      <c r="O191" s="14">
        <f t="shared" si="13"/>
        <v>368.99999999999994</v>
      </c>
      <c r="P191" s="14">
        <f>O191/Q191</f>
        <v>368.99999999999994</v>
      </c>
      <c r="Q191">
        <f>MAX(1,SUMPRODUCT($R$1:$AD$1,R191:AD191))</f>
        <v>1</v>
      </c>
    </row>
    <row r="192" spans="1:17" x14ac:dyDescent="0.25">
      <c r="A192" s="25" t="str">
        <f t="shared" si="14"/>
        <v>l10n_ec_stock;base.group_user;33;33;33;33;33;33;33;33</v>
      </c>
      <c r="B192">
        <f t="shared" si="16"/>
        <v>33</v>
      </c>
      <c r="C192">
        <f t="shared" si="15"/>
        <v>33</v>
      </c>
      <c r="D192">
        <f t="shared" si="15"/>
        <v>33</v>
      </c>
      <c r="E192">
        <f t="shared" si="15"/>
        <v>33</v>
      </c>
      <c r="F192">
        <f t="shared" si="15"/>
        <v>33</v>
      </c>
      <c r="G192">
        <f t="shared" si="15"/>
        <v>33</v>
      </c>
      <c r="H192">
        <f t="shared" si="15"/>
        <v>33</v>
      </c>
      <c r="I192">
        <f t="shared" si="15"/>
        <v>33</v>
      </c>
      <c r="J192" s="12" t="s">
        <v>229</v>
      </c>
      <c r="K192" s="14" t="s">
        <v>1060</v>
      </c>
      <c r="L192" s="29"/>
      <c r="M192" s="14">
        <f>INDEX('Pivot Analysis'!A:B,MATCH(J192,'Pivot Analysis'!B:B,0),1)</f>
        <v>33</v>
      </c>
      <c r="N192" s="14" t="e">
        <f>INDEX(Cloc!E:F,MATCH(J192,Cloc!F:F,0),1)</f>
        <v>#N/A</v>
      </c>
      <c r="O192" s="14">
        <f t="shared" si="13"/>
        <v>33</v>
      </c>
      <c r="P192" s="14">
        <f>O192/Q192</f>
        <v>33</v>
      </c>
      <c r="Q192">
        <f>MAX(1,SUMPRODUCT($R$1:$AD$1,R192:AD192))</f>
        <v>1</v>
      </c>
    </row>
    <row r="193" spans="1:17" x14ac:dyDescent="0.25">
      <c r="A193" s="25" t="str">
        <f t="shared" si="14"/>
        <v>l10n_ec_website_sale;base.group_user;45;45;45;45;45;45;45;45</v>
      </c>
      <c r="B193">
        <f t="shared" si="16"/>
        <v>45</v>
      </c>
      <c r="C193">
        <f t="shared" si="15"/>
        <v>45</v>
      </c>
      <c r="D193">
        <f t="shared" si="15"/>
        <v>45</v>
      </c>
      <c r="E193">
        <f t="shared" si="15"/>
        <v>45</v>
      </c>
      <c r="F193">
        <f t="shared" si="15"/>
        <v>45</v>
      </c>
      <c r="G193">
        <f t="shared" si="15"/>
        <v>45</v>
      </c>
      <c r="H193">
        <f t="shared" si="15"/>
        <v>45</v>
      </c>
      <c r="I193">
        <f t="shared" si="15"/>
        <v>45</v>
      </c>
      <c r="J193" s="12" t="s">
        <v>836</v>
      </c>
      <c r="K193" s="14" t="s">
        <v>1060</v>
      </c>
      <c r="L193" s="29"/>
      <c r="M193" s="14">
        <f>INDEX('Pivot Analysis'!A:B,MATCH(J193,'Pivot Analysis'!B:B,0),1)</f>
        <v>45</v>
      </c>
      <c r="N193" s="14" t="e">
        <f>INDEX(Cloc!E:F,MATCH(J193,Cloc!F:F,0),1)</f>
        <v>#N/A</v>
      </c>
      <c r="O193" s="14">
        <f t="shared" si="13"/>
        <v>45</v>
      </c>
      <c r="P193" s="14">
        <f>O193/Q193</f>
        <v>45</v>
      </c>
      <c r="Q193">
        <f>MAX(1,SUMPRODUCT($R$1:$AD$1,R193:AD193))</f>
        <v>1</v>
      </c>
    </row>
    <row r="194" spans="1:17" x14ac:dyDescent="0.25">
      <c r="A194" s="25" t="str">
        <f t="shared" si="14"/>
        <v>l10n_ee;base.group_user;171;171;171;171;171;171;171;171</v>
      </c>
      <c r="B194">
        <f t="shared" si="16"/>
        <v>171</v>
      </c>
      <c r="C194">
        <f t="shared" si="15"/>
        <v>171</v>
      </c>
      <c r="D194">
        <f t="shared" si="15"/>
        <v>171</v>
      </c>
      <c r="E194">
        <f t="shared" si="15"/>
        <v>171</v>
      </c>
      <c r="F194">
        <f t="shared" si="15"/>
        <v>171</v>
      </c>
      <c r="G194">
        <f t="shared" si="15"/>
        <v>171</v>
      </c>
      <c r="H194">
        <f t="shared" si="15"/>
        <v>171</v>
      </c>
      <c r="I194">
        <f t="shared" si="15"/>
        <v>171</v>
      </c>
      <c r="J194" s="12" t="s">
        <v>230</v>
      </c>
      <c r="K194" s="14" t="s">
        <v>1060</v>
      </c>
      <c r="L194" s="29"/>
      <c r="M194" s="14">
        <f>INDEX('Pivot Analysis'!A:B,MATCH(J194,'Pivot Analysis'!B:B,0),1)</f>
        <v>171</v>
      </c>
      <c r="N194" s="14" t="e">
        <f>INDEX(Cloc!E:F,MATCH(J194,Cloc!F:F,0),1)</f>
        <v>#N/A</v>
      </c>
      <c r="O194" s="14">
        <f t="shared" si="13"/>
        <v>171</v>
      </c>
      <c r="P194" s="14">
        <f>O194/Q194</f>
        <v>171</v>
      </c>
      <c r="Q194">
        <f>MAX(1,SUMPRODUCT($R$1:$AD$1,R194:AD194))</f>
        <v>1</v>
      </c>
    </row>
    <row r="195" spans="1:17" x14ac:dyDescent="0.25">
      <c r="A195" s="25" t="str">
        <f t="shared" si="14"/>
        <v>l10n_eg;base.group_user;141;141;141;141;141;141;141;141</v>
      </c>
      <c r="B195">
        <f t="shared" si="16"/>
        <v>141.00000000000003</v>
      </c>
      <c r="C195">
        <f t="shared" si="15"/>
        <v>141.00000000000003</v>
      </c>
      <c r="D195">
        <f t="shared" si="15"/>
        <v>141.00000000000003</v>
      </c>
      <c r="E195">
        <f t="shared" si="15"/>
        <v>141.00000000000003</v>
      </c>
      <c r="F195">
        <f t="shared" si="15"/>
        <v>141.00000000000003</v>
      </c>
      <c r="G195">
        <f t="shared" si="15"/>
        <v>141.00000000000003</v>
      </c>
      <c r="H195">
        <f t="shared" si="15"/>
        <v>141.00000000000003</v>
      </c>
      <c r="I195">
        <f t="shared" si="15"/>
        <v>141.00000000000003</v>
      </c>
      <c r="J195" s="12" t="s">
        <v>232</v>
      </c>
      <c r="K195" s="14" t="s">
        <v>1060</v>
      </c>
      <c r="L195" s="29"/>
      <c r="M195" s="14">
        <f>INDEX('Pivot Analysis'!A:B,MATCH(J195,'Pivot Analysis'!B:B,0),1)</f>
        <v>141.00000000000003</v>
      </c>
      <c r="N195" s="14" t="e">
        <f>INDEX(Cloc!E:F,MATCH(J195,Cloc!F:F,0),1)</f>
        <v>#N/A</v>
      </c>
      <c r="O195" s="14">
        <f t="shared" si="13"/>
        <v>141.00000000000003</v>
      </c>
      <c r="P195" s="14">
        <f>O195/Q195</f>
        <v>141.00000000000003</v>
      </c>
      <c r="Q195">
        <f>MAX(1,SUMPRODUCT($R$1:$AD$1,R195:AD195))</f>
        <v>1</v>
      </c>
    </row>
    <row r="196" spans="1:17" x14ac:dyDescent="0.25">
      <c r="A196" s="25" t="str">
        <f t="shared" si="14"/>
        <v>l10n_eg_edi_eta;base.group_user;0;0;0;0;0;0;0;0</v>
      </c>
      <c r="B196">
        <f t="shared" si="16"/>
        <v>0</v>
      </c>
      <c r="C196">
        <f t="shared" si="15"/>
        <v>0</v>
      </c>
      <c r="D196">
        <f t="shared" si="15"/>
        <v>0</v>
      </c>
      <c r="E196">
        <f t="shared" si="15"/>
        <v>0</v>
      </c>
      <c r="F196">
        <f t="shared" si="15"/>
        <v>0</v>
      </c>
      <c r="G196">
        <f t="shared" si="15"/>
        <v>0</v>
      </c>
      <c r="H196">
        <f t="shared" si="15"/>
        <v>0</v>
      </c>
      <c r="I196">
        <f t="shared" si="15"/>
        <v>0</v>
      </c>
      <c r="J196" s="12" t="s">
        <v>235</v>
      </c>
      <c r="K196" s="14" t="s">
        <v>1060</v>
      </c>
      <c r="L196" s="29"/>
      <c r="M196" s="14">
        <f>INDEX('Pivot Analysis'!A:B,MATCH(J196,'Pivot Analysis'!B:B,0),1)</f>
        <v>0</v>
      </c>
      <c r="N196" s="14" t="e">
        <f>INDEX(Cloc!E:F,MATCH(J196,Cloc!F:F,0),1)</f>
        <v>#N/A</v>
      </c>
      <c r="O196" s="14">
        <f t="shared" si="13"/>
        <v>0</v>
      </c>
      <c r="P196" s="14">
        <f>O196/Q196</f>
        <v>0</v>
      </c>
      <c r="Q196">
        <f>MAX(1,SUMPRODUCT($R$1:$AD$1,R196:AD196))</f>
        <v>1</v>
      </c>
    </row>
    <row r="197" spans="1:17" x14ac:dyDescent="0.25">
      <c r="A197" s="25" t="str">
        <f t="shared" si="14"/>
        <v>l10n_es;base.group_user;6,6;6,6;6,6;6,6;6,6;6,6;6,6;6,6</v>
      </c>
      <c r="B197">
        <f t="shared" si="16"/>
        <v>6.6</v>
      </c>
      <c r="C197">
        <f t="shared" si="15"/>
        <v>6.6</v>
      </c>
      <c r="D197">
        <f t="shared" si="15"/>
        <v>6.6</v>
      </c>
      <c r="E197">
        <f t="shared" si="15"/>
        <v>6.6</v>
      </c>
      <c r="F197">
        <f t="shared" si="15"/>
        <v>6.6</v>
      </c>
      <c r="G197">
        <f t="shared" si="15"/>
        <v>6.6</v>
      </c>
      <c r="H197">
        <f t="shared" si="15"/>
        <v>6.6</v>
      </c>
      <c r="I197">
        <f t="shared" si="15"/>
        <v>6.6</v>
      </c>
      <c r="J197" s="12" t="s">
        <v>236</v>
      </c>
      <c r="K197" s="14" t="s">
        <v>1060</v>
      </c>
      <c r="L197" s="29"/>
      <c r="M197" s="14">
        <f>INDEX('Pivot Analysis'!A:B,MATCH(J197,'Pivot Analysis'!B:B,0),1)</f>
        <v>6.6</v>
      </c>
      <c r="N197" s="14" t="e">
        <f>INDEX(Cloc!E:F,MATCH(J197,Cloc!F:F,0),1)</f>
        <v>#N/A</v>
      </c>
      <c r="O197" s="14">
        <f t="shared" ref="O197:O260" si="17">IFERROR(IFERROR(IF(L197&lt;&gt;"",L197,M197),N197),$O$1)</f>
        <v>6.6</v>
      </c>
      <c r="P197" s="14">
        <f>O197/Q197</f>
        <v>6.6</v>
      </c>
      <c r="Q197">
        <f>MAX(1,SUMPRODUCT($R$1:$AD$1,R197:AD197))</f>
        <v>1</v>
      </c>
    </row>
    <row r="198" spans="1:17" x14ac:dyDescent="0.25">
      <c r="A198" s="25" t="str">
        <f t="shared" si="14"/>
        <v>l10n_es_edi_facturae;base.group_user;357;357;357;357;357;357;357;357</v>
      </c>
      <c r="B198">
        <f t="shared" si="16"/>
        <v>357</v>
      </c>
      <c r="C198">
        <f t="shared" si="15"/>
        <v>357</v>
      </c>
      <c r="D198">
        <f t="shared" si="15"/>
        <v>357</v>
      </c>
      <c r="E198">
        <f t="shared" si="15"/>
        <v>357</v>
      </c>
      <c r="F198">
        <f t="shared" si="15"/>
        <v>357</v>
      </c>
      <c r="G198">
        <f t="shared" ref="C198:I261" si="18">$P198*MIN($Q198,G$3)</f>
        <v>357</v>
      </c>
      <c r="H198">
        <f t="shared" si="18"/>
        <v>357</v>
      </c>
      <c r="I198">
        <f t="shared" si="18"/>
        <v>357</v>
      </c>
      <c r="J198" s="12" t="s">
        <v>838</v>
      </c>
      <c r="K198" s="14" t="s">
        <v>1060</v>
      </c>
      <c r="L198" s="29"/>
      <c r="M198" s="14">
        <f>INDEX('Pivot Analysis'!A:B,MATCH(J198,'Pivot Analysis'!B:B,0),1)</f>
        <v>357</v>
      </c>
      <c r="N198" s="14" t="e">
        <f>INDEX(Cloc!E:F,MATCH(J198,Cloc!F:F,0),1)</f>
        <v>#N/A</v>
      </c>
      <c r="O198" s="14">
        <f t="shared" si="17"/>
        <v>357</v>
      </c>
      <c r="P198" s="14">
        <f>O198/Q198</f>
        <v>357</v>
      </c>
      <c r="Q198">
        <f>MAX(1,SUMPRODUCT($R$1:$AD$1,R198:AD198))</f>
        <v>1</v>
      </c>
    </row>
    <row r="199" spans="1:17" x14ac:dyDescent="0.25">
      <c r="A199" s="25" t="str">
        <f t="shared" si="14"/>
        <v>l10n_es_edi_facturae_adm_centers;base.group_user;0;0;0;0;0;0;0;0</v>
      </c>
      <c r="B199">
        <f t="shared" si="16"/>
        <v>0</v>
      </c>
      <c r="C199">
        <f t="shared" si="18"/>
        <v>0</v>
      </c>
      <c r="D199">
        <f t="shared" si="18"/>
        <v>0</v>
      </c>
      <c r="E199">
        <f t="shared" si="18"/>
        <v>0</v>
      </c>
      <c r="F199">
        <f t="shared" si="18"/>
        <v>0</v>
      </c>
      <c r="G199">
        <f t="shared" si="18"/>
        <v>0</v>
      </c>
      <c r="H199">
        <f t="shared" si="18"/>
        <v>0</v>
      </c>
      <c r="I199">
        <f t="shared" si="18"/>
        <v>0</v>
      </c>
      <c r="J199" s="12" t="s">
        <v>841</v>
      </c>
      <c r="K199" s="14" t="s">
        <v>1060</v>
      </c>
      <c r="L199" s="29"/>
      <c r="M199" s="14">
        <f>INDEX('Pivot Analysis'!A:B,MATCH(J199,'Pivot Analysis'!B:B,0),1)</f>
        <v>0</v>
      </c>
      <c r="N199" s="14" t="e">
        <f>INDEX(Cloc!E:F,MATCH(J199,Cloc!F:F,0),1)</f>
        <v>#N/A</v>
      </c>
      <c r="O199" s="14">
        <f t="shared" si="17"/>
        <v>0</v>
      </c>
      <c r="P199" s="14">
        <f>O199/Q199</f>
        <v>0</v>
      </c>
      <c r="Q199">
        <f>MAX(1,SUMPRODUCT($R$1:$AD$1,R199:AD199))</f>
        <v>1</v>
      </c>
    </row>
    <row r="200" spans="1:17" x14ac:dyDescent="0.25">
      <c r="A200" s="25" t="str">
        <f t="shared" si="14"/>
        <v>l10n_es_edi_facturae_invoice_period;base.group_user;0;0;0;0;0;0;0;0</v>
      </c>
      <c r="B200">
        <f t="shared" si="16"/>
        <v>0</v>
      </c>
      <c r="C200">
        <f t="shared" si="18"/>
        <v>0</v>
      </c>
      <c r="D200">
        <f t="shared" si="18"/>
        <v>0</v>
      </c>
      <c r="E200">
        <f t="shared" si="18"/>
        <v>0</v>
      </c>
      <c r="F200">
        <f t="shared" si="18"/>
        <v>0</v>
      </c>
      <c r="G200">
        <f t="shared" si="18"/>
        <v>0</v>
      </c>
      <c r="H200">
        <f t="shared" si="18"/>
        <v>0</v>
      </c>
      <c r="I200">
        <f t="shared" si="18"/>
        <v>0</v>
      </c>
      <c r="J200" s="12" t="s">
        <v>843</v>
      </c>
      <c r="K200" s="14" t="s">
        <v>1060</v>
      </c>
      <c r="L200" s="29"/>
      <c r="M200" s="14">
        <f>INDEX('Pivot Analysis'!A:B,MATCH(J200,'Pivot Analysis'!B:B,0),1)</f>
        <v>0</v>
      </c>
      <c r="N200" s="14" t="e">
        <f>INDEX(Cloc!E:F,MATCH(J200,Cloc!F:F,0),1)</f>
        <v>#N/A</v>
      </c>
      <c r="O200" s="14">
        <f t="shared" si="17"/>
        <v>0</v>
      </c>
      <c r="P200" s="14">
        <f>O200/Q200</f>
        <v>0</v>
      </c>
      <c r="Q200">
        <f>MAX(1,SUMPRODUCT($R$1:$AD$1,R200:AD200))</f>
        <v>1</v>
      </c>
    </row>
    <row r="201" spans="1:17" x14ac:dyDescent="0.25">
      <c r="A201" s="25" t="str">
        <f t="shared" ref="A201:A264" si="19">J201&amp;";"&amp;K201&amp;";"&amp;B201&amp;";"&amp;C201&amp;";"&amp;D201&amp;";"&amp;E201&amp;";"&amp;F201&amp;";"&amp;G201&amp;";"&amp;H201&amp;";"&amp;I201</f>
        <v>l10n_es_edi_sii;base.group_user;192,3;192,3;192,3;192,3;192,3;192,3;192,3;192,3</v>
      </c>
      <c r="B201">
        <f t="shared" si="16"/>
        <v>192.30000000000004</v>
      </c>
      <c r="C201">
        <f t="shared" si="18"/>
        <v>192.30000000000004</v>
      </c>
      <c r="D201">
        <f t="shared" si="18"/>
        <v>192.30000000000004</v>
      </c>
      <c r="E201">
        <f t="shared" si="18"/>
        <v>192.30000000000004</v>
      </c>
      <c r="F201">
        <f t="shared" si="18"/>
        <v>192.30000000000004</v>
      </c>
      <c r="G201">
        <f t="shared" si="18"/>
        <v>192.30000000000004</v>
      </c>
      <c r="H201">
        <f t="shared" si="18"/>
        <v>192.30000000000004</v>
      </c>
      <c r="I201">
        <f t="shared" si="18"/>
        <v>192.30000000000004</v>
      </c>
      <c r="J201" s="12" t="s">
        <v>238</v>
      </c>
      <c r="K201" s="14" t="s">
        <v>1060</v>
      </c>
      <c r="L201" s="29"/>
      <c r="M201" s="14">
        <f>INDEX('Pivot Analysis'!A:B,MATCH(J201,'Pivot Analysis'!B:B,0),1)</f>
        <v>192.30000000000004</v>
      </c>
      <c r="N201" s="14" t="e">
        <f>INDEX(Cloc!E:F,MATCH(J201,Cloc!F:F,0),1)</f>
        <v>#N/A</v>
      </c>
      <c r="O201" s="14">
        <f t="shared" si="17"/>
        <v>192.30000000000004</v>
      </c>
      <c r="P201" s="14">
        <f>O201/Q201</f>
        <v>192.30000000000004</v>
      </c>
      <c r="Q201">
        <f>MAX(1,SUMPRODUCT($R$1:$AD$1,R201:AD201))</f>
        <v>1</v>
      </c>
    </row>
    <row r="202" spans="1:17" x14ac:dyDescent="0.25">
      <c r="A202" s="25" t="str">
        <f t="shared" si="19"/>
        <v>l10n_es_edi_tbai;base.group_user;33,3;33,3;33,3;33,3;33,3;33,3;33,3;33,3</v>
      </c>
      <c r="B202">
        <f t="shared" si="16"/>
        <v>33.299999999999997</v>
      </c>
      <c r="C202">
        <f t="shared" si="18"/>
        <v>33.299999999999997</v>
      </c>
      <c r="D202">
        <f t="shared" si="18"/>
        <v>33.299999999999997</v>
      </c>
      <c r="E202">
        <f t="shared" si="18"/>
        <v>33.299999999999997</v>
      </c>
      <c r="F202">
        <f t="shared" si="18"/>
        <v>33.299999999999997</v>
      </c>
      <c r="G202">
        <f t="shared" si="18"/>
        <v>33.299999999999997</v>
      </c>
      <c r="H202">
        <f t="shared" si="18"/>
        <v>33.299999999999997</v>
      </c>
      <c r="I202">
        <f t="shared" si="18"/>
        <v>33.299999999999997</v>
      </c>
      <c r="J202" s="12" t="s">
        <v>240</v>
      </c>
      <c r="K202" s="14" t="s">
        <v>1060</v>
      </c>
      <c r="L202" s="29"/>
      <c r="M202" s="14">
        <f>INDEX('Pivot Analysis'!A:B,MATCH(J202,'Pivot Analysis'!B:B,0),1)</f>
        <v>33.299999999999997</v>
      </c>
      <c r="N202" s="14" t="e">
        <f>INDEX(Cloc!E:F,MATCH(J202,Cloc!F:F,0),1)</f>
        <v>#N/A</v>
      </c>
      <c r="O202" s="14">
        <f t="shared" si="17"/>
        <v>33.299999999999997</v>
      </c>
      <c r="P202" s="14">
        <f>O202/Q202</f>
        <v>33.299999999999997</v>
      </c>
      <c r="Q202">
        <f>MAX(1,SUMPRODUCT($R$1:$AD$1,R202:AD202))</f>
        <v>1</v>
      </c>
    </row>
    <row r="203" spans="1:17" x14ac:dyDescent="0.25">
      <c r="A203" s="25" t="str">
        <f t="shared" si="19"/>
        <v>l10n_es_edi_tbai_multi_refund;base.group_user;0;0;0;0;0;0;0;0</v>
      </c>
      <c r="B203">
        <f t="shared" si="16"/>
        <v>0</v>
      </c>
      <c r="C203">
        <f t="shared" si="18"/>
        <v>0</v>
      </c>
      <c r="D203">
        <f t="shared" si="18"/>
        <v>0</v>
      </c>
      <c r="E203">
        <f t="shared" si="18"/>
        <v>0</v>
      </c>
      <c r="F203">
        <f t="shared" si="18"/>
        <v>0</v>
      </c>
      <c r="G203">
        <f t="shared" si="18"/>
        <v>0</v>
      </c>
      <c r="H203">
        <f t="shared" si="18"/>
        <v>0</v>
      </c>
      <c r="I203">
        <f t="shared" si="18"/>
        <v>0</v>
      </c>
      <c r="J203" s="12" t="s">
        <v>846</v>
      </c>
      <c r="K203" s="14" t="s">
        <v>1060</v>
      </c>
      <c r="L203" s="29"/>
      <c r="M203" s="14">
        <f>INDEX('Pivot Analysis'!A:B,MATCH(J203,'Pivot Analysis'!B:B,0),1)</f>
        <v>0</v>
      </c>
      <c r="N203" s="14" t="e">
        <f>INDEX(Cloc!E:F,MATCH(J203,Cloc!F:F,0),1)</f>
        <v>#N/A</v>
      </c>
      <c r="O203" s="14">
        <f t="shared" si="17"/>
        <v>0</v>
      </c>
      <c r="P203" s="14">
        <f>O203/Q203</f>
        <v>0</v>
      </c>
      <c r="Q203">
        <f>MAX(1,SUMPRODUCT($R$1:$AD$1,R203:AD203))</f>
        <v>1</v>
      </c>
    </row>
    <row r="204" spans="1:17" x14ac:dyDescent="0.25">
      <c r="A204" s="25" t="str">
        <f t="shared" si="19"/>
        <v>l10n_es_edi_tbai_pos;base.group_user;60;60;60;60;60;60;60;60</v>
      </c>
      <c r="B204">
        <f t="shared" si="16"/>
        <v>60</v>
      </c>
      <c r="C204">
        <f t="shared" si="18"/>
        <v>60</v>
      </c>
      <c r="D204">
        <f t="shared" si="18"/>
        <v>60</v>
      </c>
      <c r="E204">
        <f t="shared" si="18"/>
        <v>60</v>
      </c>
      <c r="F204">
        <f t="shared" si="18"/>
        <v>60</v>
      </c>
      <c r="G204">
        <f t="shared" si="18"/>
        <v>60</v>
      </c>
      <c r="H204">
        <f t="shared" si="18"/>
        <v>60</v>
      </c>
      <c r="I204">
        <f t="shared" si="18"/>
        <v>60</v>
      </c>
      <c r="J204" s="12" t="s">
        <v>848</v>
      </c>
      <c r="K204" s="14" t="s">
        <v>1060</v>
      </c>
      <c r="L204" s="29"/>
      <c r="M204" s="14">
        <f>INDEX('Pivot Analysis'!A:B,MATCH(J204,'Pivot Analysis'!B:B,0),1)</f>
        <v>60</v>
      </c>
      <c r="N204" s="14" t="e">
        <f>INDEX(Cloc!E:F,MATCH(J204,Cloc!F:F,0),1)</f>
        <v>#N/A</v>
      </c>
      <c r="O204" s="14">
        <f t="shared" si="17"/>
        <v>60</v>
      </c>
      <c r="P204" s="14">
        <f>O204/Q204</f>
        <v>60</v>
      </c>
      <c r="Q204">
        <f>MAX(1,SUMPRODUCT($R$1:$AD$1,R204:AD204))</f>
        <v>1</v>
      </c>
    </row>
    <row r="205" spans="1:17" x14ac:dyDescent="0.25">
      <c r="A205" s="25" t="str">
        <f t="shared" si="19"/>
        <v>l10n_es_modelo130;base.group_user;30;30;30;30;30;30;30;30</v>
      </c>
      <c r="B205">
        <f t="shared" si="16"/>
        <v>30</v>
      </c>
      <c r="C205">
        <f t="shared" si="18"/>
        <v>30</v>
      </c>
      <c r="D205">
        <f t="shared" si="18"/>
        <v>30</v>
      </c>
      <c r="E205">
        <f t="shared" si="18"/>
        <v>30</v>
      </c>
      <c r="F205">
        <f t="shared" si="18"/>
        <v>30</v>
      </c>
      <c r="G205">
        <f t="shared" si="18"/>
        <v>30</v>
      </c>
      <c r="H205">
        <f t="shared" si="18"/>
        <v>30</v>
      </c>
      <c r="I205">
        <f t="shared" si="18"/>
        <v>30</v>
      </c>
      <c r="J205" s="12" t="s">
        <v>850</v>
      </c>
      <c r="K205" s="14" t="s">
        <v>1060</v>
      </c>
      <c r="L205" s="29"/>
      <c r="M205" s="14">
        <f>INDEX('Pivot Analysis'!A:B,MATCH(J205,'Pivot Analysis'!B:B,0),1)</f>
        <v>30</v>
      </c>
      <c r="N205" s="14" t="e">
        <f>INDEX(Cloc!E:F,MATCH(J205,Cloc!F:F,0),1)</f>
        <v>#N/A</v>
      </c>
      <c r="O205" s="14">
        <f t="shared" si="17"/>
        <v>30</v>
      </c>
      <c r="P205" s="14">
        <f>O205/Q205</f>
        <v>30</v>
      </c>
      <c r="Q205">
        <f>MAX(1,SUMPRODUCT($R$1:$AD$1,R205:AD205))</f>
        <v>1</v>
      </c>
    </row>
    <row r="206" spans="1:17" x14ac:dyDescent="0.25">
      <c r="A206" s="25" t="str">
        <f t="shared" si="19"/>
        <v>l10n_es_pos;base.group_user;45;45;45;45;45;45;45;45</v>
      </c>
      <c r="B206">
        <f t="shared" si="16"/>
        <v>45</v>
      </c>
      <c r="C206">
        <f t="shared" si="18"/>
        <v>45</v>
      </c>
      <c r="D206">
        <f t="shared" si="18"/>
        <v>45</v>
      </c>
      <c r="E206">
        <f t="shared" si="18"/>
        <v>45</v>
      </c>
      <c r="F206">
        <f t="shared" si="18"/>
        <v>45</v>
      </c>
      <c r="G206">
        <f t="shared" si="18"/>
        <v>45</v>
      </c>
      <c r="H206">
        <f t="shared" si="18"/>
        <v>45</v>
      </c>
      <c r="I206">
        <f t="shared" si="18"/>
        <v>45</v>
      </c>
      <c r="J206" s="12" t="s">
        <v>851</v>
      </c>
      <c r="K206" s="14" t="s">
        <v>1060</v>
      </c>
      <c r="L206" s="29"/>
      <c r="M206" s="14">
        <f>INDEX('Pivot Analysis'!A:B,MATCH(J206,'Pivot Analysis'!B:B,0),1)</f>
        <v>45</v>
      </c>
      <c r="N206" s="14" t="e">
        <f>INDEX(Cloc!E:F,MATCH(J206,Cloc!F:F,0),1)</f>
        <v>#N/A</v>
      </c>
      <c r="O206" s="14">
        <f t="shared" si="17"/>
        <v>45</v>
      </c>
      <c r="P206" s="14">
        <f>O206/Q206</f>
        <v>45</v>
      </c>
      <c r="Q206">
        <f>MAX(1,SUMPRODUCT($R$1:$AD$1,R206:AD206))</f>
        <v>1</v>
      </c>
    </row>
    <row r="207" spans="1:17" x14ac:dyDescent="0.25">
      <c r="A207" s="25" t="str">
        <f t="shared" si="19"/>
        <v>l10n_es_pos_tbai;base.group_user;0;0;0;0;0;0;0;0</v>
      </c>
      <c r="B207">
        <f t="shared" si="16"/>
        <v>0</v>
      </c>
      <c r="C207">
        <f t="shared" si="18"/>
        <v>0</v>
      </c>
      <c r="D207">
        <f t="shared" si="18"/>
        <v>0</v>
      </c>
      <c r="E207">
        <f t="shared" si="18"/>
        <v>0</v>
      </c>
      <c r="F207">
        <f t="shared" si="18"/>
        <v>0</v>
      </c>
      <c r="G207">
        <f t="shared" si="18"/>
        <v>0</v>
      </c>
      <c r="H207">
        <f t="shared" si="18"/>
        <v>0</v>
      </c>
      <c r="I207">
        <f t="shared" si="18"/>
        <v>0</v>
      </c>
      <c r="J207" s="12" t="s">
        <v>852</v>
      </c>
      <c r="K207" s="14" t="s">
        <v>1060</v>
      </c>
      <c r="L207" s="29"/>
      <c r="M207" s="14">
        <f>INDEX('Pivot Analysis'!A:B,MATCH(J207,'Pivot Analysis'!B:B,0),1)</f>
        <v>0</v>
      </c>
      <c r="N207" s="14" t="e">
        <f>INDEX(Cloc!E:F,MATCH(J207,Cloc!F:F,0),1)</f>
        <v>#N/A</v>
      </c>
      <c r="O207" s="14">
        <f t="shared" si="17"/>
        <v>0</v>
      </c>
      <c r="P207" s="14">
        <f>O207/Q207</f>
        <v>0</v>
      </c>
      <c r="Q207">
        <f>MAX(1,SUMPRODUCT($R$1:$AD$1,R207:AD207))</f>
        <v>1</v>
      </c>
    </row>
    <row r="208" spans="1:17" x14ac:dyDescent="0.25">
      <c r="A208" s="25" t="str">
        <f t="shared" si="19"/>
        <v>l10n_et;base.group_user;69;69;69;69;69;69;69;69</v>
      </c>
      <c r="B208">
        <f t="shared" si="16"/>
        <v>69</v>
      </c>
      <c r="C208">
        <f t="shared" si="18"/>
        <v>69</v>
      </c>
      <c r="D208">
        <f t="shared" si="18"/>
        <v>69</v>
      </c>
      <c r="E208">
        <f t="shared" si="18"/>
        <v>69</v>
      </c>
      <c r="F208">
        <f t="shared" si="18"/>
        <v>69</v>
      </c>
      <c r="G208">
        <f t="shared" si="18"/>
        <v>69</v>
      </c>
      <c r="H208">
        <f t="shared" si="18"/>
        <v>69</v>
      </c>
      <c r="I208">
        <f t="shared" si="18"/>
        <v>69</v>
      </c>
      <c r="J208" s="12" t="s">
        <v>241</v>
      </c>
      <c r="K208" s="14" t="s">
        <v>1060</v>
      </c>
      <c r="L208" s="29"/>
      <c r="M208" s="14">
        <f>INDEX('Pivot Analysis'!A:B,MATCH(J208,'Pivot Analysis'!B:B,0),1)</f>
        <v>69</v>
      </c>
      <c r="N208" s="14" t="e">
        <f>INDEX(Cloc!E:F,MATCH(J208,Cloc!F:F,0),1)</f>
        <v>#N/A</v>
      </c>
      <c r="O208" s="14">
        <f t="shared" si="17"/>
        <v>69</v>
      </c>
      <c r="P208" s="14">
        <f>O208/Q208</f>
        <v>69</v>
      </c>
      <c r="Q208">
        <f>MAX(1,SUMPRODUCT($R$1:$AD$1,R208:AD208))</f>
        <v>1</v>
      </c>
    </row>
    <row r="209" spans="1:17" x14ac:dyDescent="0.25">
      <c r="A209" s="25" t="str">
        <f t="shared" si="19"/>
        <v>l10n_eu_oss;base.group_user;33;33;33;33;33;33;33;33</v>
      </c>
      <c r="B209">
        <f t="shared" si="16"/>
        <v>33</v>
      </c>
      <c r="C209">
        <f t="shared" si="18"/>
        <v>33</v>
      </c>
      <c r="D209">
        <f t="shared" si="18"/>
        <v>33</v>
      </c>
      <c r="E209">
        <f t="shared" si="18"/>
        <v>33</v>
      </c>
      <c r="F209">
        <f t="shared" si="18"/>
        <v>33</v>
      </c>
      <c r="G209">
        <f t="shared" si="18"/>
        <v>33</v>
      </c>
      <c r="H209">
        <f t="shared" si="18"/>
        <v>33</v>
      </c>
      <c r="I209">
        <f t="shared" si="18"/>
        <v>33</v>
      </c>
      <c r="J209" s="12" t="s">
        <v>244</v>
      </c>
      <c r="K209" s="14" t="s">
        <v>1060</v>
      </c>
      <c r="L209" s="29"/>
      <c r="M209" s="14">
        <f>INDEX('Pivot Analysis'!A:B,MATCH(J209,'Pivot Analysis'!B:B,0),1)</f>
        <v>33</v>
      </c>
      <c r="N209" s="14" t="e">
        <f>INDEX(Cloc!E:F,MATCH(J209,Cloc!F:F,0),1)</f>
        <v>#N/A</v>
      </c>
      <c r="O209" s="14">
        <f t="shared" si="17"/>
        <v>33</v>
      </c>
      <c r="P209" s="14">
        <f>O209/Q209</f>
        <v>33</v>
      </c>
      <c r="Q209">
        <f>MAX(1,SUMPRODUCT($R$1:$AD$1,R209:AD209))</f>
        <v>1</v>
      </c>
    </row>
    <row r="210" spans="1:17" x14ac:dyDescent="0.25">
      <c r="A210" s="25" t="str">
        <f t="shared" si="19"/>
        <v>l10n_fi;base.group_user;135;135;135;135;135;135;135;135</v>
      </c>
      <c r="B210">
        <f t="shared" si="16"/>
        <v>135</v>
      </c>
      <c r="C210">
        <f t="shared" si="18"/>
        <v>135</v>
      </c>
      <c r="D210">
        <f t="shared" si="18"/>
        <v>135</v>
      </c>
      <c r="E210">
        <f t="shared" si="18"/>
        <v>135</v>
      </c>
      <c r="F210">
        <f t="shared" si="18"/>
        <v>135</v>
      </c>
      <c r="G210">
        <f t="shared" si="18"/>
        <v>135</v>
      </c>
      <c r="H210">
        <f t="shared" si="18"/>
        <v>135</v>
      </c>
      <c r="I210">
        <f t="shared" si="18"/>
        <v>135</v>
      </c>
      <c r="J210" s="12" t="s">
        <v>245</v>
      </c>
      <c r="K210" s="14" t="s">
        <v>1060</v>
      </c>
      <c r="L210" s="29"/>
      <c r="M210" s="14">
        <f>INDEX('Pivot Analysis'!A:B,MATCH(J210,'Pivot Analysis'!B:B,0),1)</f>
        <v>135</v>
      </c>
      <c r="N210" s="14" t="e">
        <f>INDEX(Cloc!E:F,MATCH(J210,Cloc!F:F,0),1)</f>
        <v>#N/A</v>
      </c>
      <c r="O210" s="14">
        <f t="shared" si="17"/>
        <v>135</v>
      </c>
      <c r="P210" s="14">
        <f>O210/Q210</f>
        <v>135</v>
      </c>
      <c r="Q210">
        <f>MAX(1,SUMPRODUCT($R$1:$AD$1,R210:AD210))</f>
        <v>1</v>
      </c>
    </row>
    <row r="211" spans="1:17" x14ac:dyDescent="0.25">
      <c r="A211" s="25" t="str">
        <f t="shared" si="19"/>
        <v>l10n_fi_sale;base.group_user;33;33;33;33;33;33;33;33</v>
      </c>
      <c r="B211">
        <f t="shared" si="16"/>
        <v>33</v>
      </c>
      <c r="C211">
        <f t="shared" si="18"/>
        <v>33</v>
      </c>
      <c r="D211">
        <f t="shared" si="18"/>
        <v>33</v>
      </c>
      <c r="E211">
        <f t="shared" si="18"/>
        <v>33</v>
      </c>
      <c r="F211">
        <f t="shared" si="18"/>
        <v>33</v>
      </c>
      <c r="G211">
        <f t="shared" si="18"/>
        <v>33</v>
      </c>
      <c r="H211">
        <f t="shared" si="18"/>
        <v>33</v>
      </c>
      <c r="I211">
        <f t="shared" si="18"/>
        <v>33</v>
      </c>
      <c r="J211" s="12" t="s">
        <v>247</v>
      </c>
      <c r="K211" s="14" t="s">
        <v>1060</v>
      </c>
      <c r="L211" s="29"/>
      <c r="M211" s="14">
        <f>INDEX('Pivot Analysis'!A:B,MATCH(J211,'Pivot Analysis'!B:B,0),1)</f>
        <v>33</v>
      </c>
      <c r="N211" s="14" t="e">
        <f>INDEX(Cloc!E:F,MATCH(J211,Cloc!F:F,0),1)</f>
        <v>#N/A</v>
      </c>
      <c r="O211" s="14">
        <f t="shared" si="17"/>
        <v>33</v>
      </c>
      <c r="P211" s="14">
        <f>O211/Q211</f>
        <v>33</v>
      </c>
      <c r="Q211">
        <f>MAX(1,SUMPRODUCT($R$1:$AD$1,R211:AD211))</f>
        <v>1</v>
      </c>
    </row>
    <row r="212" spans="1:17" x14ac:dyDescent="0.25">
      <c r="A212" s="25" t="str">
        <f t="shared" si="19"/>
        <v>l10n_fr;base.group_user;370,8;370,8;370,8;370,8;370,8;370,8;370,8;370,8</v>
      </c>
      <c r="B212">
        <f t="shared" si="16"/>
        <v>370.8</v>
      </c>
      <c r="C212">
        <f t="shared" si="18"/>
        <v>370.8</v>
      </c>
      <c r="D212">
        <f t="shared" si="18"/>
        <v>370.8</v>
      </c>
      <c r="E212">
        <f t="shared" si="18"/>
        <v>370.8</v>
      </c>
      <c r="F212">
        <f t="shared" si="18"/>
        <v>370.8</v>
      </c>
      <c r="G212">
        <f t="shared" si="18"/>
        <v>370.8</v>
      </c>
      <c r="H212">
        <f t="shared" si="18"/>
        <v>370.8</v>
      </c>
      <c r="I212">
        <f t="shared" si="18"/>
        <v>370.8</v>
      </c>
      <c r="J212" s="12" t="s">
        <v>248</v>
      </c>
      <c r="K212" s="14" t="s">
        <v>1060</v>
      </c>
      <c r="L212" s="29"/>
      <c r="M212" s="14">
        <f>INDEX('Pivot Analysis'!A:B,MATCH(J212,'Pivot Analysis'!B:B,0),1)</f>
        <v>370.8</v>
      </c>
      <c r="N212" s="14" t="e">
        <f>INDEX(Cloc!E:F,MATCH(J212,Cloc!F:F,0),1)</f>
        <v>#N/A</v>
      </c>
      <c r="O212" s="14">
        <f t="shared" si="17"/>
        <v>370.8</v>
      </c>
      <c r="P212" s="14">
        <f>O212/Q212</f>
        <v>370.8</v>
      </c>
      <c r="Q212">
        <f>MAX(1,SUMPRODUCT($R$1:$AD$1,R212:AD212))</f>
        <v>1</v>
      </c>
    </row>
    <row r="213" spans="1:17" x14ac:dyDescent="0.25">
      <c r="A213" s="25" t="str">
        <f t="shared" si="19"/>
        <v>l10n_fr_account;base.group_user;1008;1008;1008;1008;1008;1008;1008;1008</v>
      </c>
      <c r="B213">
        <f t="shared" si="16"/>
        <v>1008</v>
      </c>
      <c r="C213">
        <f t="shared" si="18"/>
        <v>1008</v>
      </c>
      <c r="D213">
        <f t="shared" si="18"/>
        <v>1008</v>
      </c>
      <c r="E213">
        <f t="shared" si="18"/>
        <v>1008</v>
      </c>
      <c r="F213">
        <f t="shared" si="18"/>
        <v>1008</v>
      </c>
      <c r="G213">
        <f t="shared" si="18"/>
        <v>1008</v>
      </c>
      <c r="H213">
        <f t="shared" si="18"/>
        <v>1008</v>
      </c>
      <c r="I213">
        <f t="shared" si="18"/>
        <v>1008</v>
      </c>
      <c r="J213" s="12" t="s">
        <v>856</v>
      </c>
      <c r="K213" s="14" t="s">
        <v>1060</v>
      </c>
      <c r="L213" s="29"/>
      <c r="M213" s="14">
        <f>INDEX('Pivot Analysis'!A:B,MATCH(J213,'Pivot Analysis'!B:B,0),1)</f>
        <v>1008</v>
      </c>
      <c r="N213" s="14" t="e">
        <f>INDEX(Cloc!E:F,MATCH(J213,Cloc!F:F,0),1)</f>
        <v>#N/A</v>
      </c>
      <c r="O213" s="14">
        <f t="shared" si="17"/>
        <v>1008</v>
      </c>
      <c r="P213" s="14">
        <f>O213/Q213</f>
        <v>1008</v>
      </c>
      <c r="Q213">
        <f>MAX(1,SUMPRODUCT($R$1:$AD$1,R213:AD213))</f>
        <v>1</v>
      </c>
    </row>
    <row r="214" spans="1:17" x14ac:dyDescent="0.25">
      <c r="A214" s="25" t="str">
        <f t="shared" si="19"/>
        <v>l10n_fr_facturx_chorus_pro;base.group_user;0;0;0;0;0;0;0;0</v>
      </c>
      <c r="B214">
        <f t="shared" si="16"/>
        <v>0</v>
      </c>
      <c r="C214">
        <f t="shared" si="18"/>
        <v>0</v>
      </c>
      <c r="D214">
        <f t="shared" si="18"/>
        <v>0</v>
      </c>
      <c r="E214">
        <f t="shared" si="18"/>
        <v>0</v>
      </c>
      <c r="F214">
        <f t="shared" si="18"/>
        <v>0</v>
      </c>
      <c r="G214">
        <f t="shared" si="18"/>
        <v>0</v>
      </c>
      <c r="H214">
        <f t="shared" si="18"/>
        <v>0</v>
      </c>
      <c r="I214">
        <f t="shared" si="18"/>
        <v>0</v>
      </c>
      <c r="J214" s="12" t="s">
        <v>251</v>
      </c>
      <c r="K214" s="14" t="s">
        <v>1060</v>
      </c>
      <c r="L214" s="29"/>
      <c r="M214" s="14">
        <f>INDEX('Pivot Analysis'!A:B,MATCH(J214,'Pivot Analysis'!B:B,0),1)</f>
        <v>0</v>
      </c>
      <c r="N214" s="14" t="e">
        <f>INDEX(Cloc!E:F,MATCH(J214,Cloc!F:F,0),1)</f>
        <v>#N/A</v>
      </c>
      <c r="O214" s="14">
        <f t="shared" si="17"/>
        <v>0</v>
      </c>
      <c r="P214" s="14">
        <f>O214/Q214</f>
        <v>0</v>
      </c>
      <c r="Q214">
        <f>MAX(1,SUMPRODUCT($R$1:$AD$1,R214:AD214))</f>
        <v>1</v>
      </c>
    </row>
    <row r="215" spans="1:17" x14ac:dyDescent="0.25">
      <c r="A215" s="25" t="str">
        <f t="shared" si="19"/>
        <v>l10n_fr_fec;base.group_user;0;0;0;0;0;0;0;0</v>
      </c>
      <c r="B215">
        <f t="shared" si="16"/>
        <v>0</v>
      </c>
      <c r="C215">
        <f t="shared" si="18"/>
        <v>0</v>
      </c>
      <c r="D215">
        <f t="shared" si="18"/>
        <v>0</v>
      </c>
      <c r="E215">
        <f t="shared" si="18"/>
        <v>0</v>
      </c>
      <c r="F215">
        <f t="shared" si="18"/>
        <v>0</v>
      </c>
      <c r="G215">
        <f t="shared" si="18"/>
        <v>0</v>
      </c>
      <c r="H215">
        <f t="shared" si="18"/>
        <v>0</v>
      </c>
      <c r="I215">
        <f t="shared" si="18"/>
        <v>0</v>
      </c>
      <c r="J215" s="12" t="s">
        <v>252</v>
      </c>
      <c r="K215" s="14" t="s">
        <v>1060</v>
      </c>
      <c r="L215" s="29"/>
      <c r="M215" s="14">
        <f>INDEX('Pivot Analysis'!A:B,MATCH(J215,'Pivot Analysis'!B:B,0),1)</f>
        <v>0</v>
      </c>
      <c r="N215" s="14" t="e">
        <f>INDEX(Cloc!E:F,MATCH(J215,Cloc!F:F,0),1)</f>
        <v>#N/A</v>
      </c>
      <c r="O215" s="14">
        <f t="shared" si="17"/>
        <v>0</v>
      </c>
      <c r="P215" s="14">
        <f>O215/Q215</f>
        <v>0</v>
      </c>
      <c r="Q215">
        <f>MAX(1,SUMPRODUCT($R$1:$AD$1,R215:AD215))</f>
        <v>1</v>
      </c>
    </row>
    <row r="216" spans="1:17" x14ac:dyDescent="0.25">
      <c r="A216" s="25" t="str">
        <f t="shared" si="19"/>
        <v>l10n_fr_hr_holidays;base.group_user;0;0;0;0;0;0;0;0</v>
      </c>
      <c r="B216">
        <f t="shared" si="16"/>
        <v>0</v>
      </c>
      <c r="C216">
        <f t="shared" si="18"/>
        <v>0</v>
      </c>
      <c r="D216">
        <f t="shared" si="18"/>
        <v>0</v>
      </c>
      <c r="E216">
        <f t="shared" si="18"/>
        <v>0</v>
      </c>
      <c r="F216">
        <f t="shared" si="18"/>
        <v>0</v>
      </c>
      <c r="G216">
        <f t="shared" si="18"/>
        <v>0</v>
      </c>
      <c r="H216">
        <f t="shared" si="18"/>
        <v>0</v>
      </c>
      <c r="I216">
        <f t="shared" si="18"/>
        <v>0</v>
      </c>
      <c r="J216" s="12" t="s">
        <v>860</v>
      </c>
      <c r="K216" s="14" t="s">
        <v>1060</v>
      </c>
      <c r="L216" s="29"/>
      <c r="M216" s="14">
        <f>INDEX('Pivot Analysis'!A:B,MATCH(J216,'Pivot Analysis'!B:B,0),1)</f>
        <v>0</v>
      </c>
      <c r="N216" s="14" t="e">
        <f>INDEX(Cloc!E:F,MATCH(J216,Cloc!F:F,0),1)</f>
        <v>#N/A</v>
      </c>
      <c r="O216" s="14">
        <f t="shared" si="17"/>
        <v>0</v>
      </c>
      <c r="P216" s="14">
        <f>O216/Q216</f>
        <v>0</v>
      </c>
      <c r="Q216">
        <f>MAX(1,SUMPRODUCT($R$1:$AD$1,R216:AD216))</f>
        <v>1</v>
      </c>
    </row>
    <row r="217" spans="1:17" x14ac:dyDescent="0.25">
      <c r="A217" s="25" t="str">
        <f t="shared" si="19"/>
        <v>l10n_fr_hr_work_entry_holidays;base.group_user;30;30;30;30;30;30;30;30</v>
      </c>
      <c r="B217">
        <f t="shared" si="16"/>
        <v>30</v>
      </c>
      <c r="C217">
        <f t="shared" si="18"/>
        <v>30</v>
      </c>
      <c r="D217">
        <f t="shared" si="18"/>
        <v>30</v>
      </c>
      <c r="E217">
        <f t="shared" si="18"/>
        <v>30</v>
      </c>
      <c r="F217">
        <f t="shared" si="18"/>
        <v>30</v>
      </c>
      <c r="G217">
        <f t="shared" si="18"/>
        <v>30</v>
      </c>
      <c r="H217">
        <f t="shared" si="18"/>
        <v>30</v>
      </c>
      <c r="I217">
        <f t="shared" si="18"/>
        <v>30</v>
      </c>
      <c r="J217" s="12" t="s">
        <v>861</v>
      </c>
      <c r="K217" s="14" t="s">
        <v>1060</v>
      </c>
      <c r="L217" s="29"/>
      <c r="M217" s="14">
        <f>INDEX('Pivot Analysis'!A:B,MATCH(J217,'Pivot Analysis'!B:B,0),1)</f>
        <v>30</v>
      </c>
      <c r="N217" s="14" t="e">
        <f>INDEX(Cloc!E:F,MATCH(J217,Cloc!F:F,0),1)</f>
        <v>#N/A</v>
      </c>
      <c r="O217" s="14">
        <f t="shared" si="17"/>
        <v>30</v>
      </c>
      <c r="P217" s="14">
        <f>O217/Q217</f>
        <v>30</v>
      </c>
      <c r="Q217">
        <f>MAX(1,SUMPRODUCT($R$1:$AD$1,R217:AD217))</f>
        <v>1</v>
      </c>
    </row>
    <row r="218" spans="1:17" x14ac:dyDescent="0.25">
      <c r="A218" s="25" t="str">
        <f t="shared" si="19"/>
        <v>l10n_fr_invoice_addr;base.group_user;0;0;0;0;0;0;0;0</v>
      </c>
      <c r="B218">
        <f t="shared" si="16"/>
        <v>0</v>
      </c>
      <c r="C218">
        <f t="shared" si="18"/>
        <v>0</v>
      </c>
      <c r="D218">
        <f t="shared" si="18"/>
        <v>0</v>
      </c>
      <c r="E218">
        <f t="shared" si="18"/>
        <v>0</v>
      </c>
      <c r="F218">
        <f t="shared" si="18"/>
        <v>0</v>
      </c>
      <c r="G218">
        <f t="shared" si="18"/>
        <v>0</v>
      </c>
      <c r="H218">
        <f t="shared" si="18"/>
        <v>0</v>
      </c>
      <c r="I218">
        <f t="shared" si="18"/>
        <v>0</v>
      </c>
      <c r="J218" s="12" t="s">
        <v>253</v>
      </c>
      <c r="K218" s="14" t="s">
        <v>1060</v>
      </c>
      <c r="L218" s="29"/>
      <c r="M218" s="14">
        <f>INDEX('Pivot Analysis'!A:B,MATCH(J218,'Pivot Analysis'!B:B,0),1)</f>
        <v>0</v>
      </c>
      <c r="N218" s="14" t="e">
        <f>INDEX(Cloc!E:F,MATCH(J218,Cloc!F:F,0),1)</f>
        <v>#N/A</v>
      </c>
      <c r="O218" s="14">
        <f t="shared" si="17"/>
        <v>0</v>
      </c>
      <c r="P218" s="14">
        <f>O218/Q218</f>
        <v>0</v>
      </c>
      <c r="Q218">
        <f>MAX(1,SUMPRODUCT($R$1:$AD$1,R218:AD218))</f>
        <v>1</v>
      </c>
    </row>
    <row r="219" spans="1:17" x14ac:dyDescent="0.25">
      <c r="A219" s="25" t="str">
        <f t="shared" si="19"/>
        <v>l10n_fr_pos_cert;base.group_user;6;6;6;6;6;6;6;6</v>
      </c>
      <c r="B219">
        <f t="shared" si="16"/>
        <v>6</v>
      </c>
      <c r="C219">
        <f t="shared" si="18"/>
        <v>6</v>
      </c>
      <c r="D219">
        <f t="shared" si="18"/>
        <v>6</v>
      </c>
      <c r="E219">
        <f t="shared" si="18"/>
        <v>6</v>
      </c>
      <c r="F219">
        <f t="shared" si="18"/>
        <v>6</v>
      </c>
      <c r="G219">
        <f t="shared" si="18"/>
        <v>6</v>
      </c>
      <c r="H219">
        <f t="shared" si="18"/>
        <v>6</v>
      </c>
      <c r="I219">
        <f t="shared" si="18"/>
        <v>6</v>
      </c>
      <c r="J219" s="12" t="s">
        <v>254</v>
      </c>
      <c r="K219" s="14" t="s">
        <v>1060</v>
      </c>
      <c r="L219" s="29"/>
      <c r="M219" s="14">
        <f>INDEX('Pivot Analysis'!A:B,MATCH(J219,'Pivot Analysis'!B:B,0),1)</f>
        <v>6</v>
      </c>
      <c r="N219" s="14" t="e">
        <f>INDEX(Cloc!E:F,MATCH(J219,Cloc!F:F,0),1)</f>
        <v>#N/A</v>
      </c>
      <c r="O219" s="14">
        <f t="shared" si="17"/>
        <v>6</v>
      </c>
      <c r="P219" s="14">
        <f>O219/Q219</f>
        <v>6</v>
      </c>
      <c r="Q219">
        <f>MAX(1,SUMPRODUCT($R$1:$AD$1,R219:AD219))</f>
        <v>1</v>
      </c>
    </row>
    <row r="220" spans="1:17" x14ac:dyDescent="0.25">
      <c r="A220" s="25" t="str">
        <f t="shared" si="19"/>
        <v>l10n_ga;base.group_user;30;30;30;30;30;30;30;30</v>
      </c>
      <c r="B220">
        <f t="shared" si="16"/>
        <v>30</v>
      </c>
      <c r="C220">
        <f t="shared" si="18"/>
        <v>30</v>
      </c>
      <c r="D220">
        <f t="shared" si="18"/>
        <v>30</v>
      </c>
      <c r="E220">
        <f t="shared" si="18"/>
        <v>30</v>
      </c>
      <c r="F220">
        <f t="shared" si="18"/>
        <v>30</v>
      </c>
      <c r="G220">
        <f t="shared" si="18"/>
        <v>30</v>
      </c>
      <c r="H220">
        <f t="shared" si="18"/>
        <v>30</v>
      </c>
      <c r="I220">
        <f t="shared" si="18"/>
        <v>30</v>
      </c>
      <c r="J220" s="12" t="s">
        <v>863</v>
      </c>
      <c r="K220" s="14" t="s">
        <v>1060</v>
      </c>
      <c r="L220" s="29"/>
      <c r="M220" s="14">
        <f>INDEX('Pivot Analysis'!A:B,MATCH(J220,'Pivot Analysis'!B:B,0),1)</f>
        <v>30</v>
      </c>
      <c r="N220" s="14" t="e">
        <f>INDEX(Cloc!E:F,MATCH(J220,Cloc!F:F,0),1)</f>
        <v>#N/A</v>
      </c>
      <c r="O220" s="14">
        <f t="shared" si="17"/>
        <v>30</v>
      </c>
      <c r="P220" s="14">
        <f>O220/Q220</f>
        <v>30</v>
      </c>
      <c r="Q220">
        <f>MAX(1,SUMPRODUCT($R$1:$AD$1,R220:AD220))</f>
        <v>1</v>
      </c>
    </row>
    <row r="221" spans="1:17" x14ac:dyDescent="0.25">
      <c r="A221" s="25" t="str">
        <f t="shared" si="19"/>
        <v>l10n_gcc_invoice;base.group_user;30;30;30;30;30;30;30;30</v>
      </c>
      <c r="B221">
        <f t="shared" si="16"/>
        <v>30</v>
      </c>
      <c r="C221">
        <f t="shared" si="18"/>
        <v>30</v>
      </c>
      <c r="D221">
        <f t="shared" si="18"/>
        <v>30</v>
      </c>
      <c r="E221">
        <f t="shared" si="18"/>
        <v>30</v>
      </c>
      <c r="F221">
        <f t="shared" si="18"/>
        <v>30</v>
      </c>
      <c r="G221">
        <f t="shared" si="18"/>
        <v>30</v>
      </c>
      <c r="H221">
        <f t="shared" si="18"/>
        <v>30</v>
      </c>
      <c r="I221">
        <f t="shared" si="18"/>
        <v>30</v>
      </c>
      <c r="J221" s="12" t="s">
        <v>255</v>
      </c>
      <c r="K221" s="14" t="s">
        <v>1060</v>
      </c>
      <c r="L221" s="29"/>
      <c r="M221" s="14">
        <f>INDEX('Pivot Analysis'!A:B,MATCH(J221,'Pivot Analysis'!B:B,0),1)</f>
        <v>30</v>
      </c>
      <c r="N221" s="14" t="e">
        <f>INDEX(Cloc!E:F,MATCH(J221,Cloc!F:F,0),1)</f>
        <v>#N/A</v>
      </c>
      <c r="O221" s="14">
        <f t="shared" si="17"/>
        <v>30</v>
      </c>
      <c r="P221" s="14">
        <f>O221/Q221</f>
        <v>30</v>
      </c>
      <c r="Q221">
        <f>MAX(1,SUMPRODUCT($R$1:$AD$1,R221:AD221))</f>
        <v>1</v>
      </c>
    </row>
    <row r="222" spans="1:17" x14ac:dyDescent="0.25">
      <c r="A222" s="25" t="str">
        <f t="shared" si="19"/>
        <v>l10n_gcc_invoice_stock_account;base.group_user;33;33;33;33;33;33;33;33</v>
      </c>
      <c r="B222">
        <f t="shared" si="16"/>
        <v>33</v>
      </c>
      <c r="C222">
        <f t="shared" si="18"/>
        <v>33</v>
      </c>
      <c r="D222">
        <f t="shared" si="18"/>
        <v>33</v>
      </c>
      <c r="E222">
        <f t="shared" si="18"/>
        <v>33</v>
      </c>
      <c r="F222">
        <f t="shared" si="18"/>
        <v>33</v>
      </c>
      <c r="G222">
        <f t="shared" si="18"/>
        <v>33</v>
      </c>
      <c r="H222">
        <f t="shared" si="18"/>
        <v>33</v>
      </c>
      <c r="I222">
        <f t="shared" si="18"/>
        <v>33</v>
      </c>
      <c r="J222" s="12" t="s">
        <v>256</v>
      </c>
      <c r="K222" s="14" t="s">
        <v>1060</v>
      </c>
      <c r="L222" s="29"/>
      <c r="M222" s="14">
        <f>INDEX('Pivot Analysis'!A:B,MATCH(J222,'Pivot Analysis'!B:B,0),1)</f>
        <v>33</v>
      </c>
      <c r="N222" s="14" t="e">
        <f>INDEX(Cloc!E:F,MATCH(J222,Cloc!F:F,0),1)</f>
        <v>#N/A</v>
      </c>
      <c r="O222" s="14">
        <f t="shared" si="17"/>
        <v>33</v>
      </c>
      <c r="P222" s="14">
        <f>O222/Q222</f>
        <v>33</v>
      </c>
      <c r="Q222">
        <f>MAX(1,SUMPRODUCT($R$1:$AD$1,R222:AD222))</f>
        <v>1</v>
      </c>
    </row>
    <row r="223" spans="1:17" x14ac:dyDescent="0.25">
      <c r="A223" s="25" t="str">
        <f t="shared" si="19"/>
        <v>l10n_gcc_pos;base.group_user;33;33;33;33;33;33;33;33</v>
      </c>
      <c r="B223">
        <f t="shared" si="16"/>
        <v>33</v>
      </c>
      <c r="C223">
        <f t="shared" si="18"/>
        <v>33</v>
      </c>
      <c r="D223">
        <f t="shared" si="18"/>
        <v>33</v>
      </c>
      <c r="E223">
        <f t="shared" si="18"/>
        <v>33</v>
      </c>
      <c r="F223">
        <f t="shared" si="18"/>
        <v>33</v>
      </c>
      <c r="G223">
        <f t="shared" si="18"/>
        <v>33</v>
      </c>
      <c r="H223">
        <f t="shared" si="18"/>
        <v>33</v>
      </c>
      <c r="I223">
        <f t="shared" si="18"/>
        <v>33</v>
      </c>
      <c r="J223" s="12" t="s">
        <v>257</v>
      </c>
      <c r="K223" s="14" t="s">
        <v>1060</v>
      </c>
      <c r="L223" s="29"/>
      <c r="M223" s="14">
        <f>INDEX('Pivot Analysis'!A:B,MATCH(J223,'Pivot Analysis'!B:B,0),1)</f>
        <v>33</v>
      </c>
      <c r="N223" s="14" t="e">
        <f>INDEX(Cloc!E:F,MATCH(J223,Cloc!F:F,0),1)</f>
        <v>#N/A</v>
      </c>
      <c r="O223" s="14">
        <f t="shared" si="17"/>
        <v>33</v>
      </c>
      <c r="P223" s="14">
        <f>O223/Q223</f>
        <v>33</v>
      </c>
      <c r="Q223">
        <f>MAX(1,SUMPRODUCT($R$1:$AD$1,R223:AD223))</f>
        <v>1</v>
      </c>
    </row>
    <row r="224" spans="1:17" x14ac:dyDescent="0.25">
      <c r="A224" s="25" t="str">
        <f t="shared" si="19"/>
        <v>l10n_generic_coa;base.group_user;0;0;0;0;0;0;0;0</v>
      </c>
      <c r="B224">
        <f t="shared" si="16"/>
        <v>0</v>
      </c>
      <c r="C224">
        <f t="shared" si="18"/>
        <v>0</v>
      </c>
      <c r="D224">
        <f t="shared" si="18"/>
        <v>0</v>
      </c>
      <c r="E224">
        <f t="shared" si="18"/>
        <v>0</v>
      </c>
      <c r="F224">
        <f t="shared" si="18"/>
        <v>0</v>
      </c>
      <c r="G224">
        <f t="shared" si="18"/>
        <v>0</v>
      </c>
      <c r="H224">
        <f t="shared" si="18"/>
        <v>0</v>
      </c>
      <c r="I224">
        <f t="shared" si="18"/>
        <v>0</v>
      </c>
      <c r="J224" s="12" t="s">
        <v>258</v>
      </c>
      <c r="K224" s="14" t="s">
        <v>1060</v>
      </c>
      <c r="L224" s="29"/>
      <c r="M224" s="14">
        <f>INDEX('Pivot Analysis'!A:B,MATCH(J224,'Pivot Analysis'!B:B,0),1)</f>
        <v>0</v>
      </c>
      <c r="N224" s="14" t="e">
        <f>INDEX(Cloc!E:F,MATCH(J224,Cloc!F:F,0),1)</f>
        <v>#N/A</v>
      </c>
      <c r="O224" s="14">
        <f t="shared" si="17"/>
        <v>0</v>
      </c>
      <c r="P224" s="14">
        <f>O224/Q224</f>
        <v>0</v>
      </c>
      <c r="Q224">
        <f>MAX(1,SUMPRODUCT($R$1:$AD$1,R224:AD224))</f>
        <v>1</v>
      </c>
    </row>
    <row r="225" spans="1:26" x14ac:dyDescent="0.25">
      <c r="A225" s="25" t="str">
        <f t="shared" si="19"/>
        <v>l10n_gn;base.group_user;30;30;30;30;30;30;30;30</v>
      </c>
      <c r="B225">
        <f t="shared" si="16"/>
        <v>30</v>
      </c>
      <c r="C225">
        <f t="shared" si="18"/>
        <v>30</v>
      </c>
      <c r="D225">
        <f t="shared" si="18"/>
        <v>30</v>
      </c>
      <c r="E225">
        <f t="shared" si="18"/>
        <v>30</v>
      </c>
      <c r="F225">
        <f t="shared" si="18"/>
        <v>30</v>
      </c>
      <c r="G225">
        <f t="shared" si="18"/>
        <v>30</v>
      </c>
      <c r="H225">
        <f t="shared" si="18"/>
        <v>30</v>
      </c>
      <c r="I225">
        <f t="shared" si="18"/>
        <v>30</v>
      </c>
      <c r="J225" s="12" t="s">
        <v>864</v>
      </c>
      <c r="K225" s="14" t="s">
        <v>1060</v>
      </c>
      <c r="L225" s="29"/>
      <c r="M225" s="14">
        <f>INDEX('Pivot Analysis'!A:B,MATCH(J225,'Pivot Analysis'!B:B,0),1)</f>
        <v>30</v>
      </c>
      <c r="N225" s="14" t="e">
        <f>INDEX(Cloc!E:F,MATCH(J225,Cloc!F:F,0),1)</f>
        <v>#N/A</v>
      </c>
      <c r="O225" s="14">
        <f t="shared" si="17"/>
        <v>30</v>
      </c>
      <c r="P225" s="14">
        <f>O225/Q225</f>
        <v>30</v>
      </c>
      <c r="Q225">
        <f>MAX(1,SUMPRODUCT($R$1:$AD$1,R225:AD225))</f>
        <v>1</v>
      </c>
    </row>
    <row r="226" spans="1:26" x14ac:dyDescent="0.25">
      <c r="A226" s="25" t="str">
        <f t="shared" si="19"/>
        <v>l10n_gq;base.group_user;30;30;30;30;30;30;30;30</v>
      </c>
      <c r="B226">
        <f t="shared" si="16"/>
        <v>30</v>
      </c>
      <c r="C226">
        <f t="shared" si="18"/>
        <v>30</v>
      </c>
      <c r="D226">
        <f t="shared" si="18"/>
        <v>30</v>
      </c>
      <c r="E226">
        <f t="shared" si="18"/>
        <v>30</v>
      </c>
      <c r="F226">
        <f t="shared" si="18"/>
        <v>30</v>
      </c>
      <c r="G226">
        <f t="shared" si="18"/>
        <v>30</v>
      </c>
      <c r="H226">
        <f t="shared" si="18"/>
        <v>30</v>
      </c>
      <c r="I226">
        <f t="shared" si="18"/>
        <v>30</v>
      </c>
      <c r="J226" s="12" t="s">
        <v>865</v>
      </c>
      <c r="K226" s="14" t="s">
        <v>1060</v>
      </c>
      <c r="L226" s="29"/>
      <c r="M226" s="14">
        <f>INDEX('Pivot Analysis'!A:B,MATCH(J226,'Pivot Analysis'!B:B,0),1)</f>
        <v>30</v>
      </c>
      <c r="N226" s="14" t="e">
        <f>INDEX(Cloc!E:F,MATCH(J226,Cloc!F:F,0),1)</f>
        <v>#N/A</v>
      </c>
      <c r="O226" s="14">
        <f t="shared" si="17"/>
        <v>30</v>
      </c>
      <c r="P226" s="14">
        <f>O226/Q226</f>
        <v>30</v>
      </c>
      <c r="Q226">
        <f>MAX(1,SUMPRODUCT($R$1:$AD$1,R226:AD226))</f>
        <v>1</v>
      </c>
    </row>
    <row r="227" spans="1:26" x14ac:dyDescent="0.25">
      <c r="A227" s="25" t="str">
        <f t="shared" si="19"/>
        <v>l10n_gr;base.group_user;432;432;432;432;432;432;432;432</v>
      </c>
      <c r="B227">
        <f t="shared" si="16"/>
        <v>432</v>
      </c>
      <c r="C227">
        <f t="shared" si="18"/>
        <v>432</v>
      </c>
      <c r="D227">
        <f t="shared" si="18"/>
        <v>432</v>
      </c>
      <c r="E227">
        <f t="shared" si="18"/>
        <v>432</v>
      </c>
      <c r="F227">
        <f t="shared" si="18"/>
        <v>432</v>
      </c>
      <c r="G227">
        <f t="shared" si="18"/>
        <v>432</v>
      </c>
      <c r="H227">
        <f t="shared" si="18"/>
        <v>432</v>
      </c>
      <c r="I227">
        <f t="shared" si="18"/>
        <v>432</v>
      </c>
      <c r="J227" s="12" t="s">
        <v>259</v>
      </c>
      <c r="K227" s="14" t="s">
        <v>1060</v>
      </c>
      <c r="L227" s="29"/>
      <c r="M227" s="14">
        <f>INDEX('Pivot Analysis'!A:B,MATCH(J227,'Pivot Analysis'!B:B,0),1)</f>
        <v>432</v>
      </c>
      <c r="N227" s="14" t="e">
        <f>INDEX(Cloc!E:F,MATCH(J227,Cloc!F:F,0),1)</f>
        <v>#N/A</v>
      </c>
      <c r="O227" s="14">
        <f t="shared" si="17"/>
        <v>432</v>
      </c>
      <c r="P227" s="14">
        <f>O227/Q227</f>
        <v>432</v>
      </c>
      <c r="Q227">
        <f>MAX(1,SUMPRODUCT($R$1:$AD$1,R227:AD227))</f>
        <v>1</v>
      </c>
    </row>
    <row r="228" spans="1:26" x14ac:dyDescent="0.25">
      <c r="A228" s="25" t="str">
        <f t="shared" si="19"/>
        <v>l10n_gt;base.group_user;45;45;45;45;45;45;45;45</v>
      </c>
      <c r="B228">
        <f t="shared" si="16"/>
        <v>45</v>
      </c>
      <c r="C228">
        <f t="shared" si="18"/>
        <v>45</v>
      </c>
      <c r="D228">
        <f t="shared" si="18"/>
        <v>45</v>
      </c>
      <c r="E228">
        <f t="shared" si="18"/>
        <v>45</v>
      </c>
      <c r="F228">
        <f t="shared" si="18"/>
        <v>45</v>
      </c>
      <c r="G228">
        <f t="shared" si="18"/>
        <v>45</v>
      </c>
      <c r="H228">
        <f t="shared" si="18"/>
        <v>45</v>
      </c>
      <c r="I228">
        <f t="shared" si="18"/>
        <v>45</v>
      </c>
      <c r="J228" s="12" t="s">
        <v>262</v>
      </c>
      <c r="K228" s="14" t="s">
        <v>1060</v>
      </c>
      <c r="L228" s="29"/>
      <c r="M228" s="14">
        <f>INDEX('Pivot Analysis'!A:B,MATCH(J228,'Pivot Analysis'!B:B,0),1)</f>
        <v>45</v>
      </c>
      <c r="N228" s="14" t="e">
        <f>INDEX(Cloc!E:F,MATCH(J228,Cloc!F:F,0),1)</f>
        <v>#N/A</v>
      </c>
      <c r="O228" s="14">
        <f t="shared" si="17"/>
        <v>45</v>
      </c>
      <c r="P228" s="14">
        <f>O228/Q228</f>
        <v>45</v>
      </c>
      <c r="Q228">
        <f>MAX(1,SUMPRODUCT($R$1:$AD$1,R228:AD228))</f>
        <v>1</v>
      </c>
    </row>
    <row r="229" spans="1:26" x14ac:dyDescent="0.25">
      <c r="A229" s="25" t="str">
        <f t="shared" si="19"/>
        <v>l10n_gw;base.group_user;30;30;30;30;30;30;30;30</v>
      </c>
      <c r="B229">
        <f t="shared" si="16"/>
        <v>30</v>
      </c>
      <c r="C229">
        <f t="shared" si="18"/>
        <v>30</v>
      </c>
      <c r="D229">
        <f t="shared" si="18"/>
        <v>30</v>
      </c>
      <c r="E229">
        <f t="shared" si="18"/>
        <v>30</v>
      </c>
      <c r="F229">
        <f t="shared" si="18"/>
        <v>30</v>
      </c>
      <c r="G229">
        <f t="shared" si="18"/>
        <v>30</v>
      </c>
      <c r="H229">
        <f t="shared" si="18"/>
        <v>30</v>
      </c>
      <c r="I229">
        <f t="shared" si="18"/>
        <v>30</v>
      </c>
      <c r="J229" s="12" t="s">
        <v>866</v>
      </c>
      <c r="K229" s="14" t="s">
        <v>1060</v>
      </c>
      <c r="L229" s="29"/>
      <c r="M229" s="14">
        <f>INDEX('Pivot Analysis'!A:B,MATCH(J229,'Pivot Analysis'!B:B,0),1)</f>
        <v>30</v>
      </c>
      <c r="N229" s="14" t="e">
        <f>INDEX(Cloc!E:F,MATCH(J229,Cloc!F:F,0),1)</f>
        <v>#N/A</v>
      </c>
      <c r="O229" s="14">
        <f t="shared" si="17"/>
        <v>30</v>
      </c>
      <c r="P229" s="14">
        <f>O229/Q229</f>
        <v>30</v>
      </c>
      <c r="Q229">
        <f>MAX(1,SUMPRODUCT($R$1:$AD$1,R229:AD229))</f>
        <v>1</v>
      </c>
    </row>
    <row r="230" spans="1:26" x14ac:dyDescent="0.25">
      <c r="A230" s="25" t="str">
        <f t="shared" si="19"/>
        <v>l10n_hk;base.group_user;66;66;66;66;66;66;66;66</v>
      </c>
      <c r="B230">
        <f t="shared" si="16"/>
        <v>66</v>
      </c>
      <c r="C230">
        <f t="shared" si="18"/>
        <v>66</v>
      </c>
      <c r="D230">
        <f t="shared" si="18"/>
        <v>66</v>
      </c>
      <c r="E230">
        <f t="shared" si="18"/>
        <v>66</v>
      </c>
      <c r="F230">
        <f t="shared" si="18"/>
        <v>66</v>
      </c>
      <c r="G230">
        <f t="shared" si="18"/>
        <v>66</v>
      </c>
      <c r="H230">
        <f t="shared" si="18"/>
        <v>66</v>
      </c>
      <c r="I230">
        <f t="shared" si="18"/>
        <v>66</v>
      </c>
      <c r="J230" s="12" t="s">
        <v>265</v>
      </c>
      <c r="K230" s="14" t="s">
        <v>1060</v>
      </c>
      <c r="L230" s="29"/>
      <c r="M230" s="14">
        <f>INDEX('Pivot Analysis'!A:B,MATCH(J230,'Pivot Analysis'!B:B,0),1)</f>
        <v>66</v>
      </c>
      <c r="N230" s="14" t="e">
        <f>INDEX(Cloc!E:F,MATCH(J230,Cloc!F:F,0),1)</f>
        <v>#N/A</v>
      </c>
      <c r="O230" s="14">
        <f t="shared" si="17"/>
        <v>66</v>
      </c>
      <c r="P230" s="14">
        <f>O230/Q230</f>
        <v>66</v>
      </c>
      <c r="Q230">
        <f>MAX(1,SUMPRODUCT($R$1:$AD$1,R230:AD230))</f>
        <v>1</v>
      </c>
    </row>
    <row r="231" spans="1:26" x14ac:dyDescent="0.25">
      <c r="A231" s="25" t="str">
        <f t="shared" si="19"/>
        <v>l10n_hn;base.group_user;45;45;45;45;45;45;45;45</v>
      </c>
      <c r="B231">
        <f t="shared" si="16"/>
        <v>45</v>
      </c>
      <c r="C231">
        <f t="shared" si="18"/>
        <v>45</v>
      </c>
      <c r="D231">
        <f t="shared" si="18"/>
        <v>45</v>
      </c>
      <c r="E231">
        <f t="shared" si="18"/>
        <v>45</v>
      </c>
      <c r="F231">
        <f t="shared" si="18"/>
        <v>45</v>
      </c>
      <c r="G231">
        <f t="shared" si="18"/>
        <v>45</v>
      </c>
      <c r="H231">
        <f t="shared" si="18"/>
        <v>45</v>
      </c>
      <c r="I231">
        <f t="shared" si="18"/>
        <v>45</v>
      </c>
      <c r="J231" s="12" t="s">
        <v>267</v>
      </c>
      <c r="K231" s="14" t="s">
        <v>1060</v>
      </c>
      <c r="L231" s="29"/>
      <c r="M231" s="14">
        <f>INDEX('Pivot Analysis'!A:B,MATCH(J231,'Pivot Analysis'!B:B,0),1)</f>
        <v>45</v>
      </c>
      <c r="N231" s="14" t="e">
        <f>INDEX(Cloc!E:F,MATCH(J231,Cloc!F:F,0),1)</f>
        <v>#N/A</v>
      </c>
      <c r="O231" s="14">
        <f t="shared" si="17"/>
        <v>45</v>
      </c>
      <c r="P231" s="14">
        <f>O231/Q231</f>
        <v>45</v>
      </c>
      <c r="Q231">
        <f>MAX(1,SUMPRODUCT($R$1:$AD$1,R231:AD231))</f>
        <v>1</v>
      </c>
    </row>
    <row r="232" spans="1:26" x14ac:dyDescent="0.25">
      <c r="A232" s="25" t="str">
        <f t="shared" si="19"/>
        <v>l10n_hr;base.group_user;888;888;888;888;888;888;888;888</v>
      </c>
      <c r="B232">
        <f t="shared" si="16"/>
        <v>887.99999999999977</v>
      </c>
      <c r="C232">
        <f t="shared" si="18"/>
        <v>887.99999999999977</v>
      </c>
      <c r="D232">
        <f t="shared" si="18"/>
        <v>887.99999999999977</v>
      </c>
      <c r="E232">
        <f t="shared" si="18"/>
        <v>887.99999999999977</v>
      </c>
      <c r="F232">
        <f t="shared" si="18"/>
        <v>887.99999999999977</v>
      </c>
      <c r="G232">
        <f t="shared" si="18"/>
        <v>887.99999999999977</v>
      </c>
      <c r="H232">
        <f t="shared" si="18"/>
        <v>887.99999999999977</v>
      </c>
      <c r="I232">
        <f t="shared" si="18"/>
        <v>887.99999999999977</v>
      </c>
      <c r="J232" s="12" t="s">
        <v>269</v>
      </c>
      <c r="K232" s="14" t="s">
        <v>1060</v>
      </c>
      <c r="L232" s="29"/>
      <c r="M232" s="14">
        <f>INDEX('Pivot Analysis'!A:B,MATCH(J232,'Pivot Analysis'!B:B,0),1)</f>
        <v>887.99999999999977</v>
      </c>
      <c r="N232" s="14" t="e">
        <f>INDEX(Cloc!E:F,MATCH(J232,Cloc!F:F,0),1)</f>
        <v>#N/A</v>
      </c>
      <c r="O232" s="14">
        <f t="shared" si="17"/>
        <v>887.99999999999977</v>
      </c>
      <c r="P232" s="14">
        <f>O232/Q232</f>
        <v>887.99999999999977</v>
      </c>
      <c r="Q232">
        <f>MAX(1,SUMPRODUCT($R$1:$AD$1,R232:AD232))</f>
        <v>1</v>
      </c>
    </row>
    <row r="233" spans="1:26" x14ac:dyDescent="0.25">
      <c r="A233" s="25" t="str">
        <f t="shared" si="19"/>
        <v>l10n_hr_euro;base.group_user;0;0;0;0;0;0;0;0</v>
      </c>
      <c r="B233">
        <f t="shared" si="16"/>
        <v>0</v>
      </c>
      <c r="C233">
        <f t="shared" si="18"/>
        <v>0</v>
      </c>
      <c r="D233">
        <f t="shared" si="18"/>
        <v>0</v>
      </c>
      <c r="E233">
        <f t="shared" si="18"/>
        <v>0</v>
      </c>
      <c r="F233">
        <f t="shared" si="18"/>
        <v>0</v>
      </c>
      <c r="G233">
        <f t="shared" si="18"/>
        <v>0</v>
      </c>
      <c r="H233">
        <f t="shared" si="18"/>
        <v>0</v>
      </c>
      <c r="I233">
        <f t="shared" si="18"/>
        <v>0</v>
      </c>
      <c r="J233" s="12" t="s">
        <v>272</v>
      </c>
      <c r="K233" s="14" t="s">
        <v>1060</v>
      </c>
      <c r="L233" s="29"/>
      <c r="M233" s="14">
        <f>INDEX('Pivot Analysis'!A:B,MATCH(J233,'Pivot Analysis'!B:B,0),1)</f>
        <v>0</v>
      </c>
      <c r="N233" s="14" t="e">
        <f>INDEX(Cloc!E:F,MATCH(J233,Cloc!F:F,0),1)</f>
        <v>#N/A</v>
      </c>
      <c r="O233" s="14">
        <f t="shared" si="17"/>
        <v>0</v>
      </c>
      <c r="P233" s="14">
        <f>O233/Q233</f>
        <v>0</v>
      </c>
      <c r="Q233">
        <f>MAX(1,SUMPRODUCT($R$1:$AD$1,R233:AD233))</f>
        <v>1</v>
      </c>
    </row>
    <row r="234" spans="1:26" x14ac:dyDescent="0.25">
      <c r="A234" s="25" t="str">
        <f t="shared" si="19"/>
        <v>l10n_hr_kuna;base.group_user;30;30;30;30;30;30;30;30</v>
      </c>
      <c r="B234">
        <f t="shared" si="16"/>
        <v>30</v>
      </c>
      <c r="C234">
        <f t="shared" si="18"/>
        <v>30</v>
      </c>
      <c r="D234">
        <f t="shared" si="18"/>
        <v>30</v>
      </c>
      <c r="E234">
        <f t="shared" si="18"/>
        <v>30</v>
      </c>
      <c r="F234">
        <f t="shared" si="18"/>
        <v>30</v>
      </c>
      <c r="G234">
        <f t="shared" si="18"/>
        <v>30</v>
      </c>
      <c r="H234">
        <f t="shared" si="18"/>
        <v>30</v>
      </c>
      <c r="I234">
        <f t="shared" si="18"/>
        <v>30</v>
      </c>
      <c r="J234" s="12" t="s">
        <v>867</v>
      </c>
      <c r="K234" s="14" t="s">
        <v>1060</v>
      </c>
      <c r="L234" s="29"/>
      <c r="M234" s="14">
        <f>INDEX('Pivot Analysis'!A:B,MATCH(J234,'Pivot Analysis'!B:B,0),1)</f>
        <v>30</v>
      </c>
      <c r="N234" s="14" t="e">
        <f>INDEX(Cloc!E:F,MATCH(J234,Cloc!F:F,0),1)</f>
        <v>#N/A</v>
      </c>
      <c r="O234" s="14">
        <f t="shared" si="17"/>
        <v>30</v>
      </c>
      <c r="P234" s="14">
        <f>O234/Q234</f>
        <v>30</v>
      </c>
      <c r="Q234">
        <f>MAX(1,SUMPRODUCT($R$1:$AD$1,R234:AD234))</f>
        <v>1</v>
      </c>
    </row>
    <row r="235" spans="1:26" x14ac:dyDescent="0.25">
      <c r="A235" s="25" t="str">
        <f t="shared" si="19"/>
        <v>l10n_hu;base.group_user;186;186;186;186;186;186;186;186</v>
      </c>
      <c r="B235">
        <f t="shared" si="16"/>
        <v>185.99999999999997</v>
      </c>
      <c r="C235">
        <f t="shared" si="16"/>
        <v>185.99999999999997</v>
      </c>
      <c r="D235">
        <f t="shared" si="16"/>
        <v>185.99999999999997</v>
      </c>
      <c r="E235">
        <f t="shared" si="16"/>
        <v>185.99999999999997</v>
      </c>
      <c r="F235">
        <f t="shared" si="16"/>
        <v>185.99999999999997</v>
      </c>
      <c r="G235">
        <f t="shared" si="16"/>
        <v>185.99999999999997</v>
      </c>
      <c r="H235">
        <f t="shared" si="16"/>
        <v>185.99999999999997</v>
      </c>
      <c r="I235">
        <f t="shared" si="16"/>
        <v>185.99999999999997</v>
      </c>
      <c r="J235" s="12" t="s">
        <v>274</v>
      </c>
      <c r="K235" s="14" t="s">
        <v>1060</v>
      </c>
      <c r="L235" s="29"/>
      <c r="M235" s="14">
        <f>INDEX('Pivot Analysis'!A:B,MATCH(J235,'Pivot Analysis'!B:B,0),1)</f>
        <v>185.99999999999997</v>
      </c>
      <c r="N235" s="14" t="e">
        <f>INDEX(Cloc!E:F,MATCH(J235,Cloc!F:F,0),1)</f>
        <v>#N/A</v>
      </c>
      <c r="O235" s="14">
        <f t="shared" si="17"/>
        <v>185.99999999999997</v>
      </c>
      <c r="P235" s="14">
        <f>O235/Q235</f>
        <v>185.99999999999997</v>
      </c>
      <c r="Q235">
        <f>MAX(1,SUMPRODUCT($R$1:$AD$1,R235:AD235))</f>
        <v>1</v>
      </c>
    </row>
    <row r="236" spans="1:26" x14ac:dyDescent="0.25">
      <c r="A236" s="25" t="str">
        <f t="shared" si="19"/>
        <v>l10n_hu_edi;base.group_user;30;30;30;30;30;30;30;30</v>
      </c>
      <c r="B236">
        <f t="shared" si="16"/>
        <v>30</v>
      </c>
      <c r="C236">
        <f t="shared" si="16"/>
        <v>30</v>
      </c>
      <c r="D236">
        <f t="shared" si="16"/>
        <v>30</v>
      </c>
      <c r="E236">
        <f t="shared" si="16"/>
        <v>30</v>
      </c>
      <c r="F236">
        <f t="shared" si="16"/>
        <v>30</v>
      </c>
      <c r="G236">
        <f t="shared" si="16"/>
        <v>30</v>
      </c>
      <c r="H236">
        <f t="shared" si="16"/>
        <v>30</v>
      </c>
      <c r="I236">
        <f t="shared" si="16"/>
        <v>30</v>
      </c>
      <c r="J236" s="12" t="s">
        <v>868</v>
      </c>
      <c r="K236" s="14" t="s">
        <v>1060</v>
      </c>
      <c r="L236" s="29"/>
      <c r="M236" s="14">
        <f>INDEX('Pivot Analysis'!A:B,MATCH(J236,'Pivot Analysis'!B:B,0),1)</f>
        <v>30</v>
      </c>
      <c r="N236" s="14" t="e">
        <f>INDEX(Cloc!E:F,MATCH(J236,Cloc!F:F,0),1)</f>
        <v>#N/A</v>
      </c>
      <c r="O236" s="14">
        <f t="shared" si="17"/>
        <v>30</v>
      </c>
      <c r="P236" s="14">
        <f>O236/Q236</f>
        <v>30</v>
      </c>
      <c r="Q236">
        <f>MAX(1,SUMPRODUCT($R$1:$AD$1,R236:AD236))</f>
        <v>1</v>
      </c>
    </row>
    <row r="237" spans="1:26" x14ac:dyDescent="0.25">
      <c r="A237" s="25" t="str">
        <f t="shared" si="19"/>
        <v>l10n_id;base.group_user;88,5;88,5;88,5;88,5;88,5;88,5;88,5;88,5</v>
      </c>
      <c r="B237">
        <f t="shared" si="16"/>
        <v>88.5</v>
      </c>
      <c r="C237">
        <f t="shared" si="16"/>
        <v>88.5</v>
      </c>
      <c r="D237">
        <f t="shared" si="16"/>
        <v>88.5</v>
      </c>
      <c r="E237">
        <f t="shared" si="16"/>
        <v>88.5</v>
      </c>
      <c r="F237">
        <f t="shared" si="16"/>
        <v>88.5</v>
      </c>
      <c r="G237">
        <f t="shared" si="16"/>
        <v>88.5</v>
      </c>
      <c r="H237">
        <f t="shared" si="16"/>
        <v>88.5</v>
      </c>
      <c r="I237">
        <f t="shared" si="16"/>
        <v>88.5</v>
      </c>
      <c r="J237" s="12" t="s">
        <v>277</v>
      </c>
      <c r="K237" s="14" t="s">
        <v>1060</v>
      </c>
      <c r="L237" s="29"/>
      <c r="M237" s="14">
        <f>INDEX('Pivot Analysis'!A:B,MATCH(J237,'Pivot Analysis'!B:B,0),1)</f>
        <v>88.5</v>
      </c>
      <c r="N237" s="14" t="e">
        <f>INDEX(Cloc!E:F,MATCH(J237,Cloc!F:F,0),1)</f>
        <v>#N/A</v>
      </c>
      <c r="O237" s="14">
        <f t="shared" si="17"/>
        <v>88.5</v>
      </c>
      <c r="P237" s="14">
        <f>O237/Q237</f>
        <v>88.5</v>
      </c>
      <c r="Q237">
        <f>MAX(1,SUMPRODUCT($R$1:$AD$1,R237:AD237))</f>
        <v>1</v>
      </c>
    </row>
    <row r="238" spans="1:26" x14ac:dyDescent="0.25">
      <c r="A238" s="25" t="str">
        <f t="shared" si="19"/>
        <v>l10n_id_efaktur;base.group_user;33,3;33,3;33,3;33,3;33,3;33,3;33,3;33,3</v>
      </c>
      <c r="B238">
        <f t="shared" si="16"/>
        <v>33.299999999999997</v>
      </c>
      <c r="C238">
        <f t="shared" si="16"/>
        <v>33.299999999999997</v>
      </c>
      <c r="D238">
        <f t="shared" si="16"/>
        <v>33.299999999999997</v>
      </c>
      <c r="E238">
        <f t="shared" si="16"/>
        <v>33.299999999999997</v>
      </c>
      <c r="F238">
        <f t="shared" si="16"/>
        <v>33.299999999999997</v>
      </c>
      <c r="G238">
        <f t="shared" si="16"/>
        <v>33.299999999999997</v>
      </c>
      <c r="H238">
        <f t="shared" si="16"/>
        <v>33.299999999999997</v>
      </c>
      <c r="I238">
        <f t="shared" si="16"/>
        <v>33.299999999999997</v>
      </c>
      <c r="J238" s="12" t="s">
        <v>279</v>
      </c>
      <c r="K238" s="14" t="s">
        <v>1060</v>
      </c>
      <c r="L238" s="29"/>
      <c r="M238" s="14">
        <f>INDEX('Pivot Analysis'!A:B,MATCH(J238,'Pivot Analysis'!B:B,0),1)</f>
        <v>33.299999999999997</v>
      </c>
      <c r="N238" s="14" t="e">
        <f>INDEX(Cloc!E:F,MATCH(J238,Cloc!F:F,0),1)</f>
        <v>#N/A</v>
      </c>
      <c r="O238" s="14">
        <f t="shared" si="17"/>
        <v>33.299999999999997</v>
      </c>
      <c r="P238" s="14">
        <f>O238/Q238</f>
        <v>33.299999999999997</v>
      </c>
      <c r="Q238">
        <f>MAX(1,SUMPRODUCT($R$1:$AD$1,R238:AD238))</f>
        <v>1</v>
      </c>
    </row>
    <row r="239" spans="1:26" x14ac:dyDescent="0.25">
      <c r="A239" s="25" t="str">
        <f t="shared" si="19"/>
        <v>l10n_id_efaktur_coretax;base.group_user;0;0;0;0;0;0;0;0</v>
      </c>
      <c r="B239">
        <f t="shared" si="16"/>
        <v>0</v>
      </c>
      <c r="C239">
        <f t="shared" si="16"/>
        <v>0</v>
      </c>
      <c r="D239">
        <f t="shared" si="16"/>
        <v>0</v>
      </c>
      <c r="E239">
        <f t="shared" si="16"/>
        <v>0</v>
      </c>
      <c r="F239">
        <f t="shared" si="16"/>
        <v>0</v>
      </c>
      <c r="G239">
        <f t="shared" si="16"/>
        <v>0</v>
      </c>
      <c r="H239">
        <f t="shared" si="16"/>
        <v>0</v>
      </c>
      <c r="I239">
        <f t="shared" si="16"/>
        <v>0</v>
      </c>
      <c r="J239" s="12" t="s">
        <v>871</v>
      </c>
      <c r="K239" s="14" t="s">
        <v>1060</v>
      </c>
      <c r="L239" s="29"/>
      <c r="M239" s="14">
        <f>INDEX('Pivot Analysis'!A:B,MATCH(J239,'Pivot Analysis'!B:B,0),1)</f>
        <v>0</v>
      </c>
      <c r="N239" s="14" t="e">
        <f>INDEX(Cloc!E:F,MATCH(J239,Cloc!F:F,0),1)</f>
        <v>#N/A</v>
      </c>
      <c r="O239" s="14">
        <f t="shared" si="17"/>
        <v>0</v>
      </c>
      <c r="P239" s="14">
        <f>O239/Q239</f>
        <v>0</v>
      </c>
      <c r="Q239">
        <f>MAX(1,SUMPRODUCT($R$1:$AD$1,R239:AD239))</f>
        <v>1</v>
      </c>
    </row>
    <row r="240" spans="1:26" x14ac:dyDescent="0.25">
      <c r="A240" s="25" t="str">
        <f t="shared" si="19"/>
        <v>l10n_id_pos;base.group_user;1000;1000;1000;1000;1000;1000;1000;1000</v>
      </c>
      <c r="B240">
        <f t="shared" si="16"/>
        <v>1000</v>
      </c>
      <c r="C240">
        <f t="shared" si="16"/>
        <v>1000</v>
      </c>
      <c r="D240">
        <f t="shared" si="16"/>
        <v>1000</v>
      </c>
      <c r="E240">
        <f t="shared" si="16"/>
        <v>1000</v>
      </c>
      <c r="F240">
        <f t="shared" si="16"/>
        <v>1000</v>
      </c>
      <c r="G240">
        <f t="shared" si="16"/>
        <v>1000</v>
      </c>
      <c r="H240">
        <f t="shared" si="16"/>
        <v>1000</v>
      </c>
      <c r="I240">
        <f t="shared" si="16"/>
        <v>1000</v>
      </c>
      <c r="J240" s="14" t="s">
        <v>1093</v>
      </c>
      <c r="K240" s="14" t="s">
        <v>1060</v>
      </c>
      <c r="L240" s="29"/>
      <c r="M240" s="14" t="e">
        <f>INDEX('Pivot Analysis'!A:B,MATCH(J240,'Pivot Analysis'!B:B,0),1)</f>
        <v>#N/A</v>
      </c>
      <c r="N240" s="14" t="e">
        <f>INDEX(Cloc!E:F,MATCH(J240,Cloc!F:F,0),1)</f>
        <v>#N/A</v>
      </c>
      <c r="O240" s="14">
        <f t="shared" si="17"/>
        <v>1000</v>
      </c>
      <c r="P240" s="14">
        <f>O240/Q240</f>
        <v>1000</v>
      </c>
      <c r="Q240">
        <f>MAX(1,SUMPRODUCT($R$1:$AD$1,R240:AD240))</f>
        <v>1</v>
      </c>
      <c r="Z240">
        <v>1</v>
      </c>
    </row>
    <row r="241" spans="1:26" x14ac:dyDescent="0.25">
      <c r="A241" s="25" t="str">
        <f t="shared" si="19"/>
        <v>l10n_ie;base.group_user;75;75;75;75;75;75;75;75</v>
      </c>
      <c r="B241">
        <f t="shared" si="16"/>
        <v>75</v>
      </c>
      <c r="C241">
        <f t="shared" si="16"/>
        <v>75</v>
      </c>
      <c r="D241">
        <f t="shared" si="16"/>
        <v>75</v>
      </c>
      <c r="E241">
        <f t="shared" si="16"/>
        <v>75</v>
      </c>
      <c r="F241">
        <f t="shared" si="16"/>
        <v>75</v>
      </c>
      <c r="G241">
        <f t="shared" si="16"/>
        <v>75</v>
      </c>
      <c r="H241">
        <f t="shared" si="16"/>
        <v>75</v>
      </c>
      <c r="I241">
        <f t="shared" si="16"/>
        <v>75</v>
      </c>
      <c r="J241" s="12" t="s">
        <v>280</v>
      </c>
      <c r="K241" s="14" t="s">
        <v>1060</v>
      </c>
      <c r="L241" s="29"/>
      <c r="M241" s="14">
        <f>INDEX('Pivot Analysis'!A:B,MATCH(J241,'Pivot Analysis'!B:B,0),1)</f>
        <v>75</v>
      </c>
      <c r="N241" s="14" t="e">
        <f>INDEX(Cloc!E:F,MATCH(J241,Cloc!F:F,0),1)</f>
        <v>#N/A</v>
      </c>
      <c r="O241" s="14">
        <f t="shared" si="17"/>
        <v>75</v>
      </c>
      <c r="P241" s="14">
        <f>O241/Q241</f>
        <v>75</v>
      </c>
      <c r="Q241">
        <f>MAX(1,SUMPRODUCT($R$1:$AD$1,R241:AD241))</f>
        <v>1</v>
      </c>
    </row>
    <row r="242" spans="1:26" x14ac:dyDescent="0.25">
      <c r="A242" s="25" t="str">
        <f t="shared" si="19"/>
        <v>l10n_il;base.group_user;72;72;72;72;72;72;72;72</v>
      </c>
      <c r="B242">
        <f t="shared" si="16"/>
        <v>72</v>
      </c>
      <c r="C242">
        <f t="shared" si="16"/>
        <v>72</v>
      </c>
      <c r="D242">
        <f t="shared" si="16"/>
        <v>72</v>
      </c>
      <c r="E242">
        <f t="shared" si="16"/>
        <v>72</v>
      </c>
      <c r="F242">
        <f t="shared" si="16"/>
        <v>72</v>
      </c>
      <c r="G242">
        <f t="shared" si="16"/>
        <v>72</v>
      </c>
      <c r="H242">
        <f t="shared" si="16"/>
        <v>72</v>
      </c>
      <c r="I242">
        <f t="shared" si="16"/>
        <v>72</v>
      </c>
      <c r="J242" s="12" t="s">
        <v>283</v>
      </c>
      <c r="K242" s="14" t="s">
        <v>1060</v>
      </c>
      <c r="L242" s="29"/>
      <c r="M242" s="14">
        <f>INDEX('Pivot Analysis'!A:B,MATCH(J242,'Pivot Analysis'!B:B,0),1)</f>
        <v>72</v>
      </c>
      <c r="N242" s="14" t="e">
        <f>INDEX(Cloc!E:F,MATCH(J242,Cloc!F:F,0),1)</f>
        <v>#N/A</v>
      </c>
      <c r="O242" s="14">
        <f t="shared" si="17"/>
        <v>72</v>
      </c>
      <c r="P242" s="14">
        <f>O242/Q242</f>
        <v>72</v>
      </c>
      <c r="Q242">
        <f>MAX(1,SUMPRODUCT($R$1:$AD$1,R242:AD242))</f>
        <v>1</v>
      </c>
    </row>
    <row r="243" spans="1:26" x14ac:dyDescent="0.25">
      <c r="A243" s="25" t="str">
        <f t="shared" si="19"/>
        <v>l10n_in;base.group_user;223,8;223,8;223,8;223,8;223,8;223,8;223,8;223,8</v>
      </c>
      <c r="B243">
        <f t="shared" si="16"/>
        <v>223.8</v>
      </c>
      <c r="C243">
        <f t="shared" si="16"/>
        <v>223.8</v>
      </c>
      <c r="D243">
        <f t="shared" si="16"/>
        <v>223.8</v>
      </c>
      <c r="E243">
        <f t="shared" si="16"/>
        <v>223.8</v>
      </c>
      <c r="F243">
        <f t="shared" si="16"/>
        <v>223.8</v>
      </c>
      <c r="G243">
        <f t="shared" si="16"/>
        <v>223.8</v>
      </c>
      <c r="H243">
        <f t="shared" si="16"/>
        <v>223.8</v>
      </c>
      <c r="I243">
        <f t="shared" si="16"/>
        <v>223.8</v>
      </c>
      <c r="J243" s="12" t="s">
        <v>286</v>
      </c>
      <c r="K243" s="14" t="s">
        <v>1060</v>
      </c>
      <c r="L243" s="29"/>
      <c r="M243" s="14">
        <f>INDEX('Pivot Analysis'!A:B,MATCH(J243,'Pivot Analysis'!B:B,0),1)</f>
        <v>223.8</v>
      </c>
      <c r="N243" s="14" t="e">
        <f>INDEX(Cloc!E:F,MATCH(J243,Cloc!F:F,0),1)</f>
        <v>#N/A</v>
      </c>
      <c r="O243" s="14">
        <f t="shared" si="17"/>
        <v>223.8</v>
      </c>
      <c r="P243" s="14">
        <f>O243/Q243</f>
        <v>223.8</v>
      </c>
      <c r="Q243">
        <f>MAX(1,SUMPRODUCT($R$1:$AD$1,R243:AD243))</f>
        <v>1</v>
      </c>
    </row>
    <row r="244" spans="1:26" x14ac:dyDescent="0.25">
      <c r="A244" s="25" t="str">
        <f t="shared" si="19"/>
        <v>l10n_in_edi;base.group_user;4,5;4,5;4,5;4,5;4,5;4,5;4,5;4,5</v>
      </c>
      <c r="B244">
        <f t="shared" si="16"/>
        <v>4.5</v>
      </c>
      <c r="C244">
        <f t="shared" si="16"/>
        <v>4.5</v>
      </c>
      <c r="D244">
        <f t="shared" si="16"/>
        <v>4.5</v>
      </c>
      <c r="E244">
        <f t="shared" si="16"/>
        <v>4.5</v>
      </c>
      <c r="F244">
        <f t="shared" si="16"/>
        <v>4.5</v>
      </c>
      <c r="G244">
        <f t="shared" si="16"/>
        <v>4.5</v>
      </c>
      <c r="H244">
        <f t="shared" si="16"/>
        <v>4.5</v>
      </c>
      <c r="I244">
        <f t="shared" si="16"/>
        <v>4.5</v>
      </c>
      <c r="J244" s="12" t="s">
        <v>288</v>
      </c>
      <c r="K244" s="14" t="s">
        <v>1060</v>
      </c>
      <c r="L244" s="29"/>
      <c r="M244" s="14">
        <f>INDEX('Pivot Analysis'!A:B,MATCH(J244,'Pivot Analysis'!B:B,0),1)</f>
        <v>4.5</v>
      </c>
      <c r="N244" s="14" t="e">
        <f>INDEX(Cloc!E:F,MATCH(J244,Cloc!F:F,0),1)</f>
        <v>#N/A</v>
      </c>
      <c r="O244" s="14">
        <f t="shared" si="17"/>
        <v>4.5</v>
      </c>
      <c r="P244" s="14">
        <f>O244/Q244</f>
        <v>4.5</v>
      </c>
      <c r="Q244">
        <f>MAX(1,SUMPRODUCT($R$1:$AD$1,R244:AD244))</f>
        <v>1</v>
      </c>
    </row>
    <row r="245" spans="1:26" x14ac:dyDescent="0.25">
      <c r="A245" s="25" t="str">
        <f t="shared" si="19"/>
        <v>l10n_in_edi_ewaybill;base.group_user;0;0;0;0;0;0;0;0</v>
      </c>
      <c r="B245">
        <f t="shared" ref="B245:I308" si="20">$P245*MIN($Q245,B$3)</f>
        <v>0</v>
      </c>
      <c r="C245">
        <f t="shared" si="20"/>
        <v>0</v>
      </c>
      <c r="D245">
        <f t="shared" si="20"/>
        <v>0</v>
      </c>
      <c r="E245">
        <f t="shared" si="20"/>
        <v>0</v>
      </c>
      <c r="F245">
        <f t="shared" si="20"/>
        <v>0</v>
      </c>
      <c r="G245">
        <f t="shared" si="20"/>
        <v>0</v>
      </c>
      <c r="H245">
        <f t="shared" si="20"/>
        <v>0</v>
      </c>
      <c r="I245">
        <f t="shared" si="20"/>
        <v>0</v>
      </c>
      <c r="J245" s="12" t="s">
        <v>289</v>
      </c>
      <c r="K245" s="14" t="s">
        <v>1060</v>
      </c>
      <c r="L245" s="29"/>
      <c r="M245" s="14">
        <f>INDEX('Pivot Analysis'!A:B,MATCH(J245,'Pivot Analysis'!B:B,0),1)</f>
        <v>0</v>
      </c>
      <c r="N245" s="14" t="e">
        <f>INDEX(Cloc!E:F,MATCH(J245,Cloc!F:F,0),1)</f>
        <v>#N/A</v>
      </c>
      <c r="O245" s="14">
        <f t="shared" si="17"/>
        <v>0</v>
      </c>
      <c r="P245" s="14">
        <f>O245/Q245</f>
        <v>0</v>
      </c>
      <c r="Q245">
        <f>MAX(1,SUMPRODUCT($R$1:$AD$1,R245:AD245))</f>
        <v>1</v>
      </c>
    </row>
    <row r="246" spans="1:26" x14ac:dyDescent="0.25">
      <c r="A246" s="25" t="str">
        <f t="shared" si="19"/>
        <v>l10n_in_ewaybill_stock;base.group_user;0;0;0;0;0;0;0;0</v>
      </c>
      <c r="B246">
        <f t="shared" si="20"/>
        <v>0</v>
      </c>
      <c r="C246">
        <f t="shared" si="20"/>
        <v>0</v>
      </c>
      <c r="D246">
        <f t="shared" si="20"/>
        <v>0</v>
      </c>
      <c r="E246">
        <f t="shared" si="20"/>
        <v>0</v>
      </c>
      <c r="F246">
        <f t="shared" si="20"/>
        <v>0</v>
      </c>
      <c r="G246">
        <f t="shared" si="20"/>
        <v>0</v>
      </c>
      <c r="H246">
        <f t="shared" si="20"/>
        <v>0</v>
      </c>
      <c r="I246">
        <f t="shared" si="20"/>
        <v>0</v>
      </c>
      <c r="J246" s="12" t="s">
        <v>873</v>
      </c>
      <c r="K246" s="14" t="s">
        <v>1060</v>
      </c>
      <c r="L246" s="29"/>
      <c r="M246" s="14">
        <f>INDEX('Pivot Analysis'!A:B,MATCH(J246,'Pivot Analysis'!B:B,0),1)</f>
        <v>0</v>
      </c>
      <c r="N246" s="14" t="e">
        <f>INDEX(Cloc!E:F,MATCH(J246,Cloc!F:F,0),1)</f>
        <v>#N/A</v>
      </c>
      <c r="O246" s="14">
        <f t="shared" si="17"/>
        <v>0</v>
      </c>
      <c r="P246" s="14">
        <f>O246/Q246</f>
        <v>0</v>
      </c>
      <c r="Q246">
        <f>MAX(1,SUMPRODUCT($R$1:$AD$1,R246:AD246))</f>
        <v>1</v>
      </c>
    </row>
    <row r="247" spans="1:26" x14ac:dyDescent="0.25">
      <c r="A247" s="25" t="str">
        <f t="shared" si="19"/>
        <v>l10n_in_gstin_status;base.group_user;1000;1000;1000;1000;1000;1000;1000;1000</v>
      </c>
      <c r="B247">
        <f t="shared" si="20"/>
        <v>1000</v>
      </c>
      <c r="C247">
        <f t="shared" si="20"/>
        <v>1000</v>
      </c>
      <c r="D247">
        <f t="shared" si="20"/>
        <v>1000</v>
      </c>
      <c r="E247">
        <f t="shared" si="20"/>
        <v>1000</v>
      </c>
      <c r="F247">
        <f t="shared" si="20"/>
        <v>1000</v>
      </c>
      <c r="G247">
        <f t="shared" si="20"/>
        <v>1000</v>
      </c>
      <c r="H247">
        <f t="shared" si="20"/>
        <v>1000</v>
      </c>
      <c r="I247">
        <f t="shared" si="20"/>
        <v>1000</v>
      </c>
      <c r="J247" s="14" t="s">
        <v>1094</v>
      </c>
      <c r="K247" s="14" t="s">
        <v>1060</v>
      </c>
      <c r="L247" s="29"/>
      <c r="M247" s="14" t="e">
        <f>INDEX('Pivot Analysis'!A:B,MATCH(J247,'Pivot Analysis'!B:B,0),1)</f>
        <v>#N/A</v>
      </c>
      <c r="N247" s="14" t="e">
        <f>INDEX(Cloc!E:F,MATCH(J247,Cloc!F:F,0),1)</f>
        <v>#N/A</v>
      </c>
      <c r="O247" s="14">
        <f t="shared" si="17"/>
        <v>1000</v>
      </c>
      <c r="P247" s="14">
        <f>O247/Q247</f>
        <v>1000</v>
      </c>
      <c r="Q247">
        <f>MAX(1,SUMPRODUCT($R$1:$AD$1,R247:AD247))</f>
        <v>1</v>
      </c>
      <c r="Z247">
        <v>1</v>
      </c>
    </row>
    <row r="248" spans="1:26" x14ac:dyDescent="0.25">
      <c r="A248" s="25" t="str">
        <f t="shared" si="19"/>
        <v>l10n_in_hr_holidays;base.group_user;1000;1000;1000;1000;1000;1000;1000;1000</v>
      </c>
      <c r="B248">
        <f t="shared" si="20"/>
        <v>1000</v>
      </c>
      <c r="C248">
        <f t="shared" si="20"/>
        <v>1000</v>
      </c>
      <c r="D248">
        <f t="shared" si="20"/>
        <v>1000</v>
      </c>
      <c r="E248">
        <f t="shared" si="20"/>
        <v>1000</v>
      </c>
      <c r="F248">
        <f t="shared" si="20"/>
        <v>1000</v>
      </c>
      <c r="G248">
        <f t="shared" si="20"/>
        <v>1000</v>
      </c>
      <c r="H248">
        <f t="shared" si="20"/>
        <v>1000</v>
      </c>
      <c r="I248">
        <f t="shared" si="20"/>
        <v>1000</v>
      </c>
      <c r="J248" s="14" t="s">
        <v>1095</v>
      </c>
      <c r="K248" s="14" t="s">
        <v>1060</v>
      </c>
      <c r="L248" s="29"/>
      <c r="M248" s="14" t="e">
        <f>INDEX('Pivot Analysis'!A:B,MATCH(J248,'Pivot Analysis'!B:B,0),1)</f>
        <v>#N/A</v>
      </c>
      <c r="N248" s="14" t="e">
        <f>INDEX(Cloc!E:F,MATCH(J248,Cloc!F:F,0),1)</f>
        <v>#N/A</v>
      </c>
      <c r="O248" s="14">
        <f t="shared" si="17"/>
        <v>1000</v>
      </c>
      <c r="P248" s="14">
        <f>O248/Q248</f>
        <v>1000</v>
      </c>
      <c r="Q248">
        <f>MAX(1,SUMPRODUCT($R$1:$AD$1,R248:AD248))</f>
        <v>1</v>
      </c>
      <c r="Z248">
        <v>1</v>
      </c>
    </row>
    <row r="249" spans="1:26" x14ac:dyDescent="0.25">
      <c r="A249" s="25" t="str">
        <f t="shared" si="19"/>
        <v>l10n_in_pos;base.group_user;51;51;51;51;51;51;51;51</v>
      </c>
      <c r="B249">
        <f t="shared" si="20"/>
        <v>51</v>
      </c>
      <c r="C249">
        <f t="shared" si="20"/>
        <v>51</v>
      </c>
      <c r="D249">
        <f t="shared" si="20"/>
        <v>51</v>
      </c>
      <c r="E249">
        <f t="shared" si="20"/>
        <v>51</v>
      </c>
      <c r="F249">
        <f t="shared" si="20"/>
        <v>51</v>
      </c>
      <c r="G249">
        <f t="shared" si="20"/>
        <v>51</v>
      </c>
      <c r="H249">
        <f t="shared" si="20"/>
        <v>51</v>
      </c>
      <c r="I249">
        <f t="shared" si="20"/>
        <v>51</v>
      </c>
      <c r="J249" s="12" t="s">
        <v>290</v>
      </c>
      <c r="K249" s="14" t="s">
        <v>1060</v>
      </c>
      <c r="L249" s="29"/>
      <c r="M249" s="14">
        <f>INDEX('Pivot Analysis'!A:B,MATCH(J249,'Pivot Analysis'!B:B,0),1)</f>
        <v>51</v>
      </c>
      <c r="N249" s="14" t="e">
        <f>INDEX(Cloc!E:F,MATCH(J249,Cloc!F:F,0),1)</f>
        <v>#N/A</v>
      </c>
      <c r="O249" s="14">
        <f t="shared" si="17"/>
        <v>51</v>
      </c>
      <c r="P249" s="14">
        <f>O249/Q249</f>
        <v>51</v>
      </c>
      <c r="Q249">
        <f>MAX(1,SUMPRODUCT($R$1:$AD$1,R249:AD249))</f>
        <v>1</v>
      </c>
    </row>
    <row r="250" spans="1:26" x14ac:dyDescent="0.25">
      <c r="A250" s="25" t="str">
        <f t="shared" si="19"/>
        <v>l10n_in_purchase;base.group_user;45;45;45;45;45;45;45;45</v>
      </c>
      <c r="B250">
        <f t="shared" si="20"/>
        <v>45</v>
      </c>
      <c r="C250">
        <f t="shared" si="20"/>
        <v>45</v>
      </c>
      <c r="D250">
        <f t="shared" si="20"/>
        <v>45</v>
      </c>
      <c r="E250">
        <f t="shared" si="20"/>
        <v>45</v>
      </c>
      <c r="F250">
        <f t="shared" si="20"/>
        <v>45</v>
      </c>
      <c r="G250">
        <f t="shared" si="20"/>
        <v>45</v>
      </c>
      <c r="H250">
        <f t="shared" si="20"/>
        <v>45</v>
      </c>
      <c r="I250">
        <f t="shared" si="20"/>
        <v>45</v>
      </c>
      <c r="J250" s="12" t="s">
        <v>291</v>
      </c>
      <c r="K250" s="14" t="s">
        <v>1060</v>
      </c>
      <c r="L250" s="29"/>
      <c r="M250" s="14">
        <f>INDEX('Pivot Analysis'!A:B,MATCH(J250,'Pivot Analysis'!B:B,0),1)</f>
        <v>45</v>
      </c>
      <c r="N250" s="14" t="e">
        <f>INDEX(Cloc!E:F,MATCH(J250,Cloc!F:F,0),1)</f>
        <v>#N/A</v>
      </c>
      <c r="O250" s="14">
        <f t="shared" si="17"/>
        <v>45</v>
      </c>
      <c r="P250" s="14">
        <f>O250/Q250</f>
        <v>45</v>
      </c>
      <c r="Q250">
        <f>MAX(1,SUMPRODUCT($R$1:$AD$1,R250:AD250))</f>
        <v>1</v>
      </c>
    </row>
    <row r="251" spans="1:26" x14ac:dyDescent="0.25">
      <c r="A251" s="25" t="str">
        <f t="shared" si="19"/>
        <v>l10n_in_purchase_stock;base.group_user;48;48;48;48;48;48;48;48</v>
      </c>
      <c r="B251">
        <f t="shared" si="20"/>
        <v>48</v>
      </c>
      <c r="C251">
        <f t="shared" si="20"/>
        <v>48</v>
      </c>
      <c r="D251">
        <f t="shared" si="20"/>
        <v>48</v>
      </c>
      <c r="E251">
        <f t="shared" si="20"/>
        <v>48</v>
      </c>
      <c r="F251">
        <f t="shared" si="20"/>
        <v>48</v>
      </c>
      <c r="G251">
        <f t="shared" si="20"/>
        <v>48</v>
      </c>
      <c r="H251">
        <f t="shared" si="20"/>
        <v>48</v>
      </c>
      <c r="I251">
        <f t="shared" si="20"/>
        <v>48</v>
      </c>
      <c r="J251" s="12" t="s">
        <v>292</v>
      </c>
      <c r="K251" s="14" t="s">
        <v>1060</v>
      </c>
      <c r="L251" s="29"/>
      <c r="M251" s="14">
        <f>INDEX('Pivot Analysis'!A:B,MATCH(J251,'Pivot Analysis'!B:B,0),1)</f>
        <v>48</v>
      </c>
      <c r="N251" s="14" t="e">
        <f>INDEX(Cloc!E:F,MATCH(J251,Cloc!F:F,0),1)</f>
        <v>#N/A</v>
      </c>
      <c r="O251" s="14">
        <f t="shared" si="17"/>
        <v>48</v>
      </c>
      <c r="P251" s="14">
        <f>O251/Q251</f>
        <v>48</v>
      </c>
      <c r="Q251">
        <f>MAX(1,SUMPRODUCT($R$1:$AD$1,R251:AD251))</f>
        <v>1</v>
      </c>
    </row>
    <row r="252" spans="1:26" x14ac:dyDescent="0.25">
      <c r="A252" s="25" t="str">
        <f t="shared" si="19"/>
        <v>l10n_in_sale;base.group_user;60;60;60;60;60;60;60;60</v>
      </c>
      <c r="B252">
        <f t="shared" si="20"/>
        <v>60</v>
      </c>
      <c r="C252">
        <f t="shared" si="20"/>
        <v>60</v>
      </c>
      <c r="D252">
        <f t="shared" si="20"/>
        <v>60</v>
      </c>
      <c r="E252">
        <f t="shared" si="20"/>
        <v>60</v>
      </c>
      <c r="F252">
        <f t="shared" si="20"/>
        <v>60</v>
      </c>
      <c r="G252">
        <f t="shared" si="20"/>
        <v>60</v>
      </c>
      <c r="H252">
        <f t="shared" si="20"/>
        <v>60</v>
      </c>
      <c r="I252">
        <f t="shared" si="20"/>
        <v>60</v>
      </c>
      <c r="J252" s="12" t="s">
        <v>293</v>
      </c>
      <c r="K252" s="14" t="s">
        <v>1060</v>
      </c>
      <c r="L252" s="29"/>
      <c r="M252" s="14">
        <f>INDEX('Pivot Analysis'!A:B,MATCH(J252,'Pivot Analysis'!B:B,0),1)</f>
        <v>60</v>
      </c>
      <c r="N252" s="14" t="e">
        <f>INDEX(Cloc!E:F,MATCH(J252,Cloc!F:F,0),1)</f>
        <v>#N/A</v>
      </c>
      <c r="O252" s="14">
        <f t="shared" si="17"/>
        <v>60</v>
      </c>
      <c r="P252" s="14">
        <f>O252/Q252</f>
        <v>60</v>
      </c>
      <c r="Q252">
        <f>MAX(1,SUMPRODUCT($R$1:$AD$1,R252:AD252))</f>
        <v>1</v>
      </c>
    </row>
    <row r="253" spans="1:26" x14ac:dyDescent="0.25">
      <c r="A253" s="25" t="str">
        <f t="shared" si="19"/>
        <v>l10n_in_sale_stock;base.group_user;48;48;48;48;48;48;48;48</v>
      </c>
      <c r="B253">
        <f t="shared" si="20"/>
        <v>48</v>
      </c>
      <c r="C253">
        <f t="shared" si="20"/>
        <v>48</v>
      </c>
      <c r="D253">
        <f t="shared" si="20"/>
        <v>48</v>
      </c>
      <c r="E253">
        <f t="shared" si="20"/>
        <v>48</v>
      </c>
      <c r="F253">
        <f t="shared" si="20"/>
        <v>48</v>
      </c>
      <c r="G253">
        <f t="shared" si="20"/>
        <v>48</v>
      </c>
      <c r="H253">
        <f t="shared" si="20"/>
        <v>48</v>
      </c>
      <c r="I253">
        <f t="shared" si="20"/>
        <v>48</v>
      </c>
      <c r="J253" s="12" t="s">
        <v>294</v>
      </c>
      <c r="K253" s="14" t="s">
        <v>1060</v>
      </c>
      <c r="L253" s="29"/>
      <c r="M253" s="14">
        <f>INDEX('Pivot Analysis'!A:B,MATCH(J253,'Pivot Analysis'!B:B,0),1)</f>
        <v>48</v>
      </c>
      <c r="N253" s="14" t="e">
        <f>INDEX(Cloc!E:F,MATCH(J253,Cloc!F:F,0),1)</f>
        <v>#N/A</v>
      </c>
      <c r="O253" s="14">
        <f t="shared" si="17"/>
        <v>48</v>
      </c>
      <c r="P253" s="14">
        <f>O253/Q253</f>
        <v>48</v>
      </c>
      <c r="Q253">
        <f>MAX(1,SUMPRODUCT($R$1:$AD$1,R253:AD253))</f>
        <v>1</v>
      </c>
    </row>
    <row r="254" spans="1:26" x14ac:dyDescent="0.25">
      <c r="A254" s="25" t="str">
        <f t="shared" si="19"/>
        <v>l10n_in_stock;base.group_user;33;33;33;33;33;33;33;33</v>
      </c>
      <c r="B254">
        <f t="shared" si="20"/>
        <v>33</v>
      </c>
      <c r="C254">
        <f t="shared" si="20"/>
        <v>33</v>
      </c>
      <c r="D254">
        <f t="shared" si="20"/>
        <v>33</v>
      </c>
      <c r="E254">
        <f t="shared" si="20"/>
        <v>33</v>
      </c>
      <c r="F254">
        <f t="shared" si="20"/>
        <v>33</v>
      </c>
      <c r="G254">
        <f t="shared" si="20"/>
        <v>33</v>
      </c>
      <c r="H254">
        <f t="shared" si="20"/>
        <v>33</v>
      </c>
      <c r="I254">
        <f t="shared" si="20"/>
        <v>33</v>
      </c>
      <c r="J254" s="12" t="s">
        <v>295</v>
      </c>
      <c r="K254" s="14" t="s">
        <v>1060</v>
      </c>
      <c r="L254" s="29"/>
      <c r="M254" s="14">
        <f>INDEX('Pivot Analysis'!A:B,MATCH(J254,'Pivot Analysis'!B:B,0),1)</f>
        <v>33</v>
      </c>
      <c r="N254" s="14" t="e">
        <f>INDEX(Cloc!E:F,MATCH(J254,Cloc!F:F,0),1)</f>
        <v>#N/A</v>
      </c>
      <c r="O254" s="14">
        <f t="shared" si="17"/>
        <v>33</v>
      </c>
      <c r="P254" s="14">
        <f>O254/Q254</f>
        <v>33</v>
      </c>
      <c r="Q254">
        <f>MAX(1,SUMPRODUCT($R$1:$AD$1,R254:AD254))</f>
        <v>1</v>
      </c>
    </row>
    <row r="255" spans="1:26" x14ac:dyDescent="0.25">
      <c r="A255" s="25" t="str">
        <f t="shared" si="19"/>
        <v>l10n_in_tcs_tds;base.group_user;0;0;0;0;0;0;0;0</v>
      </c>
      <c r="B255">
        <f t="shared" si="20"/>
        <v>0</v>
      </c>
      <c r="C255">
        <f t="shared" si="20"/>
        <v>0</v>
      </c>
      <c r="D255">
        <f t="shared" si="20"/>
        <v>0</v>
      </c>
      <c r="E255">
        <f t="shared" si="20"/>
        <v>0</v>
      </c>
      <c r="F255">
        <f t="shared" si="20"/>
        <v>0</v>
      </c>
      <c r="G255">
        <f t="shared" si="20"/>
        <v>0</v>
      </c>
      <c r="H255">
        <f t="shared" si="20"/>
        <v>0</v>
      </c>
      <c r="I255">
        <f t="shared" si="20"/>
        <v>0</v>
      </c>
      <c r="J255" s="12" t="s">
        <v>296</v>
      </c>
      <c r="K255" s="14" t="s">
        <v>1060</v>
      </c>
      <c r="L255" s="29"/>
      <c r="M255" s="14">
        <f>INDEX('Pivot Analysis'!A:B,MATCH(J255,'Pivot Analysis'!B:B,0),1)</f>
        <v>0</v>
      </c>
      <c r="N255" s="14" t="e">
        <f>INDEX(Cloc!E:F,MATCH(J255,Cloc!F:F,0),1)</f>
        <v>#N/A</v>
      </c>
      <c r="O255" s="14">
        <f t="shared" si="17"/>
        <v>0</v>
      </c>
      <c r="P255" s="14">
        <f>O255/Q255</f>
        <v>0</v>
      </c>
      <c r="Q255">
        <f>MAX(1,SUMPRODUCT($R$1:$AD$1,R255:AD255))</f>
        <v>1</v>
      </c>
    </row>
    <row r="256" spans="1:26" x14ac:dyDescent="0.25">
      <c r="A256" s="25" t="str">
        <f t="shared" si="19"/>
        <v>l10n_in_upi;base.group_user;0;0;0;0;0;0;0;0</v>
      </c>
      <c r="B256">
        <f t="shared" si="20"/>
        <v>0</v>
      </c>
      <c r="C256">
        <f t="shared" si="20"/>
        <v>0</v>
      </c>
      <c r="D256">
        <f t="shared" si="20"/>
        <v>0</v>
      </c>
      <c r="E256">
        <f t="shared" si="20"/>
        <v>0</v>
      </c>
      <c r="F256">
        <f t="shared" si="20"/>
        <v>0</v>
      </c>
      <c r="G256">
        <f t="shared" si="20"/>
        <v>0</v>
      </c>
      <c r="H256">
        <f t="shared" si="20"/>
        <v>0</v>
      </c>
      <c r="I256">
        <f t="shared" si="20"/>
        <v>0</v>
      </c>
      <c r="J256" s="12" t="s">
        <v>298</v>
      </c>
      <c r="K256" s="14" t="s">
        <v>1060</v>
      </c>
      <c r="L256" s="29"/>
      <c r="M256" s="14">
        <f>INDEX('Pivot Analysis'!A:B,MATCH(J256,'Pivot Analysis'!B:B,0),1)</f>
        <v>0</v>
      </c>
      <c r="N256" s="14" t="e">
        <f>INDEX(Cloc!E:F,MATCH(J256,Cloc!F:F,0),1)</f>
        <v>#N/A</v>
      </c>
      <c r="O256" s="14">
        <f t="shared" si="17"/>
        <v>0</v>
      </c>
      <c r="P256" s="14">
        <f>O256/Q256</f>
        <v>0</v>
      </c>
      <c r="Q256">
        <f>MAX(1,SUMPRODUCT($R$1:$AD$1,R256:AD256))</f>
        <v>1</v>
      </c>
    </row>
    <row r="257" spans="1:26" x14ac:dyDescent="0.25">
      <c r="A257" s="25" t="str">
        <f t="shared" si="19"/>
        <v>l10n_in_withholding;base.group_user;270;270;270;270;270;270;270;270</v>
      </c>
      <c r="B257">
        <f t="shared" si="20"/>
        <v>270</v>
      </c>
      <c r="C257">
        <f t="shared" si="20"/>
        <v>270</v>
      </c>
      <c r="D257">
        <f t="shared" si="20"/>
        <v>270</v>
      </c>
      <c r="E257">
        <f t="shared" si="20"/>
        <v>270</v>
      </c>
      <c r="F257">
        <f t="shared" si="20"/>
        <v>270</v>
      </c>
      <c r="G257">
        <f t="shared" si="20"/>
        <v>270</v>
      </c>
      <c r="H257">
        <f t="shared" si="20"/>
        <v>270</v>
      </c>
      <c r="I257">
        <f t="shared" si="20"/>
        <v>270</v>
      </c>
      <c r="J257" s="12" t="s">
        <v>874</v>
      </c>
      <c r="K257" s="14" t="s">
        <v>1060</v>
      </c>
      <c r="L257" s="29"/>
      <c r="M257" s="14">
        <f>INDEX('Pivot Analysis'!A:B,MATCH(J257,'Pivot Analysis'!B:B,0),1)</f>
        <v>270</v>
      </c>
      <c r="N257" s="14" t="e">
        <f>INDEX(Cloc!E:F,MATCH(J257,Cloc!F:F,0),1)</f>
        <v>#N/A</v>
      </c>
      <c r="O257" s="14">
        <f t="shared" si="17"/>
        <v>270</v>
      </c>
      <c r="P257" s="14">
        <f>O257/Q257</f>
        <v>270</v>
      </c>
      <c r="Q257">
        <f>MAX(1,SUMPRODUCT($R$1:$AD$1,R257:AD257))</f>
        <v>1</v>
      </c>
    </row>
    <row r="258" spans="1:26" x14ac:dyDescent="0.25">
      <c r="A258" s="25" t="str">
        <f t="shared" si="19"/>
        <v>l10n_in_withholding_payment;base.group_user;1000;1000;1000;1000;1000;1000;1000;1000</v>
      </c>
      <c r="B258">
        <f t="shared" si="20"/>
        <v>1000</v>
      </c>
      <c r="C258">
        <f t="shared" si="20"/>
        <v>1000</v>
      </c>
      <c r="D258">
        <f t="shared" si="20"/>
        <v>1000</v>
      </c>
      <c r="E258">
        <f t="shared" si="20"/>
        <v>1000</v>
      </c>
      <c r="F258">
        <f t="shared" si="20"/>
        <v>1000</v>
      </c>
      <c r="G258">
        <f t="shared" si="20"/>
        <v>1000</v>
      </c>
      <c r="H258">
        <f t="shared" si="20"/>
        <v>1000</v>
      </c>
      <c r="I258">
        <f t="shared" si="20"/>
        <v>1000</v>
      </c>
      <c r="J258" s="14" t="s">
        <v>1096</v>
      </c>
      <c r="K258" s="14" t="s">
        <v>1060</v>
      </c>
      <c r="L258" s="29"/>
      <c r="M258" s="14" t="e">
        <f>INDEX('Pivot Analysis'!A:B,MATCH(J258,'Pivot Analysis'!B:B,0),1)</f>
        <v>#N/A</v>
      </c>
      <c r="N258" s="14" t="e">
        <f>INDEX(Cloc!E:F,MATCH(J258,Cloc!F:F,0),1)</f>
        <v>#N/A</v>
      </c>
      <c r="O258" s="14">
        <f t="shared" si="17"/>
        <v>1000</v>
      </c>
      <c r="P258" s="14">
        <f>O258/Q258</f>
        <v>1000</v>
      </c>
      <c r="Q258">
        <f>MAX(1,SUMPRODUCT($R$1:$AD$1,R258:AD258))</f>
        <v>1</v>
      </c>
      <c r="Z258">
        <v>1</v>
      </c>
    </row>
    <row r="259" spans="1:26" x14ac:dyDescent="0.25">
      <c r="A259" s="25" t="str">
        <f t="shared" si="19"/>
        <v>l10n_iq;base.group_user;30;30;30;30;30;30;30;30</v>
      </c>
      <c r="B259">
        <f t="shared" si="20"/>
        <v>30</v>
      </c>
      <c r="C259">
        <f t="shared" si="20"/>
        <v>30</v>
      </c>
      <c r="D259">
        <f t="shared" si="20"/>
        <v>30</v>
      </c>
      <c r="E259">
        <f t="shared" si="20"/>
        <v>30</v>
      </c>
      <c r="F259">
        <f t="shared" si="20"/>
        <v>30</v>
      </c>
      <c r="G259">
        <f t="shared" si="20"/>
        <v>30</v>
      </c>
      <c r="H259">
        <f t="shared" si="20"/>
        <v>30</v>
      </c>
      <c r="I259">
        <f t="shared" si="20"/>
        <v>30</v>
      </c>
      <c r="J259" s="12" t="s">
        <v>877</v>
      </c>
      <c r="K259" s="14" t="s">
        <v>1060</v>
      </c>
      <c r="L259" s="29"/>
      <c r="M259" s="14">
        <f>INDEX('Pivot Analysis'!A:B,MATCH(J259,'Pivot Analysis'!B:B,0),1)</f>
        <v>30</v>
      </c>
      <c r="N259" s="14" t="e">
        <f>INDEX(Cloc!E:F,MATCH(J259,Cloc!F:F,0),1)</f>
        <v>#N/A</v>
      </c>
      <c r="O259" s="14">
        <f t="shared" si="17"/>
        <v>30</v>
      </c>
      <c r="P259" s="14">
        <f>O259/Q259</f>
        <v>30</v>
      </c>
      <c r="Q259">
        <f>MAX(1,SUMPRODUCT($R$1:$AD$1,R259:AD259))</f>
        <v>1</v>
      </c>
    </row>
    <row r="260" spans="1:26" x14ac:dyDescent="0.25">
      <c r="A260" s="25" t="str">
        <f t="shared" si="19"/>
        <v>l10n_it;base.group_user;258;258;258;258;258;258;258;258</v>
      </c>
      <c r="B260">
        <f t="shared" si="20"/>
        <v>257.99999999999994</v>
      </c>
      <c r="C260">
        <f t="shared" si="20"/>
        <v>257.99999999999994</v>
      </c>
      <c r="D260">
        <f t="shared" si="20"/>
        <v>257.99999999999994</v>
      </c>
      <c r="E260">
        <f t="shared" si="20"/>
        <v>257.99999999999994</v>
      </c>
      <c r="F260">
        <f t="shared" si="20"/>
        <v>257.99999999999994</v>
      </c>
      <c r="G260">
        <f t="shared" si="20"/>
        <v>257.99999999999994</v>
      </c>
      <c r="H260">
        <f t="shared" si="20"/>
        <v>257.99999999999994</v>
      </c>
      <c r="I260">
        <f t="shared" si="20"/>
        <v>257.99999999999994</v>
      </c>
      <c r="J260" s="12" t="s">
        <v>299</v>
      </c>
      <c r="K260" s="14" t="s">
        <v>1060</v>
      </c>
      <c r="L260" s="29"/>
      <c r="M260" s="14">
        <f>INDEX('Pivot Analysis'!A:B,MATCH(J260,'Pivot Analysis'!B:B,0),1)</f>
        <v>257.99999999999994</v>
      </c>
      <c r="N260" s="14" t="e">
        <f>INDEX(Cloc!E:F,MATCH(J260,Cloc!F:F,0),1)</f>
        <v>#N/A</v>
      </c>
      <c r="O260" s="14">
        <f t="shared" si="17"/>
        <v>257.99999999999994</v>
      </c>
      <c r="P260" s="14">
        <f>O260/Q260</f>
        <v>257.99999999999994</v>
      </c>
      <c r="Q260">
        <f>MAX(1,SUMPRODUCT($R$1:$AD$1,R260:AD260))</f>
        <v>1</v>
      </c>
    </row>
    <row r="261" spans="1:26" x14ac:dyDescent="0.25">
      <c r="A261" s="25" t="str">
        <f t="shared" si="19"/>
        <v>l10n_it_edi;base.group_user;457,5;457,5;457,5;457,5;457,5;457,5;457,5;457,5</v>
      </c>
      <c r="B261">
        <f t="shared" si="20"/>
        <v>457.5</v>
      </c>
      <c r="C261">
        <f t="shared" si="20"/>
        <v>457.5</v>
      </c>
      <c r="D261">
        <f t="shared" si="20"/>
        <v>457.5</v>
      </c>
      <c r="E261">
        <f t="shared" si="20"/>
        <v>457.5</v>
      </c>
      <c r="F261">
        <f t="shared" si="20"/>
        <v>457.5</v>
      </c>
      <c r="G261">
        <f t="shared" si="20"/>
        <v>457.5</v>
      </c>
      <c r="H261">
        <f t="shared" si="20"/>
        <v>457.5</v>
      </c>
      <c r="I261">
        <f t="shared" si="20"/>
        <v>457.5</v>
      </c>
      <c r="J261" s="12" t="s">
        <v>302</v>
      </c>
      <c r="K261" s="14" t="s">
        <v>1060</v>
      </c>
      <c r="L261" s="29"/>
      <c r="M261" s="14">
        <f>INDEX('Pivot Analysis'!A:B,MATCH(J261,'Pivot Analysis'!B:B,0),1)</f>
        <v>457.5</v>
      </c>
      <c r="N261" s="14" t="e">
        <f>INDEX(Cloc!E:F,MATCH(J261,Cloc!F:F,0),1)</f>
        <v>#N/A</v>
      </c>
      <c r="O261" s="14">
        <f t="shared" ref="O261:O324" si="21">IFERROR(IFERROR(IF(L261&lt;&gt;"",L261,M261),N261),$O$1)</f>
        <v>457.5</v>
      </c>
      <c r="P261" s="14">
        <f>O261/Q261</f>
        <v>457.5</v>
      </c>
      <c r="Q261">
        <f>MAX(1,SUMPRODUCT($R$1:$AD$1,R261:AD261))</f>
        <v>1</v>
      </c>
    </row>
    <row r="262" spans="1:26" x14ac:dyDescent="0.25">
      <c r="A262" s="25" t="str">
        <f t="shared" si="19"/>
        <v>l10n_it_edi_doi;base.group_user;84;84;84;84;84;84;84;84</v>
      </c>
      <c r="B262">
        <f t="shared" si="20"/>
        <v>83.999999999999986</v>
      </c>
      <c r="C262">
        <f t="shared" si="20"/>
        <v>83.999999999999986</v>
      </c>
      <c r="D262">
        <f t="shared" si="20"/>
        <v>83.999999999999986</v>
      </c>
      <c r="E262">
        <f t="shared" si="20"/>
        <v>83.999999999999986</v>
      </c>
      <c r="F262">
        <f t="shared" si="20"/>
        <v>83.999999999999986</v>
      </c>
      <c r="G262">
        <f t="shared" si="20"/>
        <v>83.999999999999986</v>
      </c>
      <c r="H262">
        <f t="shared" si="20"/>
        <v>83.999999999999986</v>
      </c>
      <c r="I262">
        <f t="shared" si="20"/>
        <v>83.999999999999986</v>
      </c>
      <c r="J262" s="12" t="s">
        <v>305</v>
      </c>
      <c r="K262" s="14" t="s">
        <v>1060</v>
      </c>
      <c r="L262" s="29"/>
      <c r="M262" s="14">
        <f>INDEX('Pivot Analysis'!A:B,MATCH(J262,'Pivot Analysis'!B:B,0),1)</f>
        <v>83.999999999999986</v>
      </c>
      <c r="N262" s="14" t="e">
        <f>INDEX(Cloc!E:F,MATCH(J262,Cloc!F:F,0),1)</f>
        <v>#N/A</v>
      </c>
      <c r="O262" s="14">
        <f t="shared" si="21"/>
        <v>83.999999999999986</v>
      </c>
      <c r="P262" s="14">
        <f>O262/Q262</f>
        <v>83.999999999999986</v>
      </c>
      <c r="Q262">
        <f>MAX(1,SUMPRODUCT($R$1:$AD$1,R262:AD262))</f>
        <v>1</v>
      </c>
    </row>
    <row r="263" spans="1:26" x14ac:dyDescent="0.25">
      <c r="A263" s="25" t="str">
        <f t="shared" si="19"/>
        <v>l10n_it_edi_ndd;base.group_user;0;0;0;0;0;0;0;0</v>
      </c>
      <c r="B263">
        <f t="shared" si="20"/>
        <v>0</v>
      </c>
      <c r="C263">
        <f t="shared" si="20"/>
        <v>0</v>
      </c>
      <c r="D263">
        <f t="shared" si="20"/>
        <v>0</v>
      </c>
      <c r="E263">
        <f t="shared" si="20"/>
        <v>0</v>
      </c>
      <c r="F263">
        <f t="shared" si="20"/>
        <v>0</v>
      </c>
      <c r="G263">
        <f t="shared" si="20"/>
        <v>0</v>
      </c>
      <c r="H263">
        <f t="shared" si="20"/>
        <v>0</v>
      </c>
      <c r="I263">
        <f t="shared" si="20"/>
        <v>0</v>
      </c>
      <c r="J263" s="12" t="s">
        <v>878</v>
      </c>
      <c r="K263" s="14" t="s">
        <v>1060</v>
      </c>
      <c r="L263" s="29"/>
      <c r="M263" s="14">
        <f>INDEX('Pivot Analysis'!A:B,MATCH(J263,'Pivot Analysis'!B:B,0),1)</f>
        <v>0</v>
      </c>
      <c r="N263" s="14" t="e">
        <f>INDEX(Cloc!E:F,MATCH(J263,Cloc!F:F,0),1)</f>
        <v>#N/A</v>
      </c>
      <c r="O263" s="14">
        <f t="shared" si="21"/>
        <v>0</v>
      </c>
      <c r="P263" s="14">
        <f>O263/Q263</f>
        <v>0</v>
      </c>
      <c r="Q263">
        <f>MAX(1,SUMPRODUCT($R$1:$AD$1,R263:AD263))</f>
        <v>1</v>
      </c>
    </row>
    <row r="264" spans="1:26" x14ac:dyDescent="0.25">
      <c r="A264" s="25" t="str">
        <f t="shared" si="19"/>
        <v>l10n_it_edi_pa;base.group_user;180;180;180;180;180;180;180;180</v>
      </c>
      <c r="B264">
        <f t="shared" si="20"/>
        <v>180</v>
      </c>
      <c r="C264">
        <f t="shared" si="20"/>
        <v>180</v>
      </c>
      <c r="D264">
        <f t="shared" si="20"/>
        <v>180</v>
      </c>
      <c r="E264">
        <f t="shared" si="20"/>
        <v>180</v>
      </c>
      <c r="F264">
        <f t="shared" si="20"/>
        <v>180</v>
      </c>
      <c r="G264">
        <f t="shared" si="20"/>
        <v>180</v>
      </c>
      <c r="H264">
        <f t="shared" si="20"/>
        <v>180</v>
      </c>
      <c r="I264">
        <f t="shared" si="20"/>
        <v>180</v>
      </c>
      <c r="J264" s="12" t="s">
        <v>308</v>
      </c>
      <c r="K264" s="14" t="s">
        <v>1060</v>
      </c>
      <c r="L264" s="29"/>
      <c r="M264" s="14">
        <f>INDEX('Pivot Analysis'!A:B,MATCH(J264,'Pivot Analysis'!B:B,0),1)</f>
        <v>180</v>
      </c>
      <c r="N264" s="14" t="e">
        <f>INDEX(Cloc!E:F,MATCH(J264,Cloc!F:F,0),1)</f>
        <v>#N/A</v>
      </c>
      <c r="O264" s="14">
        <f t="shared" si="21"/>
        <v>180</v>
      </c>
      <c r="P264" s="14">
        <f>O264/Q264</f>
        <v>180</v>
      </c>
      <c r="Q264">
        <f>MAX(1,SUMPRODUCT($R$1:$AD$1,R264:AD264))</f>
        <v>1</v>
      </c>
    </row>
    <row r="265" spans="1:26" x14ac:dyDescent="0.25">
      <c r="A265" s="25" t="str">
        <f t="shared" ref="A265:A328" si="22">J265&amp;";"&amp;K265&amp;";"&amp;B265&amp;";"&amp;C265&amp;";"&amp;D265&amp;";"&amp;E265&amp;";"&amp;F265&amp;";"&amp;G265&amp;";"&amp;H265&amp;";"&amp;I265</f>
        <v>l10n_it_edi_sale;base.group_user;0;0;0;0;0;0;0;0</v>
      </c>
      <c r="B265">
        <f t="shared" si="20"/>
        <v>0</v>
      </c>
      <c r="C265">
        <f t="shared" si="20"/>
        <v>0</v>
      </c>
      <c r="D265">
        <f t="shared" si="20"/>
        <v>0</v>
      </c>
      <c r="E265">
        <f t="shared" si="20"/>
        <v>0</v>
      </c>
      <c r="F265">
        <f t="shared" si="20"/>
        <v>0</v>
      </c>
      <c r="G265">
        <f t="shared" si="20"/>
        <v>0</v>
      </c>
      <c r="H265">
        <f t="shared" si="20"/>
        <v>0</v>
      </c>
      <c r="I265">
        <f t="shared" si="20"/>
        <v>0</v>
      </c>
      <c r="J265" s="12" t="s">
        <v>879</v>
      </c>
      <c r="K265" s="14" t="s">
        <v>1060</v>
      </c>
      <c r="L265" s="29"/>
      <c r="M265" s="14">
        <f>INDEX('Pivot Analysis'!A:B,MATCH(J265,'Pivot Analysis'!B:B,0),1)</f>
        <v>0</v>
      </c>
      <c r="N265" s="14" t="e">
        <f>INDEX(Cloc!E:F,MATCH(J265,Cloc!F:F,0),1)</f>
        <v>#N/A</v>
      </c>
      <c r="O265" s="14">
        <f t="shared" si="21"/>
        <v>0</v>
      </c>
      <c r="P265" s="14">
        <f>O265/Q265</f>
        <v>0</v>
      </c>
      <c r="Q265">
        <f>MAX(1,SUMPRODUCT($R$1:$AD$1,R265:AD265))</f>
        <v>1</v>
      </c>
    </row>
    <row r="266" spans="1:26" x14ac:dyDescent="0.25">
      <c r="A266" s="25" t="str">
        <f t="shared" si="22"/>
        <v>l10n_it_edi_website_sale;base.group_user;33;33;33;33;33;33;33;33</v>
      </c>
      <c r="B266">
        <f t="shared" si="20"/>
        <v>33</v>
      </c>
      <c r="C266">
        <f t="shared" si="20"/>
        <v>33</v>
      </c>
      <c r="D266">
        <f t="shared" si="20"/>
        <v>33</v>
      </c>
      <c r="E266">
        <f t="shared" si="20"/>
        <v>33</v>
      </c>
      <c r="F266">
        <f t="shared" si="20"/>
        <v>33</v>
      </c>
      <c r="G266">
        <f t="shared" si="20"/>
        <v>33</v>
      </c>
      <c r="H266">
        <f t="shared" si="20"/>
        <v>33</v>
      </c>
      <c r="I266">
        <f t="shared" si="20"/>
        <v>33</v>
      </c>
      <c r="J266" s="12" t="s">
        <v>309</v>
      </c>
      <c r="K266" s="14" t="s">
        <v>1060</v>
      </c>
      <c r="L266" s="29"/>
      <c r="M266" s="14">
        <f>INDEX('Pivot Analysis'!A:B,MATCH(J266,'Pivot Analysis'!B:B,0),1)</f>
        <v>33</v>
      </c>
      <c r="N266" s="14" t="e">
        <f>INDEX(Cloc!E:F,MATCH(J266,Cloc!F:F,0),1)</f>
        <v>#N/A</v>
      </c>
      <c r="O266" s="14">
        <f t="shared" si="21"/>
        <v>33</v>
      </c>
      <c r="P266" s="14">
        <f>O266/Q266</f>
        <v>33</v>
      </c>
      <c r="Q266">
        <f>MAX(1,SUMPRODUCT($R$1:$AD$1,R266:AD266))</f>
        <v>1</v>
      </c>
    </row>
    <row r="267" spans="1:26" x14ac:dyDescent="0.25">
      <c r="A267" s="25" t="str">
        <f t="shared" si="22"/>
        <v>l10n_it_edi_withholding;base.group_user;84;84;84;84;84;84;84;84</v>
      </c>
      <c r="B267">
        <f t="shared" si="20"/>
        <v>83.999999999999986</v>
      </c>
      <c r="C267">
        <f t="shared" si="20"/>
        <v>83.999999999999986</v>
      </c>
      <c r="D267">
        <f t="shared" si="20"/>
        <v>83.999999999999986</v>
      </c>
      <c r="E267">
        <f t="shared" si="20"/>
        <v>83.999999999999986</v>
      </c>
      <c r="F267">
        <f t="shared" si="20"/>
        <v>83.999999999999986</v>
      </c>
      <c r="G267">
        <f t="shared" si="20"/>
        <v>83.999999999999986</v>
      </c>
      <c r="H267">
        <f t="shared" si="20"/>
        <v>83.999999999999986</v>
      </c>
      <c r="I267">
        <f t="shared" si="20"/>
        <v>83.999999999999986</v>
      </c>
      <c r="J267" s="12" t="s">
        <v>310</v>
      </c>
      <c r="K267" s="14" t="s">
        <v>1060</v>
      </c>
      <c r="L267" s="29"/>
      <c r="M267" s="14">
        <f>INDEX('Pivot Analysis'!A:B,MATCH(J267,'Pivot Analysis'!B:B,0),1)</f>
        <v>83.999999999999986</v>
      </c>
      <c r="N267" s="14" t="e">
        <f>INDEX(Cloc!E:F,MATCH(J267,Cloc!F:F,0),1)</f>
        <v>#N/A</v>
      </c>
      <c r="O267" s="14">
        <f t="shared" si="21"/>
        <v>83.999999999999986</v>
      </c>
      <c r="P267" s="14">
        <f>O267/Q267</f>
        <v>83.999999999999986</v>
      </c>
      <c r="Q267">
        <f>MAX(1,SUMPRODUCT($R$1:$AD$1,R267:AD267))</f>
        <v>1</v>
      </c>
    </row>
    <row r="268" spans="1:26" x14ac:dyDescent="0.25">
      <c r="A268" s="25" t="str">
        <f t="shared" si="22"/>
        <v>l10n_it_stock_ddt;base.group_user;0;0;0;0;0;0;0;0</v>
      </c>
      <c r="B268">
        <f t="shared" si="20"/>
        <v>0</v>
      </c>
      <c r="C268">
        <f t="shared" si="20"/>
        <v>0</v>
      </c>
      <c r="D268">
        <f t="shared" si="20"/>
        <v>0</v>
      </c>
      <c r="E268">
        <f t="shared" si="20"/>
        <v>0</v>
      </c>
      <c r="F268">
        <f t="shared" si="20"/>
        <v>0</v>
      </c>
      <c r="G268">
        <f t="shared" si="20"/>
        <v>0</v>
      </c>
      <c r="H268">
        <f t="shared" si="20"/>
        <v>0</v>
      </c>
      <c r="I268">
        <f t="shared" si="20"/>
        <v>0</v>
      </c>
      <c r="J268" s="12" t="s">
        <v>313</v>
      </c>
      <c r="K268" s="14" t="s">
        <v>1060</v>
      </c>
      <c r="L268" s="29"/>
      <c r="M268" s="14">
        <f>INDEX('Pivot Analysis'!A:B,MATCH(J268,'Pivot Analysis'!B:B,0),1)</f>
        <v>0</v>
      </c>
      <c r="N268" s="14" t="e">
        <f>INDEX(Cloc!E:F,MATCH(J268,Cloc!F:F,0),1)</f>
        <v>#N/A</v>
      </c>
      <c r="O268" s="14">
        <f t="shared" si="21"/>
        <v>0</v>
      </c>
      <c r="P268" s="14">
        <f>O268/Q268</f>
        <v>0</v>
      </c>
      <c r="Q268">
        <f>MAX(1,SUMPRODUCT($R$1:$AD$1,R268:AD268))</f>
        <v>1</v>
      </c>
    </row>
    <row r="269" spans="1:26" x14ac:dyDescent="0.25">
      <c r="A269" s="25" t="str">
        <f t="shared" si="22"/>
        <v>l10n_jo;base.group_user;30;30;30;30;30;30;30;30</v>
      </c>
      <c r="B269">
        <f t="shared" si="20"/>
        <v>30</v>
      </c>
      <c r="C269">
        <f t="shared" si="20"/>
        <v>30</v>
      </c>
      <c r="D269">
        <f t="shared" si="20"/>
        <v>30</v>
      </c>
      <c r="E269">
        <f t="shared" si="20"/>
        <v>30</v>
      </c>
      <c r="F269">
        <f t="shared" si="20"/>
        <v>30</v>
      </c>
      <c r="G269">
        <f t="shared" si="20"/>
        <v>30</v>
      </c>
      <c r="H269">
        <f t="shared" si="20"/>
        <v>30</v>
      </c>
      <c r="I269">
        <f t="shared" si="20"/>
        <v>30</v>
      </c>
      <c r="J269" s="12" t="s">
        <v>880</v>
      </c>
      <c r="K269" s="14" t="s">
        <v>1060</v>
      </c>
      <c r="L269" s="29"/>
      <c r="M269" s="14">
        <f>INDEX('Pivot Analysis'!A:B,MATCH(J269,'Pivot Analysis'!B:B,0),1)</f>
        <v>30</v>
      </c>
      <c r="N269" s="14" t="e">
        <f>INDEX(Cloc!E:F,MATCH(J269,Cloc!F:F,0),1)</f>
        <v>#N/A</v>
      </c>
      <c r="O269" s="14">
        <f t="shared" si="21"/>
        <v>30</v>
      </c>
      <c r="P269" s="14">
        <f>O269/Q269</f>
        <v>30</v>
      </c>
      <c r="Q269">
        <f>MAX(1,SUMPRODUCT($R$1:$AD$1,R269:AD269))</f>
        <v>1</v>
      </c>
    </row>
    <row r="270" spans="1:26" x14ac:dyDescent="0.25">
      <c r="A270" s="25" t="str">
        <f t="shared" si="22"/>
        <v>l10n_jo_edi;base.group_user;30;30;30;30;30;30;30;30</v>
      </c>
      <c r="B270">
        <f t="shared" si="20"/>
        <v>30</v>
      </c>
      <c r="C270">
        <f t="shared" si="20"/>
        <v>30</v>
      </c>
      <c r="D270">
        <f t="shared" si="20"/>
        <v>30</v>
      </c>
      <c r="E270">
        <f t="shared" si="20"/>
        <v>30</v>
      </c>
      <c r="F270">
        <f t="shared" si="20"/>
        <v>30</v>
      </c>
      <c r="G270">
        <f t="shared" si="20"/>
        <v>30</v>
      </c>
      <c r="H270">
        <f t="shared" si="20"/>
        <v>30</v>
      </c>
      <c r="I270">
        <f t="shared" si="20"/>
        <v>30</v>
      </c>
      <c r="J270" s="12" t="s">
        <v>881</v>
      </c>
      <c r="K270" s="14" t="s">
        <v>1060</v>
      </c>
      <c r="L270" s="29"/>
      <c r="M270" s="14">
        <f>INDEX('Pivot Analysis'!A:B,MATCH(J270,'Pivot Analysis'!B:B,0),1)</f>
        <v>30</v>
      </c>
      <c r="N270" s="14" t="e">
        <f>INDEX(Cloc!E:F,MATCH(J270,Cloc!F:F,0),1)</f>
        <v>#N/A</v>
      </c>
      <c r="O270" s="14">
        <f t="shared" si="21"/>
        <v>30</v>
      </c>
      <c r="P270" s="14">
        <f>O270/Q270</f>
        <v>30</v>
      </c>
      <c r="Q270">
        <f>MAX(1,SUMPRODUCT($R$1:$AD$1,R270:AD270))</f>
        <v>1</v>
      </c>
    </row>
    <row r="271" spans="1:26" x14ac:dyDescent="0.25">
      <c r="A271" s="25" t="str">
        <f t="shared" si="22"/>
        <v>l10n_jp;base.group_user;84;84;84;84;84;84;84;84</v>
      </c>
      <c r="B271">
        <f t="shared" si="20"/>
        <v>83.999999999999986</v>
      </c>
      <c r="C271">
        <f t="shared" si="20"/>
        <v>83.999999999999986</v>
      </c>
      <c r="D271">
        <f t="shared" si="20"/>
        <v>83.999999999999986</v>
      </c>
      <c r="E271">
        <f t="shared" si="20"/>
        <v>83.999999999999986</v>
      </c>
      <c r="F271">
        <f t="shared" si="20"/>
        <v>83.999999999999986</v>
      </c>
      <c r="G271">
        <f t="shared" si="20"/>
        <v>83.999999999999986</v>
      </c>
      <c r="H271">
        <f t="shared" si="20"/>
        <v>83.999999999999986</v>
      </c>
      <c r="I271">
        <f t="shared" si="20"/>
        <v>83.999999999999986</v>
      </c>
      <c r="J271" s="12" t="s">
        <v>314</v>
      </c>
      <c r="K271" s="14" t="s">
        <v>1060</v>
      </c>
      <c r="L271" s="29"/>
      <c r="M271" s="14">
        <f>INDEX('Pivot Analysis'!A:B,MATCH(J271,'Pivot Analysis'!B:B,0),1)</f>
        <v>83.999999999999986</v>
      </c>
      <c r="N271" s="14" t="e">
        <f>INDEX(Cloc!E:F,MATCH(J271,Cloc!F:F,0),1)</f>
        <v>#N/A</v>
      </c>
      <c r="O271" s="14">
        <f t="shared" si="21"/>
        <v>83.999999999999986</v>
      </c>
      <c r="P271" s="14">
        <f>O271/Q271</f>
        <v>83.999999999999986</v>
      </c>
      <c r="Q271">
        <f>MAX(1,SUMPRODUCT($R$1:$AD$1,R271:AD271))</f>
        <v>1</v>
      </c>
    </row>
    <row r="272" spans="1:26" x14ac:dyDescent="0.25">
      <c r="A272" s="25" t="str">
        <f t="shared" si="22"/>
        <v>l10n_jp_ubl_pint;base.group_user;60;60;60;60;60;60;60;60</v>
      </c>
      <c r="B272">
        <f t="shared" si="20"/>
        <v>60</v>
      </c>
      <c r="C272">
        <f t="shared" si="20"/>
        <v>60</v>
      </c>
      <c r="D272">
        <f t="shared" si="20"/>
        <v>60</v>
      </c>
      <c r="E272">
        <f t="shared" si="20"/>
        <v>60</v>
      </c>
      <c r="F272">
        <f t="shared" si="20"/>
        <v>60</v>
      </c>
      <c r="G272">
        <f t="shared" si="20"/>
        <v>60</v>
      </c>
      <c r="H272">
        <f t="shared" si="20"/>
        <v>60</v>
      </c>
      <c r="I272">
        <f t="shared" si="20"/>
        <v>60</v>
      </c>
      <c r="J272" s="12" t="s">
        <v>882</v>
      </c>
      <c r="K272" s="14" t="s">
        <v>1060</v>
      </c>
      <c r="L272" s="29"/>
      <c r="M272" s="14">
        <f>INDEX('Pivot Analysis'!A:B,MATCH(J272,'Pivot Analysis'!B:B,0),1)</f>
        <v>60</v>
      </c>
      <c r="N272" s="14" t="e">
        <f>INDEX(Cloc!E:F,MATCH(J272,Cloc!F:F,0),1)</f>
        <v>#N/A</v>
      </c>
      <c r="O272" s="14">
        <f t="shared" si="21"/>
        <v>60</v>
      </c>
      <c r="P272" s="14">
        <f>O272/Q272</f>
        <v>60</v>
      </c>
      <c r="Q272">
        <f>MAX(1,SUMPRODUCT($R$1:$AD$1,R272:AD272))</f>
        <v>1</v>
      </c>
    </row>
    <row r="273" spans="1:26" x14ac:dyDescent="0.25">
      <c r="A273" s="25" t="str">
        <f t="shared" si="22"/>
        <v>l10n_ke;base.group_user;259,2;259,2;259,2;259,2;259,2;259,2;259,2;259,2</v>
      </c>
      <c r="B273">
        <f t="shared" si="20"/>
        <v>259.2</v>
      </c>
      <c r="C273">
        <f t="shared" si="20"/>
        <v>259.2</v>
      </c>
      <c r="D273">
        <f t="shared" si="20"/>
        <v>259.2</v>
      </c>
      <c r="E273">
        <f t="shared" si="20"/>
        <v>259.2</v>
      </c>
      <c r="F273">
        <f t="shared" si="20"/>
        <v>259.2</v>
      </c>
      <c r="G273">
        <f t="shared" si="20"/>
        <v>259.2</v>
      </c>
      <c r="H273">
        <f t="shared" si="20"/>
        <v>259.2</v>
      </c>
      <c r="I273">
        <f t="shared" si="20"/>
        <v>259.2</v>
      </c>
      <c r="J273" s="12" t="s">
        <v>316</v>
      </c>
      <c r="K273" s="14" t="s">
        <v>1060</v>
      </c>
      <c r="L273" s="29"/>
      <c r="M273" s="14">
        <f>INDEX('Pivot Analysis'!A:B,MATCH(J273,'Pivot Analysis'!B:B,0),1)</f>
        <v>259.2</v>
      </c>
      <c r="N273" s="14" t="e">
        <f>INDEX(Cloc!E:F,MATCH(J273,Cloc!F:F,0),1)</f>
        <v>#N/A</v>
      </c>
      <c r="O273" s="14">
        <f t="shared" si="21"/>
        <v>259.2</v>
      </c>
      <c r="P273" s="14">
        <f>O273/Q273</f>
        <v>259.2</v>
      </c>
      <c r="Q273">
        <f>MAX(1,SUMPRODUCT($R$1:$AD$1,R273:AD273))</f>
        <v>1</v>
      </c>
    </row>
    <row r="274" spans="1:26" x14ac:dyDescent="0.25">
      <c r="A274" s="25" t="str">
        <f t="shared" si="22"/>
        <v>l10n_ke_edi_tremol;base.group_user;63;63;63;63;63;63;63;63</v>
      </c>
      <c r="B274">
        <f t="shared" si="20"/>
        <v>63</v>
      </c>
      <c r="C274">
        <f t="shared" si="20"/>
        <v>63</v>
      </c>
      <c r="D274">
        <f t="shared" si="20"/>
        <v>63</v>
      </c>
      <c r="E274">
        <f t="shared" si="20"/>
        <v>63</v>
      </c>
      <c r="F274">
        <f t="shared" si="20"/>
        <v>63</v>
      </c>
      <c r="G274">
        <f t="shared" si="20"/>
        <v>63</v>
      </c>
      <c r="H274">
        <f t="shared" si="20"/>
        <v>63</v>
      </c>
      <c r="I274">
        <f t="shared" si="20"/>
        <v>63</v>
      </c>
      <c r="J274" s="12" t="s">
        <v>319</v>
      </c>
      <c r="K274" s="14" t="s">
        <v>1060</v>
      </c>
      <c r="L274" s="29"/>
      <c r="M274" s="14">
        <f>INDEX('Pivot Analysis'!A:B,MATCH(J274,'Pivot Analysis'!B:B,0),1)</f>
        <v>63</v>
      </c>
      <c r="N274" s="14" t="e">
        <f>INDEX(Cloc!E:F,MATCH(J274,Cloc!F:F,0),1)</f>
        <v>#N/A</v>
      </c>
      <c r="O274" s="14">
        <f t="shared" si="21"/>
        <v>63</v>
      </c>
      <c r="P274" s="14">
        <f>O274/Q274</f>
        <v>63</v>
      </c>
      <c r="Q274">
        <f>MAX(1,SUMPRODUCT($R$1:$AD$1,R274:AD274))</f>
        <v>1</v>
      </c>
    </row>
    <row r="275" spans="1:26" x14ac:dyDescent="0.25">
      <c r="A275" s="25" t="str">
        <f t="shared" si="22"/>
        <v>l10n_km;base.group_user;30;30;30;30;30;30;30;30</v>
      </c>
      <c r="B275">
        <f t="shared" si="20"/>
        <v>30</v>
      </c>
      <c r="C275">
        <f t="shared" si="20"/>
        <v>30</v>
      </c>
      <c r="D275">
        <f t="shared" si="20"/>
        <v>30</v>
      </c>
      <c r="E275">
        <f t="shared" si="20"/>
        <v>30</v>
      </c>
      <c r="F275">
        <f t="shared" si="20"/>
        <v>30</v>
      </c>
      <c r="G275">
        <f t="shared" si="20"/>
        <v>30</v>
      </c>
      <c r="H275">
        <f t="shared" si="20"/>
        <v>30</v>
      </c>
      <c r="I275">
        <f t="shared" si="20"/>
        <v>30</v>
      </c>
      <c r="J275" s="12" t="s">
        <v>884</v>
      </c>
      <c r="K275" s="14" t="s">
        <v>1060</v>
      </c>
      <c r="L275" s="29"/>
      <c r="M275" s="14">
        <f>INDEX('Pivot Analysis'!A:B,MATCH(J275,'Pivot Analysis'!B:B,0),1)</f>
        <v>30</v>
      </c>
      <c r="N275" s="14" t="e">
        <f>INDEX(Cloc!E:F,MATCH(J275,Cloc!F:F,0),1)</f>
        <v>#N/A</v>
      </c>
      <c r="O275" s="14">
        <f t="shared" si="21"/>
        <v>30</v>
      </c>
      <c r="P275" s="14">
        <f>O275/Q275</f>
        <v>30</v>
      </c>
      <c r="Q275">
        <f>MAX(1,SUMPRODUCT($R$1:$AD$1,R275:AD275))</f>
        <v>1</v>
      </c>
    </row>
    <row r="276" spans="1:26" x14ac:dyDescent="0.25">
      <c r="A276" s="25" t="str">
        <f t="shared" si="22"/>
        <v>l10n_kr;base.group_user;1000;1000;1000;1000;1000;1000;1000;1000</v>
      </c>
      <c r="B276">
        <f t="shared" si="20"/>
        <v>1000</v>
      </c>
      <c r="C276">
        <f t="shared" si="20"/>
        <v>1000</v>
      </c>
      <c r="D276">
        <f t="shared" si="20"/>
        <v>1000</v>
      </c>
      <c r="E276">
        <f t="shared" si="20"/>
        <v>1000</v>
      </c>
      <c r="F276">
        <f t="shared" si="20"/>
        <v>1000</v>
      </c>
      <c r="G276">
        <f t="shared" si="20"/>
        <v>1000</v>
      </c>
      <c r="H276">
        <f t="shared" si="20"/>
        <v>1000</v>
      </c>
      <c r="I276">
        <f t="shared" ref="C276:I339" si="23">$P276*MIN($Q276,I$3)</f>
        <v>1000</v>
      </c>
      <c r="J276" s="14" t="s">
        <v>1097</v>
      </c>
      <c r="K276" s="14" t="s">
        <v>1060</v>
      </c>
      <c r="L276" s="29"/>
      <c r="M276" s="14" t="e">
        <f>INDEX('Pivot Analysis'!A:B,MATCH(J276,'Pivot Analysis'!B:B,0),1)</f>
        <v>#N/A</v>
      </c>
      <c r="N276" s="14" t="e">
        <f>INDEX(Cloc!E:F,MATCH(J276,Cloc!F:F,0),1)</f>
        <v>#N/A</v>
      </c>
      <c r="O276" s="14">
        <f t="shared" si="21"/>
        <v>1000</v>
      </c>
      <c r="P276" s="14">
        <f>O276/Q276</f>
        <v>1000</v>
      </c>
      <c r="Q276">
        <f>MAX(1,SUMPRODUCT($R$1:$AD$1,R276:AD276))</f>
        <v>1</v>
      </c>
      <c r="Z276">
        <v>1</v>
      </c>
    </row>
    <row r="277" spans="1:26" x14ac:dyDescent="0.25">
      <c r="A277" s="25" t="str">
        <f t="shared" si="22"/>
        <v>l10n_kw;base.group_user;30;30;30;30;30;30;30;30</v>
      </c>
      <c r="B277">
        <f t="shared" ref="B277:B340" si="24">$P277*MIN($Q277,B$3)</f>
        <v>30</v>
      </c>
      <c r="C277">
        <f t="shared" si="23"/>
        <v>30</v>
      </c>
      <c r="D277">
        <f t="shared" si="23"/>
        <v>30</v>
      </c>
      <c r="E277">
        <f t="shared" si="23"/>
        <v>30</v>
      </c>
      <c r="F277">
        <f t="shared" si="23"/>
        <v>30</v>
      </c>
      <c r="G277">
        <f t="shared" si="23"/>
        <v>30</v>
      </c>
      <c r="H277">
        <f t="shared" si="23"/>
        <v>30</v>
      </c>
      <c r="I277">
        <f t="shared" si="23"/>
        <v>30</v>
      </c>
      <c r="J277" s="12" t="s">
        <v>885</v>
      </c>
      <c r="K277" s="14" t="s">
        <v>1060</v>
      </c>
      <c r="L277" s="29"/>
      <c r="M277" s="14">
        <f>INDEX('Pivot Analysis'!A:B,MATCH(J277,'Pivot Analysis'!B:B,0),1)</f>
        <v>30</v>
      </c>
      <c r="N277" s="14" t="e">
        <f>INDEX(Cloc!E:F,MATCH(J277,Cloc!F:F,0),1)</f>
        <v>#N/A</v>
      </c>
      <c r="O277" s="14">
        <f t="shared" si="21"/>
        <v>30</v>
      </c>
      <c r="P277" s="14">
        <f>O277/Q277</f>
        <v>30</v>
      </c>
      <c r="Q277">
        <f>MAX(1,SUMPRODUCT($R$1:$AD$1,R277:AD277))</f>
        <v>1</v>
      </c>
    </row>
    <row r="278" spans="1:26" x14ac:dyDescent="0.25">
      <c r="A278" s="25" t="str">
        <f t="shared" si="22"/>
        <v>l10n_kz;base.group_user;30;30;30;30;30;30;30;30</v>
      </c>
      <c r="B278">
        <f t="shared" si="24"/>
        <v>30</v>
      </c>
      <c r="C278">
        <f t="shared" si="23"/>
        <v>30</v>
      </c>
      <c r="D278">
        <f t="shared" si="23"/>
        <v>30</v>
      </c>
      <c r="E278">
        <f t="shared" si="23"/>
        <v>30</v>
      </c>
      <c r="F278">
        <f t="shared" si="23"/>
        <v>30</v>
      </c>
      <c r="G278">
        <f t="shared" si="23"/>
        <v>30</v>
      </c>
      <c r="H278">
        <f t="shared" si="23"/>
        <v>30</v>
      </c>
      <c r="I278">
        <f t="shared" si="23"/>
        <v>30</v>
      </c>
      <c r="J278" s="12" t="s">
        <v>886</v>
      </c>
      <c r="K278" s="14" t="s">
        <v>1060</v>
      </c>
      <c r="L278" s="29"/>
      <c r="M278" s="14">
        <f>INDEX('Pivot Analysis'!A:B,MATCH(J278,'Pivot Analysis'!B:B,0),1)</f>
        <v>30</v>
      </c>
      <c r="N278" s="14" t="e">
        <f>INDEX(Cloc!E:F,MATCH(J278,Cloc!F:F,0),1)</f>
        <v>#N/A</v>
      </c>
      <c r="O278" s="14">
        <f t="shared" si="21"/>
        <v>30</v>
      </c>
      <c r="P278" s="14">
        <f>O278/Q278</f>
        <v>30</v>
      </c>
      <c r="Q278">
        <f>MAX(1,SUMPRODUCT($R$1:$AD$1,R278:AD278))</f>
        <v>1</v>
      </c>
    </row>
    <row r="279" spans="1:26" x14ac:dyDescent="0.25">
      <c r="A279" s="25" t="str">
        <f t="shared" si="22"/>
        <v>l10n_latam_account_sequence;base.group_user;0;0;0;0;0;0;0;0</v>
      </c>
      <c r="B279">
        <f t="shared" si="24"/>
        <v>0</v>
      </c>
      <c r="C279">
        <f t="shared" si="23"/>
        <v>0</v>
      </c>
      <c r="D279">
        <f t="shared" si="23"/>
        <v>0</v>
      </c>
      <c r="E279">
        <f t="shared" si="23"/>
        <v>0</v>
      </c>
      <c r="F279">
        <f t="shared" si="23"/>
        <v>0</v>
      </c>
      <c r="G279">
        <f t="shared" si="23"/>
        <v>0</v>
      </c>
      <c r="H279">
        <f t="shared" si="23"/>
        <v>0</v>
      </c>
      <c r="I279">
        <f t="shared" si="23"/>
        <v>0</v>
      </c>
      <c r="J279" s="12" t="s">
        <v>321</v>
      </c>
      <c r="K279" s="14" t="s">
        <v>1060</v>
      </c>
      <c r="L279" s="29"/>
      <c r="M279" s="14">
        <f>INDEX('Pivot Analysis'!A:B,MATCH(J279,'Pivot Analysis'!B:B,0),1)</f>
        <v>0</v>
      </c>
      <c r="N279" s="14" t="e">
        <f>INDEX(Cloc!E:F,MATCH(J279,Cloc!F:F,0),1)</f>
        <v>#N/A</v>
      </c>
      <c r="O279" s="14">
        <f t="shared" si="21"/>
        <v>0</v>
      </c>
      <c r="P279" s="14">
        <f>O279/Q279</f>
        <v>0</v>
      </c>
      <c r="Q279">
        <f>MAX(1,SUMPRODUCT($R$1:$AD$1,R279:AD279))</f>
        <v>1</v>
      </c>
    </row>
    <row r="280" spans="1:26" x14ac:dyDescent="0.25">
      <c r="A280" s="25" t="str">
        <f t="shared" si="22"/>
        <v>l10n_latam_base;base.group_user;30;30;30;30;30;30;30;30</v>
      </c>
      <c r="B280">
        <f t="shared" si="24"/>
        <v>30</v>
      </c>
      <c r="C280">
        <f t="shared" si="23"/>
        <v>30</v>
      </c>
      <c r="D280">
        <f t="shared" si="23"/>
        <v>30</v>
      </c>
      <c r="E280">
        <f t="shared" si="23"/>
        <v>30</v>
      </c>
      <c r="F280">
        <f t="shared" si="23"/>
        <v>30</v>
      </c>
      <c r="G280">
        <f t="shared" si="23"/>
        <v>30</v>
      </c>
      <c r="H280">
        <f t="shared" si="23"/>
        <v>30</v>
      </c>
      <c r="I280">
        <f t="shared" si="23"/>
        <v>30</v>
      </c>
      <c r="J280" s="12" t="s">
        <v>323</v>
      </c>
      <c r="K280" s="14" t="s">
        <v>1060</v>
      </c>
      <c r="L280" s="29"/>
      <c r="M280" s="14">
        <f>INDEX('Pivot Analysis'!A:B,MATCH(J280,'Pivot Analysis'!B:B,0),1)</f>
        <v>30</v>
      </c>
      <c r="N280" s="14" t="e">
        <f>INDEX(Cloc!E:F,MATCH(J280,Cloc!F:F,0),1)</f>
        <v>#N/A</v>
      </c>
      <c r="O280" s="14">
        <f t="shared" si="21"/>
        <v>30</v>
      </c>
      <c r="P280" s="14">
        <f>O280/Q280</f>
        <v>30</v>
      </c>
      <c r="Q280">
        <f>MAX(1,SUMPRODUCT($R$1:$AD$1,R280:AD280))</f>
        <v>1</v>
      </c>
    </row>
    <row r="281" spans="1:26" x14ac:dyDescent="0.25">
      <c r="A281" s="25" t="str">
        <f t="shared" si="22"/>
        <v>l10n_latam_check;base.group_user;51,3;51,3;51,3;51,3;51,3;51,3;51,3;51,3</v>
      </c>
      <c r="B281">
        <f t="shared" si="24"/>
        <v>51.29999999999999</v>
      </c>
      <c r="C281">
        <f t="shared" si="23"/>
        <v>51.29999999999999</v>
      </c>
      <c r="D281">
        <f t="shared" si="23"/>
        <v>51.29999999999999</v>
      </c>
      <c r="E281">
        <f t="shared" si="23"/>
        <v>51.29999999999999</v>
      </c>
      <c r="F281">
        <f t="shared" si="23"/>
        <v>51.29999999999999</v>
      </c>
      <c r="G281">
        <f t="shared" si="23"/>
        <v>51.29999999999999</v>
      </c>
      <c r="H281">
        <f t="shared" si="23"/>
        <v>51.29999999999999</v>
      </c>
      <c r="I281">
        <f t="shared" si="23"/>
        <v>51.29999999999999</v>
      </c>
      <c r="J281" s="12" t="s">
        <v>324</v>
      </c>
      <c r="K281" s="14" t="s">
        <v>1060</v>
      </c>
      <c r="L281" s="29"/>
      <c r="M281" s="14">
        <f>INDEX('Pivot Analysis'!A:B,MATCH(J281,'Pivot Analysis'!B:B,0),1)</f>
        <v>51.29999999999999</v>
      </c>
      <c r="N281" s="14" t="e">
        <f>INDEX(Cloc!E:F,MATCH(J281,Cloc!F:F,0),1)</f>
        <v>#N/A</v>
      </c>
      <c r="O281" s="14">
        <f t="shared" si="21"/>
        <v>51.29999999999999</v>
      </c>
      <c r="P281" s="14">
        <f>O281/Q281</f>
        <v>51.29999999999999</v>
      </c>
      <c r="Q281">
        <f>MAX(1,SUMPRODUCT($R$1:$AD$1,R281:AD281))</f>
        <v>1</v>
      </c>
    </row>
    <row r="282" spans="1:26" x14ac:dyDescent="0.25">
      <c r="A282" s="25" t="str">
        <f t="shared" si="22"/>
        <v>l10n_latam_invoice_document;base.group_user;51;51;51;51;51;51;51;51</v>
      </c>
      <c r="B282">
        <f t="shared" si="24"/>
        <v>51</v>
      </c>
      <c r="C282">
        <f t="shared" si="23"/>
        <v>51</v>
      </c>
      <c r="D282">
        <f t="shared" si="23"/>
        <v>51</v>
      </c>
      <c r="E282">
        <f t="shared" si="23"/>
        <v>51</v>
      </c>
      <c r="F282">
        <f t="shared" si="23"/>
        <v>51</v>
      </c>
      <c r="G282">
        <f t="shared" si="23"/>
        <v>51</v>
      </c>
      <c r="H282">
        <f t="shared" si="23"/>
        <v>51</v>
      </c>
      <c r="I282">
        <f t="shared" si="23"/>
        <v>51</v>
      </c>
      <c r="J282" s="12" t="s">
        <v>325</v>
      </c>
      <c r="K282" s="14" t="s">
        <v>1060</v>
      </c>
      <c r="L282" s="29"/>
      <c r="M282" s="14">
        <f>INDEX('Pivot Analysis'!A:B,MATCH(J282,'Pivot Analysis'!B:B,0),1)</f>
        <v>51</v>
      </c>
      <c r="N282" s="14" t="e">
        <f>INDEX(Cloc!E:F,MATCH(J282,Cloc!F:F,0),1)</f>
        <v>#N/A</v>
      </c>
      <c r="O282" s="14">
        <f t="shared" si="21"/>
        <v>51</v>
      </c>
      <c r="P282" s="14">
        <f>O282/Q282</f>
        <v>51</v>
      </c>
      <c r="Q282">
        <f>MAX(1,SUMPRODUCT($R$1:$AD$1,R282:AD282))</f>
        <v>1</v>
      </c>
    </row>
    <row r="283" spans="1:26" x14ac:dyDescent="0.25">
      <c r="A283" s="25" t="str">
        <f t="shared" si="22"/>
        <v>l10n_lb_account;base.group_user;30;30;30;30;30;30;30;30</v>
      </c>
      <c r="B283">
        <f t="shared" si="24"/>
        <v>30</v>
      </c>
      <c r="C283">
        <f t="shared" si="23"/>
        <v>30</v>
      </c>
      <c r="D283">
        <f t="shared" si="23"/>
        <v>30</v>
      </c>
      <c r="E283">
        <f t="shared" si="23"/>
        <v>30</v>
      </c>
      <c r="F283">
        <f t="shared" si="23"/>
        <v>30</v>
      </c>
      <c r="G283">
        <f t="shared" si="23"/>
        <v>30</v>
      </c>
      <c r="H283">
        <f t="shared" si="23"/>
        <v>30</v>
      </c>
      <c r="I283">
        <f t="shared" si="23"/>
        <v>30</v>
      </c>
      <c r="J283" s="12" t="s">
        <v>889</v>
      </c>
      <c r="K283" s="14" t="s">
        <v>1060</v>
      </c>
      <c r="L283" s="29"/>
      <c r="M283" s="14">
        <f>INDEX('Pivot Analysis'!A:B,MATCH(J283,'Pivot Analysis'!B:B,0),1)</f>
        <v>30</v>
      </c>
      <c r="N283" s="14" t="e">
        <f>INDEX(Cloc!E:F,MATCH(J283,Cloc!F:F,0),1)</f>
        <v>#N/A</v>
      </c>
      <c r="O283" s="14">
        <f t="shared" si="21"/>
        <v>30</v>
      </c>
      <c r="P283" s="14">
        <f>O283/Q283</f>
        <v>30</v>
      </c>
      <c r="Q283">
        <f>MAX(1,SUMPRODUCT($R$1:$AD$1,R283:AD283))</f>
        <v>1</v>
      </c>
    </row>
    <row r="284" spans="1:26" x14ac:dyDescent="0.25">
      <c r="A284" s="25" t="str">
        <f t="shared" si="22"/>
        <v>l10n_lt;base.group_user;99;99;99;99;99;99;99;99</v>
      </c>
      <c r="B284">
        <f t="shared" si="24"/>
        <v>99</v>
      </c>
      <c r="C284">
        <f t="shared" si="23"/>
        <v>99</v>
      </c>
      <c r="D284">
        <f t="shared" si="23"/>
        <v>99</v>
      </c>
      <c r="E284">
        <f t="shared" si="23"/>
        <v>99</v>
      </c>
      <c r="F284">
        <f t="shared" si="23"/>
        <v>99</v>
      </c>
      <c r="G284">
        <f t="shared" si="23"/>
        <v>99</v>
      </c>
      <c r="H284">
        <f t="shared" si="23"/>
        <v>99</v>
      </c>
      <c r="I284">
        <f t="shared" si="23"/>
        <v>99</v>
      </c>
      <c r="J284" s="12" t="s">
        <v>328</v>
      </c>
      <c r="K284" s="14" t="s">
        <v>1060</v>
      </c>
      <c r="L284" s="29"/>
      <c r="M284" s="14">
        <f>INDEX('Pivot Analysis'!A:B,MATCH(J284,'Pivot Analysis'!B:B,0),1)</f>
        <v>99</v>
      </c>
      <c r="N284" s="14" t="e">
        <f>INDEX(Cloc!E:F,MATCH(J284,Cloc!F:F,0),1)</f>
        <v>#N/A</v>
      </c>
      <c r="O284" s="14">
        <f t="shared" si="21"/>
        <v>99</v>
      </c>
      <c r="P284" s="14">
        <f>O284/Q284</f>
        <v>99</v>
      </c>
      <c r="Q284">
        <f>MAX(1,SUMPRODUCT($R$1:$AD$1,R284:AD284))</f>
        <v>1</v>
      </c>
    </row>
    <row r="285" spans="1:26" x14ac:dyDescent="0.25">
      <c r="A285" s="25" t="str">
        <f t="shared" si="22"/>
        <v>l10n_lu;base.group_user;669,9;669,9;669,9;669,9;669,9;669,9;669,9;669,9</v>
      </c>
      <c r="B285">
        <f t="shared" si="24"/>
        <v>669.9</v>
      </c>
      <c r="C285">
        <f t="shared" si="23"/>
        <v>669.9</v>
      </c>
      <c r="D285">
        <f t="shared" si="23"/>
        <v>669.9</v>
      </c>
      <c r="E285">
        <f t="shared" si="23"/>
        <v>669.9</v>
      </c>
      <c r="F285">
        <f t="shared" si="23"/>
        <v>669.9</v>
      </c>
      <c r="G285">
        <f t="shared" si="23"/>
        <v>669.9</v>
      </c>
      <c r="H285">
        <f t="shared" si="23"/>
        <v>669.9</v>
      </c>
      <c r="I285">
        <f t="shared" si="23"/>
        <v>669.9</v>
      </c>
      <c r="J285" s="12" t="s">
        <v>330</v>
      </c>
      <c r="K285" s="14" t="s">
        <v>1060</v>
      </c>
      <c r="L285" s="29"/>
      <c r="M285" s="14">
        <f>INDEX('Pivot Analysis'!A:B,MATCH(J285,'Pivot Analysis'!B:B,0),1)</f>
        <v>669.9</v>
      </c>
      <c r="N285" s="14" t="e">
        <f>INDEX(Cloc!E:F,MATCH(J285,Cloc!F:F,0),1)</f>
        <v>#N/A</v>
      </c>
      <c r="O285" s="14">
        <f t="shared" si="21"/>
        <v>669.9</v>
      </c>
      <c r="P285" s="14">
        <f>O285/Q285</f>
        <v>669.9</v>
      </c>
      <c r="Q285">
        <f>MAX(1,SUMPRODUCT($R$1:$AD$1,R285:AD285))</f>
        <v>1</v>
      </c>
    </row>
    <row r="286" spans="1:26" x14ac:dyDescent="0.25">
      <c r="A286" s="25" t="str">
        <f t="shared" si="22"/>
        <v>l10n_lu_peppol_id;base.group_user;180;180;180;180;180;180;180;180</v>
      </c>
      <c r="B286">
        <f t="shared" si="24"/>
        <v>180</v>
      </c>
      <c r="C286">
        <f t="shared" si="23"/>
        <v>180</v>
      </c>
      <c r="D286">
        <f t="shared" si="23"/>
        <v>180</v>
      </c>
      <c r="E286">
        <f t="shared" si="23"/>
        <v>180</v>
      </c>
      <c r="F286">
        <f t="shared" si="23"/>
        <v>180</v>
      </c>
      <c r="G286">
        <f t="shared" si="23"/>
        <v>180</v>
      </c>
      <c r="H286">
        <f t="shared" si="23"/>
        <v>180</v>
      </c>
      <c r="I286">
        <f t="shared" si="23"/>
        <v>180</v>
      </c>
      <c r="J286" s="12" t="s">
        <v>333</v>
      </c>
      <c r="K286" s="14" t="s">
        <v>1060</v>
      </c>
      <c r="L286" s="29"/>
      <c r="M286" s="14">
        <f>INDEX('Pivot Analysis'!A:B,MATCH(J286,'Pivot Analysis'!B:B,0),1)</f>
        <v>180</v>
      </c>
      <c r="N286" s="14" t="e">
        <f>INDEX(Cloc!E:F,MATCH(J286,Cloc!F:F,0),1)</f>
        <v>#N/A</v>
      </c>
      <c r="O286" s="14">
        <f t="shared" si="21"/>
        <v>180</v>
      </c>
      <c r="P286" s="14">
        <f>O286/Q286</f>
        <v>180</v>
      </c>
      <c r="Q286">
        <f>MAX(1,SUMPRODUCT($R$1:$AD$1,R286:AD286))</f>
        <v>1</v>
      </c>
    </row>
    <row r="287" spans="1:26" x14ac:dyDescent="0.25">
      <c r="A287" s="25" t="str">
        <f t="shared" si="22"/>
        <v>l10n_lv;base.group_user;141;141;141;141;141;141;141;141</v>
      </c>
      <c r="B287">
        <f t="shared" si="24"/>
        <v>141</v>
      </c>
      <c r="C287">
        <f t="shared" si="23"/>
        <v>141</v>
      </c>
      <c r="D287">
        <f t="shared" si="23"/>
        <v>141</v>
      </c>
      <c r="E287">
        <f t="shared" si="23"/>
        <v>141</v>
      </c>
      <c r="F287">
        <f t="shared" si="23"/>
        <v>141</v>
      </c>
      <c r="G287">
        <f t="shared" si="23"/>
        <v>141</v>
      </c>
      <c r="H287">
        <f t="shared" si="23"/>
        <v>141</v>
      </c>
      <c r="I287">
        <f t="shared" si="23"/>
        <v>141</v>
      </c>
      <c r="J287" s="12" t="s">
        <v>334</v>
      </c>
      <c r="K287" s="14" t="s">
        <v>1060</v>
      </c>
      <c r="L287" s="29"/>
      <c r="M287" s="14">
        <f>INDEX('Pivot Analysis'!A:B,MATCH(J287,'Pivot Analysis'!B:B,0),1)</f>
        <v>141</v>
      </c>
      <c r="N287" s="14" t="e">
        <f>INDEX(Cloc!E:F,MATCH(J287,Cloc!F:F,0),1)</f>
        <v>#N/A</v>
      </c>
      <c r="O287" s="14">
        <f t="shared" si="21"/>
        <v>141</v>
      </c>
      <c r="P287" s="14">
        <f>O287/Q287</f>
        <v>141</v>
      </c>
      <c r="Q287">
        <f>MAX(1,SUMPRODUCT($R$1:$AD$1,R287:AD287))</f>
        <v>1</v>
      </c>
    </row>
    <row r="288" spans="1:26" x14ac:dyDescent="0.25">
      <c r="A288" s="25" t="str">
        <f t="shared" si="22"/>
        <v>l10n_ma;base.group_user;348,9;348,9;348,9;348,9;348,9;348,9;348,9;348,9</v>
      </c>
      <c r="B288">
        <f t="shared" si="24"/>
        <v>348.89999999999992</v>
      </c>
      <c r="C288">
        <f t="shared" si="23"/>
        <v>348.89999999999992</v>
      </c>
      <c r="D288">
        <f t="shared" si="23"/>
        <v>348.89999999999992</v>
      </c>
      <c r="E288">
        <f t="shared" si="23"/>
        <v>348.89999999999992</v>
      </c>
      <c r="F288">
        <f t="shared" si="23"/>
        <v>348.89999999999992</v>
      </c>
      <c r="G288">
        <f t="shared" si="23"/>
        <v>348.89999999999992</v>
      </c>
      <c r="H288">
        <f t="shared" si="23"/>
        <v>348.89999999999992</v>
      </c>
      <c r="I288">
        <f t="shared" si="23"/>
        <v>348.89999999999992</v>
      </c>
      <c r="J288" s="12" t="s">
        <v>337</v>
      </c>
      <c r="K288" s="14" t="s">
        <v>1060</v>
      </c>
      <c r="L288" s="29"/>
      <c r="M288" s="14">
        <f>INDEX('Pivot Analysis'!A:B,MATCH(J288,'Pivot Analysis'!B:B,0),1)</f>
        <v>348.89999999999992</v>
      </c>
      <c r="N288" s="14" t="e">
        <f>INDEX(Cloc!E:F,MATCH(J288,Cloc!F:F,0),1)</f>
        <v>#N/A</v>
      </c>
      <c r="O288" s="14">
        <f t="shared" si="21"/>
        <v>348.89999999999992</v>
      </c>
      <c r="P288" s="14">
        <f>O288/Q288</f>
        <v>348.89999999999992</v>
      </c>
      <c r="Q288">
        <f>MAX(1,SUMPRODUCT($R$1:$AD$1,R288:AD288))</f>
        <v>1</v>
      </c>
    </row>
    <row r="289" spans="1:26" x14ac:dyDescent="0.25">
      <c r="A289" s="25" t="str">
        <f t="shared" si="22"/>
        <v>l10n_mc;base.group_user;1000;1000;1000;1000;1000;1000;1000;1000</v>
      </c>
      <c r="B289">
        <f t="shared" si="24"/>
        <v>1000</v>
      </c>
      <c r="C289">
        <f t="shared" si="23"/>
        <v>1000</v>
      </c>
      <c r="D289">
        <f t="shared" si="23"/>
        <v>1000</v>
      </c>
      <c r="E289">
        <f t="shared" si="23"/>
        <v>1000</v>
      </c>
      <c r="F289">
        <f t="shared" si="23"/>
        <v>1000</v>
      </c>
      <c r="G289">
        <f t="shared" si="23"/>
        <v>1000</v>
      </c>
      <c r="H289">
        <f t="shared" si="23"/>
        <v>1000</v>
      </c>
      <c r="I289">
        <f t="shared" si="23"/>
        <v>1000</v>
      </c>
      <c r="J289" s="14" t="s">
        <v>1098</v>
      </c>
      <c r="K289" s="14" t="s">
        <v>1060</v>
      </c>
      <c r="L289" s="29"/>
      <c r="M289" s="14" t="e">
        <f>INDEX('Pivot Analysis'!A:B,MATCH(J289,'Pivot Analysis'!B:B,0),1)</f>
        <v>#N/A</v>
      </c>
      <c r="N289" s="14" t="e">
        <f>INDEX(Cloc!E:F,MATCH(J289,Cloc!F:F,0),1)</f>
        <v>#N/A</v>
      </c>
      <c r="O289" s="14">
        <f t="shared" si="21"/>
        <v>1000</v>
      </c>
      <c r="P289" s="14">
        <f>O289/Q289</f>
        <v>1000</v>
      </c>
      <c r="Q289">
        <f>MAX(1,SUMPRODUCT($R$1:$AD$1,R289:AD289))</f>
        <v>1</v>
      </c>
      <c r="Z289">
        <v>1</v>
      </c>
    </row>
    <row r="290" spans="1:26" x14ac:dyDescent="0.25">
      <c r="A290" s="25" t="str">
        <f t="shared" si="22"/>
        <v>l10n_ml;base.group_user;30;30;30;30;30;30;30;30</v>
      </c>
      <c r="B290">
        <f t="shared" si="24"/>
        <v>30</v>
      </c>
      <c r="C290">
        <f t="shared" si="23"/>
        <v>30</v>
      </c>
      <c r="D290">
        <f t="shared" si="23"/>
        <v>30</v>
      </c>
      <c r="E290">
        <f t="shared" si="23"/>
        <v>30</v>
      </c>
      <c r="F290">
        <f t="shared" si="23"/>
        <v>30</v>
      </c>
      <c r="G290">
        <f t="shared" si="23"/>
        <v>30</v>
      </c>
      <c r="H290">
        <f t="shared" si="23"/>
        <v>30</v>
      </c>
      <c r="I290">
        <f t="shared" si="23"/>
        <v>30</v>
      </c>
      <c r="J290" s="12" t="s">
        <v>892</v>
      </c>
      <c r="K290" s="14" t="s">
        <v>1060</v>
      </c>
      <c r="L290" s="29"/>
      <c r="M290" s="14">
        <f>INDEX('Pivot Analysis'!A:B,MATCH(J290,'Pivot Analysis'!B:B,0),1)</f>
        <v>30</v>
      </c>
      <c r="N290" s="14" t="e">
        <f>INDEX(Cloc!E:F,MATCH(J290,Cloc!F:F,0),1)</f>
        <v>#N/A</v>
      </c>
      <c r="O290" s="14">
        <f t="shared" si="21"/>
        <v>30</v>
      </c>
      <c r="P290" s="14">
        <f>O290/Q290</f>
        <v>30</v>
      </c>
      <c r="Q290">
        <f>MAX(1,SUMPRODUCT($R$1:$AD$1,R290:AD290))</f>
        <v>1</v>
      </c>
    </row>
    <row r="291" spans="1:26" x14ac:dyDescent="0.25">
      <c r="A291" s="25" t="str">
        <f t="shared" si="22"/>
        <v>l10n_mn;base.group_user;222;222;222;222;222;222;222;222</v>
      </c>
      <c r="B291">
        <f t="shared" si="24"/>
        <v>222</v>
      </c>
      <c r="C291">
        <f t="shared" si="23"/>
        <v>222</v>
      </c>
      <c r="D291">
        <f t="shared" si="23"/>
        <v>222</v>
      </c>
      <c r="E291">
        <f t="shared" si="23"/>
        <v>222</v>
      </c>
      <c r="F291">
        <f t="shared" si="23"/>
        <v>222</v>
      </c>
      <c r="G291">
        <f t="shared" si="23"/>
        <v>222</v>
      </c>
      <c r="H291">
        <f t="shared" si="23"/>
        <v>222</v>
      </c>
      <c r="I291">
        <f t="shared" si="23"/>
        <v>222</v>
      </c>
      <c r="J291" s="12" t="s">
        <v>340</v>
      </c>
      <c r="K291" s="14" t="s">
        <v>1060</v>
      </c>
      <c r="L291" s="29"/>
      <c r="M291" s="14">
        <f>INDEX('Pivot Analysis'!A:B,MATCH(J291,'Pivot Analysis'!B:B,0),1)</f>
        <v>222</v>
      </c>
      <c r="N291" s="14" t="e">
        <f>INDEX(Cloc!E:F,MATCH(J291,Cloc!F:F,0),1)</f>
        <v>#N/A</v>
      </c>
      <c r="O291" s="14">
        <f t="shared" si="21"/>
        <v>222</v>
      </c>
      <c r="P291" s="14">
        <f>O291/Q291</f>
        <v>222</v>
      </c>
      <c r="Q291">
        <f>MAX(1,SUMPRODUCT($R$1:$AD$1,R291:AD291))</f>
        <v>1</v>
      </c>
    </row>
    <row r="292" spans="1:26" x14ac:dyDescent="0.25">
      <c r="A292" s="25" t="str">
        <f t="shared" si="22"/>
        <v>l10n_mt;base.group_user;30;30;30;30;30;30;30;30</v>
      </c>
      <c r="B292">
        <f t="shared" si="24"/>
        <v>30</v>
      </c>
      <c r="C292">
        <f t="shared" si="23"/>
        <v>30</v>
      </c>
      <c r="D292">
        <f t="shared" si="23"/>
        <v>30</v>
      </c>
      <c r="E292">
        <f t="shared" si="23"/>
        <v>30</v>
      </c>
      <c r="F292">
        <f t="shared" si="23"/>
        <v>30</v>
      </c>
      <c r="G292">
        <f t="shared" si="23"/>
        <v>30</v>
      </c>
      <c r="H292">
        <f t="shared" si="23"/>
        <v>30</v>
      </c>
      <c r="I292">
        <f t="shared" si="23"/>
        <v>30</v>
      </c>
      <c r="J292" s="12" t="s">
        <v>893</v>
      </c>
      <c r="K292" s="14" t="s">
        <v>1060</v>
      </c>
      <c r="L292" s="29"/>
      <c r="M292" s="14">
        <f>INDEX('Pivot Analysis'!A:B,MATCH(J292,'Pivot Analysis'!B:B,0),1)</f>
        <v>30</v>
      </c>
      <c r="N292" s="14" t="e">
        <f>INDEX(Cloc!E:F,MATCH(J292,Cloc!F:F,0),1)</f>
        <v>#N/A</v>
      </c>
      <c r="O292" s="14">
        <f t="shared" si="21"/>
        <v>30</v>
      </c>
      <c r="P292" s="14">
        <f>O292/Q292</f>
        <v>30</v>
      </c>
      <c r="Q292">
        <f>MAX(1,SUMPRODUCT($R$1:$AD$1,R292:AD292))</f>
        <v>1</v>
      </c>
    </row>
    <row r="293" spans="1:26" x14ac:dyDescent="0.25">
      <c r="A293" s="25" t="str">
        <f t="shared" si="22"/>
        <v>l10n_mt_pos;base.group_user;0;0;0;0;0;0;0;0</v>
      </c>
      <c r="B293">
        <f t="shared" si="24"/>
        <v>0</v>
      </c>
      <c r="C293">
        <f t="shared" si="23"/>
        <v>0</v>
      </c>
      <c r="D293">
        <f t="shared" si="23"/>
        <v>0</v>
      </c>
      <c r="E293">
        <f t="shared" si="23"/>
        <v>0</v>
      </c>
      <c r="F293">
        <f t="shared" si="23"/>
        <v>0</v>
      </c>
      <c r="G293">
        <f t="shared" si="23"/>
        <v>0</v>
      </c>
      <c r="H293">
        <f t="shared" si="23"/>
        <v>0</v>
      </c>
      <c r="I293">
        <f t="shared" si="23"/>
        <v>0</v>
      </c>
      <c r="J293" s="12" t="s">
        <v>894</v>
      </c>
      <c r="K293" s="14" t="s">
        <v>1060</v>
      </c>
      <c r="L293" s="29"/>
      <c r="M293" s="14">
        <f>INDEX('Pivot Analysis'!A:B,MATCH(J293,'Pivot Analysis'!B:B,0),1)</f>
        <v>0</v>
      </c>
      <c r="N293" s="14" t="e">
        <f>INDEX(Cloc!E:F,MATCH(J293,Cloc!F:F,0),1)</f>
        <v>#N/A</v>
      </c>
      <c r="O293" s="14">
        <f t="shared" si="21"/>
        <v>0</v>
      </c>
      <c r="P293" s="14">
        <f>O293/Q293</f>
        <v>0</v>
      </c>
      <c r="Q293">
        <f>MAX(1,SUMPRODUCT($R$1:$AD$1,R293:AD293))</f>
        <v>1</v>
      </c>
    </row>
    <row r="294" spans="1:26" x14ac:dyDescent="0.25">
      <c r="A294" s="25" t="str">
        <f t="shared" si="22"/>
        <v>l10n_mu_account;base.group_user;30;30;30;30;30;30;30;30</v>
      </c>
      <c r="B294">
        <f t="shared" si="24"/>
        <v>30</v>
      </c>
      <c r="C294">
        <f t="shared" si="23"/>
        <v>30</v>
      </c>
      <c r="D294">
        <f t="shared" si="23"/>
        <v>30</v>
      </c>
      <c r="E294">
        <f t="shared" si="23"/>
        <v>30</v>
      </c>
      <c r="F294">
        <f t="shared" si="23"/>
        <v>30</v>
      </c>
      <c r="G294">
        <f t="shared" si="23"/>
        <v>30</v>
      </c>
      <c r="H294">
        <f t="shared" si="23"/>
        <v>30</v>
      </c>
      <c r="I294">
        <f t="shared" si="23"/>
        <v>30</v>
      </c>
      <c r="J294" s="12" t="s">
        <v>895</v>
      </c>
      <c r="K294" s="14" t="s">
        <v>1060</v>
      </c>
      <c r="L294" s="29"/>
      <c r="M294" s="14">
        <f>INDEX('Pivot Analysis'!A:B,MATCH(J294,'Pivot Analysis'!B:B,0),1)</f>
        <v>30</v>
      </c>
      <c r="N294" s="14" t="e">
        <f>INDEX(Cloc!E:F,MATCH(J294,Cloc!F:F,0),1)</f>
        <v>#N/A</v>
      </c>
      <c r="O294" s="14">
        <f t="shared" si="21"/>
        <v>30</v>
      </c>
      <c r="P294" s="14">
        <f>O294/Q294</f>
        <v>30</v>
      </c>
      <c r="Q294">
        <f>MAX(1,SUMPRODUCT($R$1:$AD$1,R294:AD294))</f>
        <v>1</v>
      </c>
    </row>
    <row r="295" spans="1:26" x14ac:dyDescent="0.25">
      <c r="A295" s="25" t="str">
        <f t="shared" si="22"/>
        <v>l10n_multilang;base.group_user;180;180;180;180;180;180;180;180</v>
      </c>
      <c r="B295">
        <f t="shared" si="24"/>
        <v>180</v>
      </c>
      <c r="C295">
        <f t="shared" si="23"/>
        <v>180</v>
      </c>
      <c r="D295">
        <f t="shared" si="23"/>
        <v>180</v>
      </c>
      <c r="E295">
        <f t="shared" si="23"/>
        <v>180</v>
      </c>
      <c r="F295">
        <f t="shared" si="23"/>
        <v>180</v>
      </c>
      <c r="G295">
        <f t="shared" si="23"/>
        <v>180</v>
      </c>
      <c r="H295">
        <f t="shared" si="23"/>
        <v>180</v>
      </c>
      <c r="I295">
        <f t="shared" si="23"/>
        <v>180</v>
      </c>
      <c r="J295" s="12" t="s">
        <v>343</v>
      </c>
      <c r="K295" s="14" t="s">
        <v>1060</v>
      </c>
      <c r="L295" s="29"/>
      <c r="M295" s="14">
        <f>INDEX('Pivot Analysis'!A:B,MATCH(J295,'Pivot Analysis'!B:B,0),1)</f>
        <v>180</v>
      </c>
      <c r="N295" s="14" t="e">
        <f>INDEX(Cloc!E:F,MATCH(J295,Cloc!F:F,0),1)</f>
        <v>#N/A</v>
      </c>
      <c r="O295" s="14">
        <f t="shared" si="21"/>
        <v>180</v>
      </c>
      <c r="P295" s="14">
        <f>O295/Q295</f>
        <v>180</v>
      </c>
      <c r="Q295">
        <f>MAX(1,SUMPRODUCT($R$1:$AD$1,R295:AD295))</f>
        <v>1</v>
      </c>
    </row>
    <row r="296" spans="1:26" x14ac:dyDescent="0.25">
      <c r="A296" s="25" t="str">
        <f t="shared" si="22"/>
        <v>l10n_mx;base.group_user;439,5;439,5;439,5;439,5;439,5;439,5;439,5;439,5</v>
      </c>
      <c r="B296">
        <f t="shared" si="24"/>
        <v>439.50000000000011</v>
      </c>
      <c r="C296">
        <f t="shared" si="23"/>
        <v>439.50000000000011</v>
      </c>
      <c r="D296">
        <f t="shared" si="23"/>
        <v>439.50000000000011</v>
      </c>
      <c r="E296">
        <f t="shared" si="23"/>
        <v>439.50000000000011</v>
      </c>
      <c r="F296">
        <f t="shared" si="23"/>
        <v>439.50000000000011</v>
      </c>
      <c r="G296">
        <f t="shared" si="23"/>
        <v>439.50000000000011</v>
      </c>
      <c r="H296">
        <f t="shared" si="23"/>
        <v>439.50000000000011</v>
      </c>
      <c r="I296">
        <f t="shared" si="23"/>
        <v>439.50000000000011</v>
      </c>
      <c r="J296" s="12" t="s">
        <v>344</v>
      </c>
      <c r="K296" s="14" t="s">
        <v>1060</v>
      </c>
      <c r="L296" s="29"/>
      <c r="M296" s="14">
        <f>INDEX('Pivot Analysis'!A:B,MATCH(J296,'Pivot Analysis'!B:B,0),1)</f>
        <v>439.50000000000011</v>
      </c>
      <c r="N296" s="14" t="e">
        <f>INDEX(Cloc!E:F,MATCH(J296,Cloc!F:F,0),1)</f>
        <v>#N/A</v>
      </c>
      <c r="O296" s="14">
        <f t="shared" si="21"/>
        <v>439.50000000000011</v>
      </c>
      <c r="P296" s="14">
        <f>O296/Q296</f>
        <v>439.50000000000011</v>
      </c>
      <c r="Q296">
        <f>MAX(1,SUMPRODUCT($R$1:$AD$1,R296:AD296))</f>
        <v>1</v>
      </c>
    </row>
    <row r="297" spans="1:26" x14ac:dyDescent="0.25">
      <c r="A297" s="25" t="str">
        <f t="shared" si="22"/>
        <v>l10n_mx_hr;base.group_user;4,5;4,5;4,5;4,5;4,5;4,5;4,5;4,5</v>
      </c>
      <c r="B297">
        <f t="shared" si="24"/>
        <v>4.5</v>
      </c>
      <c r="C297">
        <f t="shared" si="23"/>
        <v>4.5</v>
      </c>
      <c r="D297">
        <f t="shared" si="23"/>
        <v>4.5</v>
      </c>
      <c r="E297">
        <f t="shared" si="23"/>
        <v>4.5</v>
      </c>
      <c r="F297">
        <f t="shared" si="23"/>
        <v>4.5</v>
      </c>
      <c r="G297">
        <f t="shared" si="23"/>
        <v>4.5</v>
      </c>
      <c r="H297">
        <f t="shared" si="23"/>
        <v>4.5</v>
      </c>
      <c r="I297">
        <f t="shared" si="23"/>
        <v>4.5</v>
      </c>
      <c r="J297" s="12" t="s">
        <v>347</v>
      </c>
      <c r="K297" s="14" t="s">
        <v>1060</v>
      </c>
      <c r="L297" s="29"/>
      <c r="M297" s="14">
        <f>INDEX('Pivot Analysis'!A:B,MATCH(J297,'Pivot Analysis'!B:B,0),1)</f>
        <v>4.5</v>
      </c>
      <c r="N297" s="14" t="e">
        <f>INDEX(Cloc!E:F,MATCH(J297,Cloc!F:F,0),1)</f>
        <v>#N/A</v>
      </c>
      <c r="O297" s="14">
        <f t="shared" si="21"/>
        <v>4.5</v>
      </c>
      <c r="P297" s="14">
        <f>O297/Q297</f>
        <v>4.5</v>
      </c>
      <c r="Q297">
        <f>MAX(1,SUMPRODUCT($R$1:$AD$1,R297:AD297))</f>
        <v>1</v>
      </c>
    </row>
    <row r="298" spans="1:26" x14ac:dyDescent="0.25">
      <c r="A298" s="25" t="str">
        <f t="shared" si="22"/>
        <v>l10n_my;base.group_user;66;66;66;66;66;66;66;66</v>
      </c>
      <c r="B298">
        <f t="shared" si="24"/>
        <v>66</v>
      </c>
      <c r="C298">
        <f t="shared" si="23"/>
        <v>66</v>
      </c>
      <c r="D298">
        <f t="shared" si="23"/>
        <v>66</v>
      </c>
      <c r="E298">
        <f t="shared" si="23"/>
        <v>66</v>
      </c>
      <c r="F298">
        <f t="shared" si="23"/>
        <v>66</v>
      </c>
      <c r="G298">
        <f t="shared" si="23"/>
        <v>66</v>
      </c>
      <c r="H298">
        <f t="shared" si="23"/>
        <v>66</v>
      </c>
      <c r="I298">
        <f t="shared" si="23"/>
        <v>66</v>
      </c>
      <c r="J298" s="12" t="s">
        <v>348</v>
      </c>
      <c r="K298" s="14" t="s">
        <v>1060</v>
      </c>
      <c r="L298" s="29"/>
      <c r="M298" s="14">
        <f>INDEX('Pivot Analysis'!A:B,MATCH(J298,'Pivot Analysis'!B:B,0),1)</f>
        <v>66</v>
      </c>
      <c r="N298" s="14" t="e">
        <f>INDEX(Cloc!E:F,MATCH(J298,Cloc!F:F,0),1)</f>
        <v>#N/A</v>
      </c>
      <c r="O298" s="14">
        <f t="shared" si="21"/>
        <v>66</v>
      </c>
      <c r="P298" s="14">
        <f>O298/Q298</f>
        <v>66</v>
      </c>
      <c r="Q298">
        <f>MAX(1,SUMPRODUCT($R$1:$AD$1,R298:AD298))</f>
        <v>1</v>
      </c>
    </row>
    <row r="299" spans="1:26" x14ac:dyDescent="0.25">
      <c r="A299" s="25" t="str">
        <f t="shared" si="22"/>
        <v>l10n_my_edi;base.group_user;30;30;30;30;30;30;30;30</v>
      </c>
      <c r="B299">
        <f t="shared" si="24"/>
        <v>30</v>
      </c>
      <c r="C299">
        <f t="shared" si="23"/>
        <v>30</v>
      </c>
      <c r="D299">
        <f t="shared" si="23"/>
        <v>30</v>
      </c>
      <c r="E299">
        <f t="shared" si="23"/>
        <v>30</v>
      </c>
      <c r="F299">
        <f t="shared" si="23"/>
        <v>30</v>
      </c>
      <c r="G299">
        <f t="shared" si="23"/>
        <v>30</v>
      </c>
      <c r="H299">
        <f t="shared" si="23"/>
        <v>30</v>
      </c>
      <c r="I299">
        <f t="shared" si="23"/>
        <v>30</v>
      </c>
      <c r="J299" s="12" t="s">
        <v>896</v>
      </c>
      <c r="K299" s="14" t="s">
        <v>1060</v>
      </c>
      <c r="L299" s="29"/>
      <c r="M299" s="14">
        <f>INDEX('Pivot Analysis'!A:B,MATCH(J299,'Pivot Analysis'!B:B,0),1)</f>
        <v>30</v>
      </c>
      <c r="N299" s="14" t="e">
        <f>INDEX(Cloc!E:F,MATCH(J299,Cloc!F:F,0),1)</f>
        <v>#N/A</v>
      </c>
      <c r="O299" s="14">
        <f t="shared" si="21"/>
        <v>30</v>
      </c>
      <c r="P299" s="14">
        <f>O299/Q299</f>
        <v>30</v>
      </c>
      <c r="Q299">
        <f>MAX(1,SUMPRODUCT($R$1:$AD$1,R299:AD299))</f>
        <v>1</v>
      </c>
    </row>
    <row r="300" spans="1:26" x14ac:dyDescent="0.25">
      <c r="A300" s="25" t="str">
        <f t="shared" si="22"/>
        <v>l10n_my_edi_extended;base.group_user;0;0;0;0;0;0;0;0</v>
      </c>
      <c r="B300">
        <f t="shared" si="24"/>
        <v>0</v>
      </c>
      <c r="C300">
        <f t="shared" si="23"/>
        <v>0</v>
      </c>
      <c r="D300">
        <f t="shared" si="23"/>
        <v>0</v>
      </c>
      <c r="E300">
        <f t="shared" si="23"/>
        <v>0</v>
      </c>
      <c r="F300">
        <f t="shared" si="23"/>
        <v>0</v>
      </c>
      <c r="G300">
        <f t="shared" si="23"/>
        <v>0</v>
      </c>
      <c r="H300">
        <f t="shared" si="23"/>
        <v>0</v>
      </c>
      <c r="I300">
        <f t="shared" si="23"/>
        <v>0</v>
      </c>
      <c r="J300" s="12" t="s">
        <v>897</v>
      </c>
      <c r="K300" s="14" t="s">
        <v>1060</v>
      </c>
      <c r="L300" s="29"/>
      <c r="M300" s="14">
        <f>INDEX('Pivot Analysis'!A:B,MATCH(J300,'Pivot Analysis'!B:B,0),1)</f>
        <v>0</v>
      </c>
      <c r="N300" s="14" t="e">
        <f>INDEX(Cloc!E:F,MATCH(J300,Cloc!F:F,0),1)</f>
        <v>#N/A</v>
      </c>
      <c r="O300" s="14">
        <f t="shared" si="21"/>
        <v>0</v>
      </c>
      <c r="P300" s="14">
        <f>O300/Q300</f>
        <v>0</v>
      </c>
      <c r="Q300">
        <f>MAX(1,SUMPRODUCT($R$1:$AD$1,R300:AD300))</f>
        <v>1</v>
      </c>
    </row>
    <row r="301" spans="1:26" x14ac:dyDescent="0.25">
      <c r="A301" s="25" t="str">
        <f t="shared" si="22"/>
        <v>l10n_my_ubl_pint;base.group_user;60;60;60;60;60;60;60;60</v>
      </c>
      <c r="B301">
        <f t="shared" si="24"/>
        <v>60</v>
      </c>
      <c r="C301">
        <f t="shared" si="23"/>
        <v>60</v>
      </c>
      <c r="D301">
        <f t="shared" si="23"/>
        <v>60</v>
      </c>
      <c r="E301">
        <f t="shared" si="23"/>
        <v>60</v>
      </c>
      <c r="F301">
        <f t="shared" si="23"/>
        <v>60</v>
      </c>
      <c r="G301">
        <f t="shared" si="23"/>
        <v>60</v>
      </c>
      <c r="H301">
        <f t="shared" si="23"/>
        <v>60</v>
      </c>
      <c r="I301">
        <f t="shared" si="23"/>
        <v>60</v>
      </c>
      <c r="J301" s="12" t="s">
        <v>898</v>
      </c>
      <c r="K301" s="14" t="s">
        <v>1060</v>
      </c>
      <c r="L301" s="29"/>
      <c r="M301" s="14">
        <f>INDEX('Pivot Analysis'!A:B,MATCH(J301,'Pivot Analysis'!B:B,0),1)</f>
        <v>60</v>
      </c>
      <c r="N301" s="14" t="e">
        <f>INDEX(Cloc!E:F,MATCH(J301,Cloc!F:F,0),1)</f>
        <v>#N/A</v>
      </c>
      <c r="O301" s="14">
        <f t="shared" si="21"/>
        <v>60</v>
      </c>
      <c r="P301" s="14">
        <f>O301/Q301</f>
        <v>60</v>
      </c>
      <c r="Q301">
        <f>MAX(1,SUMPRODUCT($R$1:$AD$1,R301:AD301))</f>
        <v>1</v>
      </c>
    </row>
    <row r="302" spans="1:26" x14ac:dyDescent="0.25">
      <c r="A302" s="25" t="str">
        <f t="shared" si="22"/>
        <v>l10n_mz;base.group_user;165;165;165;165;165;165;165;165</v>
      </c>
      <c r="B302">
        <f t="shared" si="24"/>
        <v>164.99999999999997</v>
      </c>
      <c r="C302">
        <f t="shared" si="23"/>
        <v>164.99999999999997</v>
      </c>
      <c r="D302">
        <f t="shared" si="23"/>
        <v>164.99999999999997</v>
      </c>
      <c r="E302">
        <f t="shared" si="23"/>
        <v>164.99999999999997</v>
      </c>
      <c r="F302">
        <f t="shared" si="23"/>
        <v>164.99999999999997</v>
      </c>
      <c r="G302">
        <f t="shared" si="23"/>
        <v>164.99999999999997</v>
      </c>
      <c r="H302">
        <f t="shared" si="23"/>
        <v>164.99999999999997</v>
      </c>
      <c r="I302">
        <f t="shared" si="23"/>
        <v>164.99999999999997</v>
      </c>
      <c r="J302" s="12" t="s">
        <v>351</v>
      </c>
      <c r="K302" s="14" t="s">
        <v>1060</v>
      </c>
      <c r="L302" s="29"/>
      <c r="M302" s="14">
        <f>INDEX('Pivot Analysis'!A:B,MATCH(J302,'Pivot Analysis'!B:B,0),1)</f>
        <v>164.99999999999997</v>
      </c>
      <c r="N302" s="14" t="e">
        <f>INDEX(Cloc!E:F,MATCH(J302,Cloc!F:F,0),1)</f>
        <v>#N/A</v>
      </c>
      <c r="O302" s="14">
        <f t="shared" si="21"/>
        <v>164.99999999999997</v>
      </c>
      <c r="P302" s="14">
        <f>O302/Q302</f>
        <v>164.99999999999997</v>
      </c>
      <c r="Q302">
        <f>MAX(1,SUMPRODUCT($R$1:$AD$1,R302:AD302))</f>
        <v>1</v>
      </c>
    </row>
    <row r="303" spans="1:26" x14ac:dyDescent="0.25">
      <c r="A303" s="25" t="str">
        <f t="shared" si="22"/>
        <v>l10n_ne;base.group_user;30;30;30;30;30;30;30;30</v>
      </c>
      <c r="B303">
        <f t="shared" si="24"/>
        <v>30</v>
      </c>
      <c r="C303">
        <f t="shared" si="23"/>
        <v>30</v>
      </c>
      <c r="D303">
        <f t="shared" si="23"/>
        <v>30</v>
      </c>
      <c r="E303">
        <f t="shared" si="23"/>
        <v>30</v>
      </c>
      <c r="F303">
        <f t="shared" si="23"/>
        <v>30</v>
      </c>
      <c r="G303">
        <f t="shared" si="23"/>
        <v>30</v>
      </c>
      <c r="H303">
        <f t="shared" si="23"/>
        <v>30</v>
      </c>
      <c r="I303">
        <f t="shared" si="23"/>
        <v>30</v>
      </c>
      <c r="J303" s="12" t="s">
        <v>899</v>
      </c>
      <c r="K303" s="14" t="s">
        <v>1060</v>
      </c>
      <c r="L303" s="29"/>
      <c r="M303" s="14">
        <f>INDEX('Pivot Analysis'!A:B,MATCH(J303,'Pivot Analysis'!B:B,0),1)</f>
        <v>30</v>
      </c>
      <c r="N303" s="14" t="e">
        <f>INDEX(Cloc!E:F,MATCH(J303,Cloc!F:F,0),1)</f>
        <v>#N/A</v>
      </c>
      <c r="O303" s="14">
        <f t="shared" si="21"/>
        <v>30</v>
      </c>
      <c r="P303" s="14">
        <f>O303/Q303</f>
        <v>30</v>
      </c>
      <c r="Q303">
        <f>MAX(1,SUMPRODUCT($R$1:$AD$1,R303:AD303))</f>
        <v>1</v>
      </c>
    </row>
    <row r="304" spans="1:26" x14ac:dyDescent="0.25">
      <c r="A304" s="25" t="str">
        <f t="shared" si="22"/>
        <v>l10n_ng;base.group_user;30;30;30;30;30;30;30;30</v>
      </c>
      <c r="B304">
        <f t="shared" si="24"/>
        <v>30</v>
      </c>
      <c r="C304">
        <f t="shared" si="23"/>
        <v>30</v>
      </c>
      <c r="D304">
        <f t="shared" si="23"/>
        <v>30</v>
      </c>
      <c r="E304">
        <f t="shared" si="23"/>
        <v>30</v>
      </c>
      <c r="F304">
        <f t="shared" si="23"/>
        <v>30</v>
      </c>
      <c r="G304">
        <f t="shared" si="23"/>
        <v>30</v>
      </c>
      <c r="H304">
        <f t="shared" si="23"/>
        <v>30</v>
      </c>
      <c r="I304">
        <f t="shared" si="23"/>
        <v>30</v>
      </c>
      <c r="J304" s="12" t="s">
        <v>900</v>
      </c>
      <c r="K304" s="14" t="s">
        <v>1060</v>
      </c>
      <c r="L304" s="29"/>
      <c r="M304" s="14">
        <f>INDEX('Pivot Analysis'!A:B,MATCH(J304,'Pivot Analysis'!B:B,0),1)</f>
        <v>30</v>
      </c>
      <c r="N304" s="14" t="e">
        <f>INDEX(Cloc!E:F,MATCH(J304,Cloc!F:F,0),1)</f>
        <v>#N/A</v>
      </c>
      <c r="O304" s="14">
        <f t="shared" si="21"/>
        <v>30</v>
      </c>
      <c r="P304" s="14">
        <f>O304/Q304</f>
        <v>30</v>
      </c>
      <c r="Q304">
        <f>MAX(1,SUMPRODUCT($R$1:$AD$1,R304:AD304))</f>
        <v>1</v>
      </c>
    </row>
    <row r="305" spans="1:17" x14ac:dyDescent="0.25">
      <c r="A305" s="25" t="str">
        <f t="shared" si="22"/>
        <v>l10n_nl;base.group_user;210;210;210;210;210;210;210;210</v>
      </c>
      <c r="B305">
        <f t="shared" si="24"/>
        <v>210</v>
      </c>
      <c r="C305">
        <f t="shared" si="23"/>
        <v>210</v>
      </c>
      <c r="D305">
        <f t="shared" si="23"/>
        <v>210</v>
      </c>
      <c r="E305">
        <f t="shared" si="23"/>
        <v>210</v>
      </c>
      <c r="F305">
        <f t="shared" si="23"/>
        <v>210</v>
      </c>
      <c r="G305">
        <f t="shared" si="23"/>
        <v>210</v>
      </c>
      <c r="H305">
        <f t="shared" si="23"/>
        <v>210</v>
      </c>
      <c r="I305">
        <f t="shared" si="23"/>
        <v>210</v>
      </c>
      <c r="J305" s="12" t="s">
        <v>353</v>
      </c>
      <c r="K305" s="14" t="s">
        <v>1060</v>
      </c>
      <c r="L305" s="29"/>
      <c r="M305" s="14">
        <f>INDEX('Pivot Analysis'!A:B,MATCH(J305,'Pivot Analysis'!B:B,0),1)</f>
        <v>210</v>
      </c>
      <c r="N305" s="14" t="e">
        <f>INDEX(Cloc!E:F,MATCH(J305,Cloc!F:F,0),1)</f>
        <v>#N/A</v>
      </c>
      <c r="O305" s="14">
        <f t="shared" si="21"/>
        <v>210</v>
      </c>
      <c r="P305" s="14">
        <f>O305/Q305</f>
        <v>210</v>
      </c>
      <c r="Q305">
        <f>MAX(1,SUMPRODUCT($R$1:$AD$1,R305:AD305))</f>
        <v>1</v>
      </c>
    </row>
    <row r="306" spans="1:17" x14ac:dyDescent="0.25">
      <c r="A306" s="25" t="str">
        <f t="shared" si="22"/>
        <v>l10n_no;base.group_user;183;183;183;183;183;183;183;183</v>
      </c>
      <c r="B306">
        <f t="shared" si="24"/>
        <v>183</v>
      </c>
      <c r="C306">
        <f t="shared" si="23"/>
        <v>183</v>
      </c>
      <c r="D306">
        <f t="shared" si="23"/>
        <v>183</v>
      </c>
      <c r="E306">
        <f t="shared" si="23"/>
        <v>183</v>
      </c>
      <c r="F306">
        <f t="shared" si="23"/>
        <v>183</v>
      </c>
      <c r="G306">
        <f t="shared" si="23"/>
        <v>183</v>
      </c>
      <c r="H306">
        <f t="shared" si="23"/>
        <v>183</v>
      </c>
      <c r="I306">
        <f t="shared" si="23"/>
        <v>183</v>
      </c>
      <c r="J306" s="12" t="s">
        <v>356</v>
      </c>
      <c r="K306" s="14" t="s">
        <v>1060</v>
      </c>
      <c r="L306" s="29"/>
      <c r="M306" s="14">
        <f>INDEX('Pivot Analysis'!A:B,MATCH(J306,'Pivot Analysis'!B:B,0),1)</f>
        <v>183</v>
      </c>
      <c r="N306" s="14" t="e">
        <f>INDEX(Cloc!E:F,MATCH(J306,Cloc!F:F,0),1)</f>
        <v>#N/A</v>
      </c>
      <c r="O306" s="14">
        <f t="shared" si="21"/>
        <v>183</v>
      </c>
      <c r="P306" s="14">
        <f>O306/Q306</f>
        <v>183</v>
      </c>
      <c r="Q306">
        <f>MAX(1,SUMPRODUCT($R$1:$AD$1,R306:AD306))</f>
        <v>1</v>
      </c>
    </row>
    <row r="307" spans="1:17" x14ac:dyDescent="0.25">
      <c r="A307" s="25" t="str">
        <f t="shared" si="22"/>
        <v>l10n_nz;base.group_user;69;69;69;69;69;69;69;69</v>
      </c>
      <c r="B307">
        <f t="shared" si="24"/>
        <v>69</v>
      </c>
      <c r="C307">
        <f t="shared" si="23"/>
        <v>69</v>
      </c>
      <c r="D307">
        <f t="shared" si="23"/>
        <v>69</v>
      </c>
      <c r="E307">
        <f t="shared" si="23"/>
        <v>69</v>
      </c>
      <c r="F307">
        <f t="shared" si="23"/>
        <v>69</v>
      </c>
      <c r="G307">
        <f t="shared" si="23"/>
        <v>69</v>
      </c>
      <c r="H307">
        <f t="shared" si="23"/>
        <v>69</v>
      </c>
      <c r="I307">
        <f t="shared" si="23"/>
        <v>69</v>
      </c>
      <c r="J307" s="12" t="s">
        <v>359</v>
      </c>
      <c r="K307" s="14" t="s">
        <v>1060</v>
      </c>
      <c r="L307" s="29"/>
      <c r="M307" s="14">
        <f>INDEX('Pivot Analysis'!A:B,MATCH(J307,'Pivot Analysis'!B:B,0),1)</f>
        <v>69</v>
      </c>
      <c r="N307" s="14" t="e">
        <f>INDEX(Cloc!E:F,MATCH(J307,Cloc!F:F,0),1)</f>
        <v>#N/A</v>
      </c>
      <c r="O307" s="14">
        <f t="shared" si="21"/>
        <v>69</v>
      </c>
      <c r="P307" s="14">
        <f>O307/Q307</f>
        <v>69</v>
      </c>
      <c r="Q307">
        <f>MAX(1,SUMPRODUCT($R$1:$AD$1,R307:AD307))</f>
        <v>1</v>
      </c>
    </row>
    <row r="308" spans="1:17" x14ac:dyDescent="0.25">
      <c r="A308" s="25" t="str">
        <f t="shared" si="22"/>
        <v>l10n_pa;base.group_user;69;69;69;69;69;69;69;69</v>
      </c>
      <c r="B308">
        <f t="shared" si="24"/>
        <v>69</v>
      </c>
      <c r="C308">
        <f t="shared" si="23"/>
        <v>69</v>
      </c>
      <c r="D308">
        <f t="shared" si="23"/>
        <v>69</v>
      </c>
      <c r="E308">
        <f t="shared" si="23"/>
        <v>69</v>
      </c>
      <c r="F308">
        <f t="shared" si="23"/>
        <v>69</v>
      </c>
      <c r="G308">
        <f t="shared" si="23"/>
        <v>69</v>
      </c>
      <c r="H308">
        <f t="shared" si="23"/>
        <v>69</v>
      </c>
      <c r="I308">
        <f t="shared" si="23"/>
        <v>69</v>
      </c>
      <c r="J308" s="12" t="s">
        <v>361</v>
      </c>
      <c r="K308" s="14" t="s">
        <v>1060</v>
      </c>
      <c r="L308" s="29"/>
      <c r="M308" s="14">
        <f>INDEX('Pivot Analysis'!A:B,MATCH(J308,'Pivot Analysis'!B:B,0),1)</f>
        <v>69</v>
      </c>
      <c r="N308" s="14" t="e">
        <f>INDEX(Cloc!E:F,MATCH(J308,Cloc!F:F,0),1)</f>
        <v>#N/A</v>
      </c>
      <c r="O308" s="14">
        <f t="shared" si="21"/>
        <v>69</v>
      </c>
      <c r="P308" s="14">
        <f>O308/Q308</f>
        <v>69</v>
      </c>
      <c r="Q308">
        <f>MAX(1,SUMPRODUCT($R$1:$AD$1,R308:AD308))</f>
        <v>1</v>
      </c>
    </row>
    <row r="309" spans="1:17" x14ac:dyDescent="0.25">
      <c r="A309" s="25" t="str">
        <f t="shared" si="22"/>
        <v>l10n_pe;base.group_user;489;489;489;489;489;489;489;489</v>
      </c>
      <c r="B309">
        <f t="shared" si="24"/>
        <v>489</v>
      </c>
      <c r="C309">
        <f t="shared" si="23"/>
        <v>489</v>
      </c>
      <c r="D309">
        <f t="shared" si="23"/>
        <v>489</v>
      </c>
      <c r="E309">
        <f t="shared" si="23"/>
        <v>489</v>
      </c>
      <c r="F309">
        <f t="shared" si="23"/>
        <v>489</v>
      </c>
      <c r="G309">
        <f t="shared" si="23"/>
        <v>489</v>
      </c>
      <c r="H309">
        <f t="shared" si="23"/>
        <v>489</v>
      </c>
      <c r="I309">
        <f t="shared" si="23"/>
        <v>489</v>
      </c>
      <c r="J309" s="12" t="s">
        <v>363</v>
      </c>
      <c r="K309" s="14" t="s">
        <v>1060</v>
      </c>
      <c r="L309" s="29"/>
      <c r="M309" s="14">
        <f>INDEX('Pivot Analysis'!A:B,MATCH(J309,'Pivot Analysis'!B:B,0),1)</f>
        <v>489</v>
      </c>
      <c r="N309" s="14" t="e">
        <f>INDEX(Cloc!E:F,MATCH(J309,Cloc!F:F,0),1)</f>
        <v>#N/A</v>
      </c>
      <c r="O309" s="14">
        <f t="shared" si="21"/>
        <v>489</v>
      </c>
      <c r="P309" s="14">
        <f>O309/Q309</f>
        <v>489</v>
      </c>
      <c r="Q309">
        <f>MAX(1,SUMPRODUCT($R$1:$AD$1,R309:AD309))</f>
        <v>1</v>
      </c>
    </row>
    <row r="310" spans="1:17" x14ac:dyDescent="0.25">
      <c r="A310" s="25" t="str">
        <f t="shared" si="22"/>
        <v>l10n_pe_pos;base.group_user;0;0;0;0;0;0;0;0</v>
      </c>
      <c r="B310">
        <f t="shared" si="24"/>
        <v>0</v>
      </c>
      <c r="C310">
        <f t="shared" si="23"/>
        <v>0</v>
      </c>
      <c r="D310">
        <f t="shared" si="23"/>
        <v>0</v>
      </c>
      <c r="E310">
        <f t="shared" si="23"/>
        <v>0</v>
      </c>
      <c r="F310">
        <f t="shared" si="23"/>
        <v>0</v>
      </c>
      <c r="G310">
        <f t="shared" si="23"/>
        <v>0</v>
      </c>
      <c r="H310">
        <f t="shared" si="23"/>
        <v>0</v>
      </c>
      <c r="I310">
        <f t="shared" si="23"/>
        <v>0</v>
      </c>
      <c r="J310" s="12" t="s">
        <v>901</v>
      </c>
      <c r="K310" s="14" t="s">
        <v>1060</v>
      </c>
      <c r="L310" s="29"/>
      <c r="M310" s="14">
        <f>INDEX('Pivot Analysis'!A:B,MATCH(J310,'Pivot Analysis'!B:B,0),1)</f>
        <v>0</v>
      </c>
      <c r="N310" s="14" t="e">
        <f>INDEX(Cloc!E:F,MATCH(J310,Cloc!F:F,0),1)</f>
        <v>#N/A</v>
      </c>
      <c r="O310" s="14">
        <f t="shared" si="21"/>
        <v>0</v>
      </c>
      <c r="P310" s="14">
        <f>O310/Q310</f>
        <v>0</v>
      </c>
      <c r="Q310">
        <f>MAX(1,SUMPRODUCT($R$1:$AD$1,R310:AD310))</f>
        <v>1</v>
      </c>
    </row>
    <row r="311" spans="1:17" x14ac:dyDescent="0.25">
      <c r="A311" s="25" t="str">
        <f t="shared" si="22"/>
        <v>l10n_pe_website_sale;base.group_user;30;30;30;30;30;30;30;30</v>
      </c>
      <c r="B311">
        <f t="shared" si="24"/>
        <v>30</v>
      </c>
      <c r="C311">
        <f t="shared" si="23"/>
        <v>30</v>
      </c>
      <c r="D311">
        <f t="shared" si="23"/>
        <v>30</v>
      </c>
      <c r="E311">
        <f t="shared" si="23"/>
        <v>30</v>
      </c>
      <c r="F311">
        <f t="shared" si="23"/>
        <v>30</v>
      </c>
      <c r="G311">
        <f t="shared" si="23"/>
        <v>30</v>
      </c>
      <c r="H311">
        <f t="shared" si="23"/>
        <v>30</v>
      </c>
      <c r="I311">
        <f t="shared" si="23"/>
        <v>30</v>
      </c>
      <c r="J311" s="12" t="s">
        <v>902</v>
      </c>
      <c r="K311" s="14" t="s">
        <v>1060</v>
      </c>
      <c r="L311" s="29"/>
      <c r="M311" s="14">
        <f>INDEX('Pivot Analysis'!A:B,MATCH(J311,'Pivot Analysis'!B:B,0),1)</f>
        <v>30</v>
      </c>
      <c r="N311" s="14" t="e">
        <f>INDEX(Cloc!E:F,MATCH(J311,Cloc!F:F,0),1)</f>
        <v>#N/A</v>
      </c>
      <c r="O311" s="14">
        <f t="shared" si="21"/>
        <v>30</v>
      </c>
      <c r="P311" s="14">
        <f>O311/Q311</f>
        <v>30</v>
      </c>
      <c r="Q311">
        <f>MAX(1,SUMPRODUCT($R$1:$AD$1,R311:AD311))</f>
        <v>1</v>
      </c>
    </row>
    <row r="312" spans="1:17" x14ac:dyDescent="0.25">
      <c r="A312" s="25" t="str">
        <f t="shared" si="22"/>
        <v>l10n_ph;base.group_user;120,3;120,3;120,3;120,3;120,3;120,3;120,3;120,3</v>
      </c>
      <c r="B312">
        <f t="shared" si="24"/>
        <v>120.3</v>
      </c>
      <c r="C312">
        <f t="shared" si="23"/>
        <v>120.3</v>
      </c>
      <c r="D312">
        <f t="shared" si="23"/>
        <v>120.3</v>
      </c>
      <c r="E312">
        <f t="shared" si="23"/>
        <v>120.3</v>
      </c>
      <c r="F312">
        <f t="shared" si="23"/>
        <v>120.3</v>
      </c>
      <c r="G312">
        <f t="shared" si="23"/>
        <v>120.3</v>
      </c>
      <c r="H312">
        <f t="shared" si="23"/>
        <v>120.3</v>
      </c>
      <c r="I312">
        <f t="shared" si="23"/>
        <v>120.3</v>
      </c>
      <c r="J312" s="12" t="s">
        <v>366</v>
      </c>
      <c r="K312" s="14" t="s">
        <v>1060</v>
      </c>
      <c r="L312" s="29"/>
      <c r="M312" s="14">
        <f>INDEX('Pivot Analysis'!A:B,MATCH(J312,'Pivot Analysis'!B:B,0),1)</f>
        <v>120.3</v>
      </c>
      <c r="N312" s="14" t="e">
        <f>INDEX(Cloc!E:F,MATCH(J312,Cloc!F:F,0),1)</f>
        <v>#N/A</v>
      </c>
      <c r="O312" s="14">
        <f t="shared" si="21"/>
        <v>120.3</v>
      </c>
      <c r="P312" s="14">
        <f>O312/Q312</f>
        <v>120.3</v>
      </c>
      <c r="Q312">
        <f>MAX(1,SUMPRODUCT($R$1:$AD$1,R312:AD312))</f>
        <v>1</v>
      </c>
    </row>
    <row r="313" spans="1:17" x14ac:dyDescent="0.25">
      <c r="A313" s="25" t="str">
        <f t="shared" si="22"/>
        <v>l10n_pk;base.group_user;147,3;147,3;147,3;147,3;147,3;147,3;147,3;147,3</v>
      </c>
      <c r="B313">
        <f t="shared" si="24"/>
        <v>147.30000000000001</v>
      </c>
      <c r="C313">
        <f t="shared" si="23"/>
        <v>147.30000000000001</v>
      </c>
      <c r="D313">
        <f t="shared" si="23"/>
        <v>147.30000000000001</v>
      </c>
      <c r="E313">
        <f t="shared" ref="C313:I376" si="25">$P313*MIN($Q313,E$3)</f>
        <v>147.30000000000001</v>
      </c>
      <c r="F313">
        <f t="shared" si="25"/>
        <v>147.30000000000001</v>
      </c>
      <c r="G313">
        <f t="shared" si="25"/>
        <v>147.30000000000001</v>
      </c>
      <c r="H313">
        <f t="shared" si="25"/>
        <v>147.30000000000001</v>
      </c>
      <c r="I313">
        <f t="shared" si="25"/>
        <v>147.30000000000001</v>
      </c>
      <c r="J313" s="12" t="s">
        <v>369</v>
      </c>
      <c r="K313" s="14" t="s">
        <v>1060</v>
      </c>
      <c r="L313" s="29"/>
      <c r="M313" s="14">
        <f>INDEX('Pivot Analysis'!A:B,MATCH(J313,'Pivot Analysis'!B:B,0),1)</f>
        <v>147.30000000000001</v>
      </c>
      <c r="N313" s="14" t="e">
        <f>INDEX(Cloc!E:F,MATCH(J313,Cloc!F:F,0),1)</f>
        <v>#N/A</v>
      </c>
      <c r="O313" s="14">
        <f t="shared" si="21"/>
        <v>147.30000000000001</v>
      </c>
      <c r="P313" s="14">
        <f>O313/Q313</f>
        <v>147.30000000000001</v>
      </c>
      <c r="Q313">
        <f>MAX(1,SUMPRODUCT($R$1:$AD$1,R313:AD313))</f>
        <v>1</v>
      </c>
    </row>
    <row r="314" spans="1:17" x14ac:dyDescent="0.25">
      <c r="A314" s="25" t="str">
        <f t="shared" si="22"/>
        <v>l10n_pl;base.group_user;555;555;555;555;555;555;555;555</v>
      </c>
      <c r="B314">
        <f t="shared" si="24"/>
        <v>554.99999999999989</v>
      </c>
      <c r="C314">
        <f t="shared" si="25"/>
        <v>554.99999999999989</v>
      </c>
      <c r="D314">
        <f t="shared" si="25"/>
        <v>554.99999999999989</v>
      </c>
      <c r="E314">
        <f t="shared" si="25"/>
        <v>554.99999999999989</v>
      </c>
      <c r="F314">
        <f t="shared" si="25"/>
        <v>554.99999999999989</v>
      </c>
      <c r="G314">
        <f t="shared" si="25"/>
        <v>554.99999999999989</v>
      </c>
      <c r="H314">
        <f t="shared" si="25"/>
        <v>554.99999999999989</v>
      </c>
      <c r="I314">
        <f t="shared" si="25"/>
        <v>554.99999999999989</v>
      </c>
      <c r="J314" s="12" t="s">
        <v>372</v>
      </c>
      <c r="K314" s="14" t="s">
        <v>1060</v>
      </c>
      <c r="L314" s="29"/>
      <c r="M314" s="14">
        <f>INDEX('Pivot Analysis'!A:B,MATCH(J314,'Pivot Analysis'!B:B,0),1)</f>
        <v>554.99999999999989</v>
      </c>
      <c r="N314" s="14" t="e">
        <f>INDEX(Cloc!E:F,MATCH(J314,Cloc!F:F,0),1)</f>
        <v>#N/A</v>
      </c>
      <c r="O314" s="14">
        <f t="shared" si="21"/>
        <v>554.99999999999989</v>
      </c>
      <c r="P314" s="14">
        <f>O314/Q314</f>
        <v>554.99999999999989</v>
      </c>
      <c r="Q314">
        <f>MAX(1,SUMPRODUCT($R$1:$AD$1,R314:AD314))</f>
        <v>1</v>
      </c>
    </row>
    <row r="315" spans="1:17" x14ac:dyDescent="0.25">
      <c r="A315" s="25" t="str">
        <f t="shared" si="22"/>
        <v>l10n_pl_jpk;base.group_user;180;180;180;180;180;180;180;180</v>
      </c>
      <c r="B315">
        <f t="shared" si="24"/>
        <v>180</v>
      </c>
      <c r="C315">
        <f t="shared" si="25"/>
        <v>180</v>
      </c>
      <c r="D315">
        <f t="shared" si="25"/>
        <v>180</v>
      </c>
      <c r="E315">
        <f t="shared" si="25"/>
        <v>180</v>
      </c>
      <c r="F315">
        <f t="shared" si="25"/>
        <v>180</v>
      </c>
      <c r="G315">
        <f t="shared" si="25"/>
        <v>180</v>
      </c>
      <c r="H315">
        <f t="shared" si="25"/>
        <v>180</v>
      </c>
      <c r="I315">
        <f t="shared" si="25"/>
        <v>180</v>
      </c>
      <c r="J315" s="12" t="s">
        <v>375</v>
      </c>
      <c r="K315" s="14" t="s">
        <v>1060</v>
      </c>
      <c r="L315" s="29"/>
      <c r="M315" s="14">
        <f>INDEX('Pivot Analysis'!A:B,MATCH(J315,'Pivot Analysis'!B:B,0),1)</f>
        <v>180</v>
      </c>
      <c r="N315" s="14" t="e">
        <f>INDEX(Cloc!E:F,MATCH(J315,Cloc!F:F,0),1)</f>
        <v>#N/A</v>
      </c>
      <c r="O315" s="14">
        <f t="shared" si="21"/>
        <v>180</v>
      </c>
      <c r="P315" s="14">
        <f>O315/Q315</f>
        <v>180</v>
      </c>
      <c r="Q315">
        <f>MAX(1,SUMPRODUCT($R$1:$AD$1,R315:AD315))</f>
        <v>1</v>
      </c>
    </row>
    <row r="316" spans="1:17" x14ac:dyDescent="0.25">
      <c r="A316" s="25" t="str">
        <f t="shared" si="22"/>
        <v>l10n_pl_sale_stock;base.group_user;0;0;0;0;0;0;0;0</v>
      </c>
      <c r="B316">
        <f t="shared" si="24"/>
        <v>0</v>
      </c>
      <c r="C316">
        <f t="shared" si="25"/>
        <v>0</v>
      </c>
      <c r="D316">
        <f t="shared" si="25"/>
        <v>0</v>
      </c>
      <c r="E316">
        <f t="shared" si="25"/>
        <v>0</v>
      </c>
      <c r="F316">
        <f t="shared" si="25"/>
        <v>0</v>
      </c>
      <c r="G316">
        <f t="shared" si="25"/>
        <v>0</v>
      </c>
      <c r="H316">
        <f t="shared" si="25"/>
        <v>0</v>
      </c>
      <c r="I316">
        <f t="shared" si="25"/>
        <v>0</v>
      </c>
      <c r="J316" s="12" t="s">
        <v>376</v>
      </c>
      <c r="K316" s="14" t="s">
        <v>1060</v>
      </c>
      <c r="L316" s="29"/>
      <c r="M316" s="14">
        <f>INDEX('Pivot Analysis'!A:B,MATCH(J316,'Pivot Analysis'!B:B,0),1)</f>
        <v>0</v>
      </c>
      <c r="N316" s="14" t="e">
        <f>INDEX(Cloc!E:F,MATCH(J316,Cloc!F:F,0),1)</f>
        <v>#N/A</v>
      </c>
      <c r="O316" s="14">
        <f t="shared" si="21"/>
        <v>0</v>
      </c>
      <c r="P316" s="14">
        <f>O316/Q316</f>
        <v>0</v>
      </c>
      <c r="Q316">
        <f>MAX(1,SUMPRODUCT($R$1:$AD$1,R316:AD316))</f>
        <v>1</v>
      </c>
    </row>
    <row r="317" spans="1:17" x14ac:dyDescent="0.25">
      <c r="A317" s="25" t="str">
        <f t="shared" si="22"/>
        <v>l10n_pt;base.group_user;222;222;222;222;222;222;222;222</v>
      </c>
      <c r="B317">
        <f t="shared" si="24"/>
        <v>222</v>
      </c>
      <c r="C317">
        <f t="shared" si="25"/>
        <v>222</v>
      </c>
      <c r="D317">
        <f t="shared" si="25"/>
        <v>222</v>
      </c>
      <c r="E317">
        <f t="shared" si="25"/>
        <v>222</v>
      </c>
      <c r="F317">
        <f t="shared" si="25"/>
        <v>222</v>
      </c>
      <c r="G317">
        <f t="shared" si="25"/>
        <v>222</v>
      </c>
      <c r="H317">
        <f t="shared" si="25"/>
        <v>222</v>
      </c>
      <c r="I317">
        <f t="shared" si="25"/>
        <v>222</v>
      </c>
      <c r="J317" s="12" t="s">
        <v>378</v>
      </c>
      <c r="K317" s="14" t="s">
        <v>1060</v>
      </c>
      <c r="L317" s="29"/>
      <c r="M317" s="14">
        <f>INDEX('Pivot Analysis'!A:B,MATCH(J317,'Pivot Analysis'!B:B,0),1)</f>
        <v>222</v>
      </c>
      <c r="N317" s="14" t="e">
        <f>INDEX(Cloc!E:F,MATCH(J317,Cloc!F:F,0),1)</f>
        <v>#N/A</v>
      </c>
      <c r="O317" s="14">
        <f t="shared" si="21"/>
        <v>222</v>
      </c>
      <c r="P317" s="14">
        <f>O317/Q317</f>
        <v>222</v>
      </c>
      <c r="Q317">
        <f>MAX(1,SUMPRODUCT($R$1:$AD$1,R317:AD317))</f>
        <v>1</v>
      </c>
    </row>
    <row r="318" spans="1:17" x14ac:dyDescent="0.25">
      <c r="A318" s="25" t="str">
        <f t="shared" si="22"/>
        <v>l10n_qa;base.group_user;30;30;30;30;30;30;30;30</v>
      </c>
      <c r="B318">
        <f t="shared" si="24"/>
        <v>30</v>
      </c>
      <c r="C318">
        <f t="shared" si="25"/>
        <v>30</v>
      </c>
      <c r="D318">
        <f t="shared" si="25"/>
        <v>30</v>
      </c>
      <c r="E318">
        <f t="shared" si="25"/>
        <v>30</v>
      </c>
      <c r="F318">
        <f t="shared" si="25"/>
        <v>30</v>
      </c>
      <c r="G318">
        <f t="shared" si="25"/>
        <v>30</v>
      </c>
      <c r="H318">
        <f t="shared" si="25"/>
        <v>30</v>
      </c>
      <c r="I318">
        <f t="shared" si="25"/>
        <v>30</v>
      </c>
      <c r="J318" s="12" t="s">
        <v>903</v>
      </c>
      <c r="K318" s="14" t="s">
        <v>1060</v>
      </c>
      <c r="L318" s="29"/>
      <c r="M318" s="14">
        <f>INDEX('Pivot Analysis'!A:B,MATCH(J318,'Pivot Analysis'!B:B,0),1)</f>
        <v>30</v>
      </c>
      <c r="N318" s="14" t="e">
        <f>INDEX(Cloc!E:F,MATCH(J318,Cloc!F:F,0),1)</f>
        <v>#N/A</v>
      </c>
      <c r="O318" s="14">
        <f t="shared" si="21"/>
        <v>30</v>
      </c>
      <c r="P318" s="14">
        <f>O318/Q318</f>
        <v>30</v>
      </c>
      <c r="Q318">
        <f>MAX(1,SUMPRODUCT($R$1:$AD$1,R318:AD318))</f>
        <v>1</v>
      </c>
    </row>
    <row r="319" spans="1:17" x14ac:dyDescent="0.25">
      <c r="A319" s="25" t="str">
        <f t="shared" si="22"/>
        <v>l10n_ro;base.group_user;282;282;282;282;282;282;282;282</v>
      </c>
      <c r="B319">
        <f t="shared" si="24"/>
        <v>282.00000000000006</v>
      </c>
      <c r="C319">
        <f t="shared" si="25"/>
        <v>282.00000000000006</v>
      </c>
      <c r="D319">
        <f t="shared" si="25"/>
        <v>282.00000000000006</v>
      </c>
      <c r="E319">
        <f t="shared" si="25"/>
        <v>282.00000000000006</v>
      </c>
      <c r="F319">
        <f t="shared" si="25"/>
        <v>282.00000000000006</v>
      </c>
      <c r="G319">
        <f t="shared" si="25"/>
        <v>282.00000000000006</v>
      </c>
      <c r="H319">
        <f t="shared" si="25"/>
        <v>282.00000000000006</v>
      </c>
      <c r="I319">
        <f t="shared" si="25"/>
        <v>282.00000000000006</v>
      </c>
      <c r="J319" s="12" t="s">
        <v>381</v>
      </c>
      <c r="K319" s="14" t="s">
        <v>1060</v>
      </c>
      <c r="L319" s="29"/>
      <c r="M319" s="14">
        <f>INDEX('Pivot Analysis'!A:B,MATCH(J319,'Pivot Analysis'!B:B,0),1)</f>
        <v>282.00000000000006</v>
      </c>
      <c r="N319" s="14" t="e">
        <f>INDEX(Cloc!E:F,MATCH(J319,Cloc!F:F,0),1)</f>
        <v>#N/A</v>
      </c>
      <c r="O319" s="14">
        <f t="shared" si="21"/>
        <v>282.00000000000006</v>
      </c>
      <c r="P319" s="14">
        <f>O319/Q319</f>
        <v>282.00000000000006</v>
      </c>
      <c r="Q319">
        <f>MAX(1,SUMPRODUCT($R$1:$AD$1,R319:AD319))</f>
        <v>1</v>
      </c>
    </row>
    <row r="320" spans="1:17" x14ac:dyDescent="0.25">
      <c r="A320" s="25" t="str">
        <f t="shared" si="22"/>
        <v>l10n_ro_edi;base.group_user;111;111;111;111;111;111;111;111</v>
      </c>
      <c r="B320">
        <f t="shared" si="24"/>
        <v>111</v>
      </c>
      <c r="C320">
        <f t="shared" si="25"/>
        <v>111</v>
      </c>
      <c r="D320">
        <f t="shared" si="25"/>
        <v>111</v>
      </c>
      <c r="E320">
        <f t="shared" si="25"/>
        <v>111</v>
      </c>
      <c r="F320">
        <f t="shared" si="25"/>
        <v>111</v>
      </c>
      <c r="G320">
        <f t="shared" si="25"/>
        <v>111</v>
      </c>
      <c r="H320">
        <f t="shared" si="25"/>
        <v>111</v>
      </c>
      <c r="I320">
        <f t="shared" si="25"/>
        <v>111</v>
      </c>
      <c r="J320" s="12" t="s">
        <v>904</v>
      </c>
      <c r="K320" s="14" t="s">
        <v>1060</v>
      </c>
      <c r="L320" s="29"/>
      <c r="M320" s="14">
        <f>INDEX('Pivot Analysis'!A:B,MATCH(J320,'Pivot Analysis'!B:B,0),1)</f>
        <v>111</v>
      </c>
      <c r="N320" s="14" t="e">
        <f>INDEX(Cloc!E:F,MATCH(J320,Cloc!F:F,0),1)</f>
        <v>#N/A</v>
      </c>
      <c r="O320" s="14">
        <f t="shared" si="21"/>
        <v>111</v>
      </c>
      <c r="P320" s="14">
        <f>O320/Q320</f>
        <v>111</v>
      </c>
      <c r="Q320">
        <f>MAX(1,SUMPRODUCT($R$1:$AD$1,R320:AD320))</f>
        <v>1</v>
      </c>
    </row>
    <row r="321" spans="1:26" x14ac:dyDescent="0.25">
      <c r="A321" s="25" t="str">
        <f t="shared" si="22"/>
        <v>l10n_ro_edi_stock;base.group_user;45;45;45;45;45;45;45;45</v>
      </c>
      <c r="B321">
        <f t="shared" si="24"/>
        <v>45</v>
      </c>
      <c r="C321">
        <f t="shared" si="25"/>
        <v>45</v>
      </c>
      <c r="D321">
        <f t="shared" si="25"/>
        <v>45</v>
      </c>
      <c r="E321">
        <f t="shared" si="25"/>
        <v>45</v>
      </c>
      <c r="F321">
        <f t="shared" si="25"/>
        <v>45</v>
      </c>
      <c r="G321">
        <f t="shared" si="25"/>
        <v>45</v>
      </c>
      <c r="H321">
        <f t="shared" si="25"/>
        <v>45</v>
      </c>
      <c r="I321">
        <f t="shared" si="25"/>
        <v>45</v>
      </c>
      <c r="J321" s="12" t="s">
        <v>906</v>
      </c>
      <c r="K321" s="14" t="s">
        <v>1060</v>
      </c>
      <c r="L321" s="29"/>
      <c r="M321" s="14">
        <f>INDEX('Pivot Analysis'!A:B,MATCH(J321,'Pivot Analysis'!B:B,0),1)</f>
        <v>45</v>
      </c>
      <c r="N321" s="14" t="e">
        <f>INDEX(Cloc!E:F,MATCH(J321,Cloc!F:F,0),1)</f>
        <v>#N/A</v>
      </c>
      <c r="O321" s="14">
        <f t="shared" si="21"/>
        <v>45</v>
      </c>
      <c r="P321" s="14">
        <f>O321/Q321</f>
        <v>45</v>
      </c>
      <c r="Q321">
        <f>MAX(1,SUMPRODUCT($R$1:$AD$1,R321:AD321))</f>
        <v>1</v>
      </c>
    </row>
    <row r="322" spans="1:26" x14ac:dyDescent="0.25">
      <c r="A322" s="25" t="str">
        <f t="shared" si="22"/>
        <v>l10n_ro_edi_stock_batch;base.group_user;0;0;0;0;0;0;0;0</v>
      </c>
      <c r="B322">
        <f t="shared" si="24"/>
        <v>0</v>
      </c>
      <c r="C322">
        <f t="shared" si="25"/>
        <v>0</v>
      </c>
      <c r="D322">
        <f t="shared" si="25"/>
        <v>0</v>
      </c>
      <c r="E322">
        <f t="shared" si="25"/>
        <v>0</v>
      </c>
      <c r="F322">
        <f t="shared" si="25"/>
        <v>0</v>
      </c>
      <c r="G322">
        <f t="shared" si="25"/>
        <v>0</v>
      </c>
      <c r="H322">
        <f t="shared" si="25"/>
        <v>0</v>
      </c>
      <c r="I322">
        <f t="shared" si="25"/>
        <v>0</v>
      </c>
      <c r="J322" s="12" t="s">
        <v>907</v>
      </c>
      <c r="K322" s="14" t="s">
        <v>1060</v>
      </c>
      <c r="L322" s="29"/>
      <c r="M322" s="14">
        <f>INDEX('Pivot Analysis'!A:B,MATCH(J322,'Pivot Analysis'!B:B,0),1)</f>
        <v>0</v>
      </c>
      <c r="N322" s="14" t="e">
        <f>INDEX(Cloc!E:F,MATCH(J322,Cloc!F:F,0),1)</f>
        <v>#N/A</v>
      </c>
      <c r="O322" s="14">
        <f t="shared" si="21"/>
        <v>0</v>
      </c>
      <c r="P322" s="14">
        <f>O322/Q322</f>
        <v>0</v>
      </c>
      <c r="Q322">
        <f>MAX(1,SUMPRODUCT($R$1:$AD$1,R322:AD322))</f>
        <v>1</v>
      </c>
    </row>
    <row r="323" spans="1:26" x14ac:dyDescent="0.25">
      <c r="A323" s="25" t="str">
        <f t="shared" si="22"/>
        <v>l10n_ro_efactura;base.group_user;0;0;0;0;0;0;0;0</v>
      </c>
      <c r="B323">
        <f t="shared" si="24"/>
        <v>0</v>
      </c>
      <c r="C323">
        <f t="shared" si="25"/>
        <v>0</v>
      </c>
      <c r="D323">
        <f t="shared" si="25"/>
        <v>0</v>
      </c>
      <c r="E323">
        <f t="shared" si="25"/>
        <v>0</v>
      </c>
      <c r="F323">
        <f t="shared" si="25"/>
        <v>0</v>
      </c>
      <c r="G323">
        <f t="shared" si="25"/>
        <v>0</v>
      </c>
      <c r="H323">
        <f t="shared" si="25"/>
        <v>0</v>
      </c>
      <c r="I323">
        <f t="shared" si="25"/>
        <v>0</v>
      </c>
      <c r="J323" s="12" t="s">
        <v>908</v>
      </c>
      <c r="K323" s="14" t="s">
        <v>1060</v>
      </c>
      <c r="L323" s="29"/>
      <c r="M323" s="14">
        <f>INDEX('Pivot Analysis'!A:B,MATCH(J323,'Pivot Analysis'!B:B,0),1)</f>
        <v>0</v>
      </c>
      <c r="N323" s="14" t="e">
        <f>INDEX(Cloc!E:F,MATCH(J323,Cloc!F:F,0),1)</f>
        <v>#N/A</v>
      </c>
      <c r="O323" s="14">
        <f t="shared" si="21"/>
        <v>0</v>
      </c>
      <c r="P323" s="14">
        <f>O323/Q323</f>
        <v>0</v>
      </c>
      <c r="Q323">
        <f>MAX(1,SUMPRODUCT($R$1:$AD$1,R323:AD323))</f>
        <v>1</v>
      </c>
    </row>
    <row r="324" spans="1:26" x14ac:dyDescent="0.25">
      <c r="A324" s="25" t="str">
        <f t="shared" si="22"/>
        <v>l10n_rs;base.group_user;189;189;189;189;189;189;189;189</v>
      </c>
      <c r="B324">
        <f t="shared" si="24"/>
        <v>188.99999999999994</v>
      </c>
      <c r="C324">
        <f t="shared" si="25"/>
        <v>188.99999999999994</v>
      </c>
      <c r="D324">
        <f t="shared" si="25"/>
        <v>188.99999999999994</v>
      </c>
      <c r="E324">
        <f t="shared" si="25"/>
        <v>188.99999999999994</v>
      </c>
      <c r="F324">
        <f t="shared" si="25"/>
        <v>188.99999999999994</v>
      </c>
      <c r="G324">
        <f t="shared" si="25"/>
        <v>188.99999999999994</v>
      </c>
      <c r="H324">
        <f t="shared" si="25"/>
        <v>188.99999999999994</v>
      </c>
      <c r="I324">
        <f t="shared" si="25"/>
        <v>188.99999999999994</v>
      </c>
      <c r="J324" s="12" t="s">
        <v>384</v>
      </c>
      <c r="K324" s="14" t="s">
        <v>1060</v>
      </c>
      <c r="L324" s="29"/>
      <c r="M324" s="14">
        <f>INDEX('Pivot Analysis'!A:B,MATCH(J324,'Pivot Analysis'!B:B,0),1)</f>
        <v>188.99999999999994</v>
      </c>
      <c r="N324" s="14" t="e">
        <f>INDEX(Cloc!E:F,MATCH(J324,Cloc!F:F,0),1)</f>
        <v>#N/A</v>
      </c>
      <c r="O324" s="14">
        <f t="shared" si="21"/>
        <v>188.99999999999994</v>
      </c>
      <c r="P324" s="14">
        <f>O324/Q324</f>
        <v>188.99999999999994</v>
      </c>
      <c r="Q324">
        <f>MAX(1,SUMPRODUCT($R$1:$AD$1,R324:AD324))</f>
        <v>1</v>
      </c>
    </row>
    <row r="325" spans="1:26" x14ac:dyDescent="0.25">
      <c r="A325" s="25" t="str">
        <f t="shared" si="22"/>
        <v>l10n_rs_edi;base.group_user;1000;1000;1000;1000;1000;1000;1000;1000</v>
      </c>
      <c r="B325">
        <f t="shared" si="24"/>
        <v>1000</v>
      </c>
      <c r="C325">
        <f t="shared" si="25"/>
        <v>1000</v>
      </c>
      <c r="D325">
        <f t="shared" si="25"/>
        <v>1000</v>
      </c>
      <c r="E325">
        <f t="shared" si="25"/>
        <v>1000</v>
      </c>
      <c r="F325">
        <f t="shared" si="25"/>
        <v>1000</v>
      </c>
      <c r="G325">
        <f t="shared" si="25"/>
        <v>1000</v>
      </c>
      <c r="H325">
        <f t="shared" si="25"/>
        <v>1000</v>
      </c>
      <c r="I325">
        <f t="shared" si="25"/>
        <v>1000</v>
      </c>
      <c r="J325" s="14" t="s">
        <v>1099</v>
      </c>
      <c r="K325" s="14" t="s">
        <v>1060</v>
      </c>
      <c r="L325" s="29"/>
      <c r="M325" s="14" t="e">
        <f>INDEX('Pivot Analysis'!A:B,MATCH(J325,'Pivot Analysis'!B:B,0),1)</f>
        <v>#N/A</v>
      </c>
      <c r="N325" s="14" t="e">
        <f>INDEX(Cloc!E:F,MATCH(J325,Cloc!F:F,0),1)</f>
        <v>#N/A</v>
      </c>
      <c r="O325" s="14">
        <f t="shared" ref="O325:O388" si="26">IFERROR(IFERROR(IF(L325&lt;&gt;"",L325,M325),N325),$O$1)</f>
        <v>1000</v>
      </c>
      <c r="P325" s="14">
        <f>O325/Q325</f>
        <v>1000</v>
      </c>
      <c r="Q325">
        <f>MAX(1,SUMPRODUCT($R$1:$AD$1,R325:AD325))</f>
        <v>1</v>
      </c>
      <c r="Z325">
        <v>1</v>
      </c>
    </row>
    <row r="326" spans="1:26" x14ac:dyDescent="0.25">
      <c r="A326" s="25" t="str">
        <f t="shared" si="22"/>
        <v>l10n_rw;base.group_user;30;30;30;30;30;30;30;30</v>
      </c>
      <c r="B326">
        <f t="shared" si="24"/>
        <v>30</v>
      </c>
      <c r="C326">
        <f t="shared" si="25"/>
        <v>30</v>
      </c>
      <c r="D326">
        <f t="shared" si="25"/>
        <v>30</v>
      </c>
      <c r="E326">
        <f t="shared" si="25"/>
        <v>30</v>
      </c>
      <c r="F326">
        <f t="shared" si="25"/>
        <v>30</v>
      </c>
      <c r="G326">
        <f t="shared" si="25"/>
        <v>30</v>
      </c>
      <c r="H326">
        <f t="shared" si="25"/>
        <v>30</v>
      </c>
      <c r="I326">
        <f t="shared" si="25"/>
        <v>30</v>
      </c>
      <c r="J326" s="12" t="s">
        <v>910</v>
      </c>
      <c r="K326" s="14" t="s">
        <v>1060</v>
      </c>
      <c r="L326" s="29"/>
      <c r="M326" s="14">
        <f>INDEX('Pivot Analysis'!A:B,MATCH(J326,'Pivot Analysis'!B:B,0),1)</f>
        <v>30</v>
      </c>
      <c r="N326" s="14" t="e">
        <f>INDEX(Cloc!E:F,MATCH(J326,Cloc!F:F,0),1)</f>
        <v>#N/A</v>
      </c>
      <c r="O326" s="14">
        <f t="shared" si="26"/>
        <v>30</v>
      </c>
      <c r="P326" s="14">
        <f>O326/Q326</f>
        <v>30</v>
      </c>
      <c r="Q326">
        <f>MAX(1,SUMPRODUCT($R$1:$AD$1,R326:AD326))</f>
        <v>1</v>
      </c>
    </row>
    <row r="327" spans="1:26" x14ac:dyDescent="0.25">
      <c r="A327" s="25" t="str">
        <f t="shared" si="22"/>
        <v>l10n_sa;base.group_user;102;102;102;102;102;102;102;102</v>
      </c>
      <c r="B327">
        <f t="shared" si="24"/>
        <v>102</v>
      </c>
      <c r="C327">
        <f t="shared" si="25"/>
        <v>102</v>
      </c>
      <c r="D327">
        <f t="shared" si="25"/>
        <v>102</v>
      </c>
      <c r="E327">
        <f t="shared" si="25"/>
        <v>102</v>
      </c>
      <c r="F327">
        <f t="shared" si="25"/>
        <v>102</v>
      </c>
      <c r="G327">
        <f t="shared" si="25"/>
        <v>102</v>
      </c>
      <c r="H327">
        <f t="shared" si="25"/>
        <v>102</v>
      </c>
      <c r="I327">
        <f t="shared" si="25"/>
        <v>102</v>
      </c>
      <c r="J327" s="12" t="s">
        <v>387</v>
      </c>
      <c r="K327" s="14" t="s">
        <v>1060</v>
      </c>
      <c r="L327" s="29"/>
      <c r="M327" s="14">
        <f>INDEX('Pivot Analysis'!A:B,MATCH(J327,'Pivot Analysis'!B:B,0),1)</f>
        <v>102</v>
      </c>
      <c r="N327" s="14" t="e">
        <f>INDEX(Cloc!E:F,MATCH(J327,Cloc!F:F,0),1)</f>
        <v>#N/A</v>
      </c>
      <c r="O327" s="14">
        <f t="shared" si="26"/>
        <v>102</v>
      </c>
      <c r="P327" s="14">
        <f>O327/Q327</f>
        <v>102</v>
      </c>
      <c r="Q327">
        <f>MAX(1,SUMPRODUCT($R$1:$AD$1,R327:AD327))</f>
        <v>1</v>
      </c>
    </row>
    <row r="328" spans="1:26" x14ac:dyDescent="0.25">
      <c r="A328" s="25" t="str">
        <f t="shared" si="22"/>
        <v>l10n_sa_edi;base.group_user;73,5;73,5;73,5;73,5;73,5;73,5;73,5;73,5</v>
      </c>
      <c r="B328">
        <f t="shared" si="24"/>
        <v>73.5</v>
      </c>
      <c r="C328">
        <f t="shared" si="25"/>
        <v>73.5</v>
      </c>
      <c r="D328">
        <f t="shared" si="25"/>
        <v>73.5</v>
      </c>
      <c r="E328">
        <f t="shared" si="25"/>
        <v>73.5</v>
      </c>
      <c r="F328">
        <f t="shared" si="25"/>
        <v>73.5</v>
      </c>
      <c r="G328">
        <f t="shared" si="25"/>
        <v>73.5</v>
      </c>
      <c r="H328">
        <f t="shared" si="25"/>
        <v>73.5</v>
      </c>
      <c r="I328">
        <f t="shared" si="25"/>
        <v>73.5</v>
      </c>
      <c r="J328" s="12" t="s">
        <v>390</v>
      </c>
      <c r="K328" s="14" t="s">
        <v>1060</v>
      </c>
      <c r="L328" s="29"/>
      <c r="M328" s="14">
        <f>INDEX('Pivot Analysis'!A:B,MATCH(J328,'Pivot Analysis'!B:B,0),1)</f>
        <v>73.5</v>
      </c>
      <c r="N328" s="14" t="e">
        <f>INDEX(Cloc!E:F,MATCH(J328,Cloc!F:F,0),1)</f>
        <v>#N/A</v>
      </c>
      <c r="O328" s="14">
        <f t="shared" si="26"/>
        <v>73.5</v>
      </c>
      <c r="P328" s="14">
        <f>O328/Q328</f>
        <v>73.5</v>
      </c>
      <c r="Q328">
        <f>MAX(1,SUMPRODUCT($R$1:$AD$1,R328:AD328))</f>
        <v>1</v>
      </c>
    </row>
    <row r="329" spans="1:26" x14ac:dyDescent="0.25">
      <c r="A329" s="25" t="str">
        <f t="shared" ref="A329:A392" si="27">J329&amp;";"&amp;K329&amp;";"&amp;B329&amp;";"&amp;C329&amp;";"&amp;D329&amp;";"&amp;E329&amp;";"&amp;F329&amp;";"&amp;G329&amp;";"&amp;H329&amp;";"&amp;I329</f>
        <v>l10n_sa_edi_pos;base.group_user;33;33;33;33;33;33;33;33</v>
      </c>
      <c r="B329">
        <f t="shared" si="24"/>
        <v>33</v>
      </c>
      <c r="C329">
        <f t="shared" si="25"/>
        <v>33</v>
      </c>
      <c r="D329">
        <f t="shared" si="25"/>
        <v>33</v>
      </c>
      <c r="E329">
        <f t="shared" si="25"/>
        <v>33</v>
      </c>
      <c r="F329">
        <f t="shared" si="25"/>
        <v>33</v>
      </c>
      <c r="G329">
        <f t="shared" si="25"/>
        <v>33</v>
      </c>
      <c r="H329">
        <f t="shared" si="25"/>
        <v>33</v>
      </c>
      <c r="I329">
        <f t="shared" si="25"/>
        <v>33</v>
      </c>
      <c r="J329" s="12" t="s">
        <v>391</v>
      </c>
      <c r="K329" s="14" t="s">
        <v>1060</v>
      </c>
      <c r="L329" s="29"/>
      <c r="M329" s="14">
        <f>INDEX('Pivot Analysis'!A:B,MATCH(J329,'Pivot Analysis'!B:B,0),1)</f>
        <v>33</v>
      </c>
      <c r="N329" s="14" t="e">
        <f>INDEX(Cloc!E:F,MATCH(J329,Cloc!F:F,0),1)</f>
        <v>#N/A</v>
      </c>
      <c r="O329" s="14">
        <f t="shared" si="26"/>
        <v>33</v>
      </c>
      <c r="P329" s="14">
        <f>O329/Q329</f>
        <v>33</v>
      </c>
      <c r="Q329">
        <f>MAX(1,SUMPRODUCT($R$1:$AD$1,R329:AD329))</f>
        <v>1</v>
      </c>
    </row>
    <row r="330" spans="1:26" x14ac:dyDescent="0.25">
      <c r="A330" s="25" t="str">
        <f t="shared" si="27"/>
        <v>l10n_sa_pos;base.group_user;33;33;33;33;33;33;33;33</v>
      </c>
      <c r="B330">
        <f t="shared" si="24"/>
        <v>33</v>
      </c>
      <c r="C330">
        <f t="shared" si="25"/>
        <v>33</v>
      </c>
      <c r="D330">
        <f t="shared" si="25"/>
        <v>33</v>
      </c>
      <c r="E330">
        <f t="shared" si="25"/>
        <v>33</v>
      </c>
      <c r="F330">
        <f t="shared" si="25"/>
        <v>33</v>
      </c>
      <c r="G330">
        <f t="shared" si="25"/>
        <v>33</v>
      </c>
      <c r="H330">
        <f t="shared" si="25"/>
        <v>33</v>
      </c>
      <c r="I330">
        <f t="shared" si="25"/>
        <v>33</v>
      </c>
      <c r="J330" s="12" t="s">
        <v>392</v>
      </c>
      <c r="K330" s="14" t="s">
        <v>1060</v>
      </c>
      <c r="L330" s="29"/>
      <c r="M330" s="14">
        <f>INDEX('Pivot Analysis'!A:B,MATCH(J330,'Pivot Analysis'!B:B,0),1)</f>
        <v>33</v>
      </c>
      <c r="N330" s="14" t="e">
        <f>INDEX(Cloc!E:F,MATCH(J330,Cloc!F:F,0),1)</f>
        <v>#N/A</v>
      </c>
      <c r="O330" s="14">
        <f t="shared" si="26"/>
        <v>33</v>
      </c>
      <c r="P330" s="14">
        <f>O330/Q330</f>
        <v>33</v>
      </c>
      <c r="Q330">
        <f>MAX(1,SUMPRODUCT($R$1:$AD$1,R330:AD330))</f>
        <v>1</v>
      </c>
    </row>
    <row r="331" spans="1:26" x14ac:dyDescent="0.25">
      <c r="A331" s="25" t="str">
        <f t="shared" si="27"/>
        <v>l10n_se;base.group_user;417;417;417;417;417;417;417;417</v>
      </c>
      <c r="B331">
        <f t="shared" si="24"/>
        <v>417</v>
      </c>
      <c r="C331">
        <f t="shared" si="25"/>
        <v>417</v>
      </c>
      <c r="D331">
        <f t="shared" si="25"/>
        <v>417</v>
      </c>
      <c r="E331">
        <f t="shared" si="25"/>
        <v>417</v>
      </c>
      <c r="F331">
        <f t="shared" si="25"/>
        <v>417</v>
      </c>
      <c r="G331">
        <f t="shared" si="25"/>
        <v>417</v>
      </c>
      <c r="H331">
        <f t="shared" si="25"/>
        <v>417</v>
      </c>
      <c r="I331">
        <f t="shared" si="25"/>
        <v>417</v>
      </c>
      <c r="J331" s="12" t="s">
        <v>393</v>
      </c>
      <c r="K331" s="14" t="s">
        <v>1060</v>
      </c>
      <c r="L331" s="29"/>
      <c r="M331" s="14">
        <f>INDEX('Pivot Analysis'!A:B,MATCH(J331,'Pivot Analysis'!B:B,0),1)</f>
        <v>417</v>
      </c>
      <c r="N331" s="14" t="e">
        <f>INDEX(Cloc!E:F,MATCH(J331,Cloc!F:F,0),1)</f>
        <v>#N/A</v>
      </c>
      <c r="O331" s="14">
        <f t="shared" si="26"/>
        <v>417</v>
      </c>
      <c r="P331" s="14">
        <f>O331/Q331</f>
        <v>417</v>
      </c>
      <c r="Q331">
        <f>MAX(1,SUMPRODUCT($R$1:$AD$1,R331:AD331))</f>
        <v>1</v>
      </c>
    </row>
    <row r="332" spans="1:26" x14ac:dyDescent="0.25">
      <c r="A332" s="25" t="str">
        <f t="shared" si="27"/>
        <v>l10n_sg;base.group_user;111;111;111;111;111;111;111;111</v>
      </c>
      <c r="B332">
        <f t="shared" si="24"/>
        <v>111</v>
      </c>
      <c r="C332">
        <f t="shared" si="25"/>
        <v>111</v>
      </c>
      <c r="D332">
        <f t="shared" si="25"/>
        <v>111</v>
      </c>
      <c r="E332">
        <f t="shared" si="25"/>
        <v>111</v>
      </c>
      <c r="F332">
        <f t="shared" si="25"/>
        <v>111</v>
      </c>
      <c r="G332">
        <f t="shared" si="25"/>
        <v>111</v>
      </c>
      <c r="H332">
        <f t="shared" si="25"/>
        <v>111</v>
      </c>
      <c r="I332">
        <f t="shared" si="25"/>
        <v>111</v>
      </c>
      <c r="J332" s="12" t="s">
        <v>396</v>
      </c>
      <c r="K332" s="14" t="s">
        <v>1060</v>
      </c>
      <c r="L332" s="29"/>
      <c r="M332" s="14">
        <f>INDEX('Pivot Analysis'!A:B,MATCH(J332,'Pivot Analysis'!B:B,0),1)</f>
        <v>111</v>
      </c>
      <c r="N332" s="14" t="e">
        <f>INDEX(Cloc!E:F,MATCH(J332,Cloc!F:F,0),1)</f>
        <v>#N/A</v>
      </c>
      <c r="O332" s="14">
        <f t="shared" si="26"/>
        <v>111</v>
      </c>
      <c r="P332" s="14">
        <f>O332/Q332</f>
        <v>111</v>
      </c>
      <c r="Q332">
        <f>MAX(1,SUMPRODUCT($R$1:$AD$1,R332:AD332))</f>
        <v>1</v>
      </c>
    </row>
    <row r="333" spans="1:26" x14ac:dyDescent="0.25">
      <c r="A333" s="25" t="str">
        <f t="shared" si="27"/>
        <v>l10n_sg_ubl_pint;base.group_user;60;60;60;60;60;60;60;60</v>
      </c>
      <c r="B333">
        <f t="shared" si="24"/>
        <v>60</v>
      </c>
      <c r="C333">
        <f t="shared" si="25"/>
        <v>60</v>
      </c>
      <c r="D333">
        <f t="shared" si="25"/>
        <v>60</v>
      </c>
      <c r="E333">
        <f t="shared" si="25"/>
        <v>60</v>
      </c>
      <c r="F333">
        <f t="shared" si="25"/>
        <v>60</v>
      </c>
      <c r="G333">
        <f t="shared" si="25"/>
        <v>60</v>
      </c>
      <c r="H333">
        <f t="shared" si="25"/>
        <v>60</v>
      </c>
      <c r="I333">
        <f t="shared" si="25"/>
        <v>60</v>
      </c>
      <c r="J333" s="12" t="s">
        <v>912</v>
      </c>
      <c r="K333" s="14" t="s">
        <v>1060</v>
      </c>
      <c r="L333" s="29"/>
      <c r="M333" s="14">
        <f>INDEX('Pivot Analysis'!A:B,MATCH(J333,'Pivot Analysis'!B:B,0),1)</f>
        <v>60</v>
      </c>
      <c r="N333" s="14" t="e">
        <f>INDEX(Cloc!E:F,MATCH(J333,Cloc!F:F,0),1)</f>
        <v>#N/A</v>
      </c>
      <c r="O333" s="14">
        <f t="shared" si="26"/>
        <v>60</v>
      </c>
      <c r="P333" s="14">
        <f>O333/Q333</f>
        <v>60</v>
      </c>
      <c r="Q333">
        <f>MAX(1,SUMPRODUCT($R$1:$AD$1,R333:AD333))</f>
        <v>1</v>
      </c>
    </row>
    <row r="334" spans="1:26" x14ac:dyDescent="0.25">
      <c r="A334" s="25" t="str">
        <f t="shared" si="27"/>
        <v>l10n_si;base.group_user;246;246;246;246;246;246;246;246</v>
      </c>
      <c r="B334">
        <f t="shared" si="24"/>
        <v>246</v>
      </c>
      <c r="C334">
        <f t="shared" si="25"/>
        <v>246</v>
      </c>
      <c r="D334">
        <f t="shared" si="25"/>
        <v>246</v>
      </c>
      <c r="E334">
        <f t="shared" si="25"/>
        <v>246</v>
      </c>
      <c r="F334">
        <f t="shared" si="25"/>
        <v>246</v>
      </c>
      <c r="G334">
        <f t="shared" si="25"/>
        <v>246</v>
      </c>
      <c r="H334">
        <f t="shared" si="25"/>
        <v>246</v>
      </c>
      <c r="I334">
        <f t="shared" si="25"/>
        <v>246</v>
      </c>
      <c r="J334" s="12" t="s">
        <v>399</v>
      </c>
      <c r="K334" s="14" t="s">
        <v>1060</v>
      </c>
      <c r="L334" s="29"/>
      <c r="M334" s="14">
        <f>INDEX('Pivot Analysis'!A:B,MATCH(J334,'Pivot Analysis'!B:B,0),1)</f>
        <v>246</v>
      </c>
      <c r="N334" s="14" t="e">
        <f>INDEX(Cloc!E:F,MATCH(J334,Cloc!F:F,0),1)</f>
        <v>#N/A</v>
      </c>
      <c r="O334" s="14">
        <f t="shared" si="26"/>
        <v>246</v>
      </c>
      <c r="P334" s="14">
        <f>O334/Q334</f>
        <v>246</v>
      </c>
      <c r="Q334">
        <f>MAX(1,SUMPRODUCT($R$1:$AD$1,R334:AD334))</f>
        <v>1</v>
      </c>
    </row>
    <row r="335" spans="1:26" x14ac:dyDescent="0.25">
      <c r="A335" s="25" t="str">
        <f t="shared" si="27"/>
        <v>l10n_sk;base.group_user;219;219;219;219;219;219;219;219</v>
      </c>
      <c r="B335">
        <f t="shared" si="24"/>
        <v>219.00000000000006</v>
      </c>
      <c r="C335">
        <f t="shared" si="25"/>
        <v>219.00000000000006</v>
      </c>
      <c r="D335">
        <f t="shared" si="25"/>
        <v>219.00000000000006</v>
      </c>
      <c r="E335">
        <f t="shared" si="25"/>
        <v>219.00000000000006</v>
      </c>
      <c r="F335">
        <f t="shared" si="25"/>
        <v>219.00000000000006</v>
      </c>
      <c r="G335">
        <f t="shared" si="25"/>
        <v>219.00000000000006</v>
      </c>
      <c r="H335">
        <f t="shared" si="25"/>
        <v>219.00000000000006</v>
      </c>
      <c r="I335">
        <f t="shared" si="25"/>
        <v>219.00000000000006</v>
      </c>
      <c r="J335" s="12" t="s">
        <v>402</v>
      </c>
      <c r="K335" s="14" t="s">
        <v>1060</v>
      </c>
      <c r="L335" s="29"/>
      <c r="M335" s="14">
        <f>INDEX('Pivot Analysis'!A:B,MATCH(J335,'Pivot Analysis'!B:B,0),1)</f>
        <v>219.00000000000006</v>
      </c>
      <c r="N335" s="14" t="e">
        <f>INDEX(Cloc!E:F,MATCH(J335,Cloc!F:F,0),1)</f>
        <v>#N/A</v>
      </c>
      <c r="O335" s="14">
        <f t="shared" si="26"/>
        <v>219.00000000000006</v>
      </c>
      <c r="P335" s="14">
        <f>O335/Q335</f>
        <v>219.00000000000006</v>
      </c>
      <c r="Q335">
        <f>MAX(1,SUMPRODUCT($R$1:$AD$1,R335:AD335))</f>
        <v>1</v>
      </c>
    </row>
    <row r="336" spans="1:26" x14ac:dyDescent="0.25">
      <c r="A336" s="25" t="str">
        <f t="shared" si="27"/>
        <v>l10n_sn;base.group_user;30;30;30;30;30;30;30;30</v>
      </c>
      <c r="B336">
        <f t="shared" si="24"/>
        <v>30</v>
      </c>
      <c r="C336">
        <f t="shared" si="25"/>
        <v>30</v>
      </c>
      <c r="D336">
        <f t="shared" si="25"/>
        <v>30</v>
      </c>
      <c r="E336">
        <f t="shared" si="25"/>
        <v>30</v>
      </c>
      <c r="F336">
        <f t="shared" si="25"/>
        <v>30</v>
      </c>
      <c r="G336">
        <f t="shared" si="25"/>
        <v>30</v>
      </c>
      <c r="H336">
        <f t="shared" si="25"/>
        <v>30</v>
      </c>
      <c r="I336">
        <f t="shared" si="25"/>
        <v>30</v>
      </c>
      <c r="J336" s="12" t="s">
        <v>913</v>
      </c>
      <c r="K336" s="14" t="s">
        <v>1060</v>
      </c>
      <c r="L336" s="29"/>
      <c r="M336" s="14">
        <f>INDEX('Pivot Analysis'!A:B,MATCH(J336,'Pivot Analysis'!B:B,0),1)</f>
        <v>30</v>
      </c>
      <c r="N336" s="14" t="e">
        <f>INDEX(Cloc!E:F,MATCH(J336,Cloc!F:F,0),1)</f>
        <v>#N/A</v>
      </c>
      <c r="O336" s="14">
        <f t="shared" si="26"/>
        <v>30</v>
      </c>
      <c r="P336" s="14">
        <f>O336/Q336</f>
        <v>30</v>
      </c>
      <c r="Q336">
        <f>MAX(1,SUMPRODUCT($R$1:$AD$1,R336:AD336))</f>
        <v>1</v>
      </c>
    </row>
    <row r="337" spans="1:26" x14ac:dyDescent="0.25">
      <c r="A337" s="25" t="str">
        <f t="shared" si="27"/>
        <v>l10n_syscohada;base.group_user;375;375;375;375;375;375;375;375</v>
      </c>
      <c r="B337">
        <f t="shared" si="24"/>
        <v>374.99999999999994</v>
      </c>
      <c r="C337">
        <f t="shared" si="25"/>
        <v>374.99999999999994</v>
      </c>
      <c r="D337">
        <f t="shared" si="25"/>
        <v>374.99999999999994</v>
      </c>
      <c r="E337">
        <f t="shared" si="25"/>
        <v>374.99999999999994</v>
      </c>
      <c r="F337">
        <f t="shared" si="25"/>
        <v>374.99999999999994</v>
      </c>
      <c r="G337">
        <f t="shared" si="25"/>
        <v>374.99999999999994</v>
      </c>
      <c r="H337">
        <f t="shared" si="25"/>
        <v>374.99999999999994</v>
      </c>
      <c r="I337">
        <f t="shared" si="25"/>
        <v>374.99999999999994</v>
      </c>
      <c r="J337" s="12" t="s">
        <v>405</v>
      </c>
      <c r="K337" s="14" t="s">
        <v>1060</v>
      </c>
      <c r="L337" s="29"/>
      <c r="M337" s="14">
        <f>INDEX('Pivot Analysis'!A:B,MATCH(J337,'Pivot Analysis'!B:B,0),1)</f>
        <v>374.99999999999994</v>
      </c>
      <c r="N337" s="14" t="e">
        <f>INDEX(Cloc!E:F,MATCH(J337,Cloc!F:F,0),1)</f>
        <v>#N/A</v>
      </c>
      <c r="O337" s="14">
        <f t="shared" si="26"/>
        <v>374.99999999999994</v>
      </c>
      <c r="P337" s="14">
        <f>O337/Q337</f>
        <v>374.99999999999994</v>
      </c>
      <c r="Q337">
        <f>MAX(1,SUMPRODUCT($R$1:$AD$1,R337:AD337))</f>
        <v>1</v>
      </c>
    </row>
    <row r="338" spans="1:26" x14ac:dyDescent="0.25">
      <c r="A338" s="25" t="str">
        <f t="shared" si="27"/>
        <v>l10n_td;base.group_user;30;30;30;30;30;30;30;30</v>
      </c>
      <c r="B338">
        <f t="shared" si="24"/>
        <v>30</v>
      </c>
      <c r="C338">
        <f t="shared" si="25"/>
        <v>30</v>
      </c>
      <c r="D338">
        <f t="shared" si="25"/>
        <v>30</v>
      </c>
      <c r="E338">
        <f t="shared" si="25"/>
        <v>30</v>
      </c>
      <c r="F338">
        <f t="shared" si="25"/>
        <v>30</v>
      </c>
      <c r="G338">
        <f t="shared" si="25"/>
        <v>30</v>
      </c>
      <c r="H338">
        <f t="shared" si="25"/>
        <v>30</v>
      </c>
      <c r="I338">
        <f t="shared" si="25"/>
        <v>30</v>
      </c>
      <c r="J338" s="12" t="s">
        <v>914</v>
      </c>
      <c r="K338" s="14" t="s">
        <v>1060</v>
      </c>
      <c r="L338" s="29"/>
      <c r="M338" s="14">
        <f>INDEX('Pivot Analysis'!A:B,MATCH(J338,'Pivot Analysis'!B:B,0),1)</f>
        <v>30</v>
      </c>
      <c r="N338" s="14" t="e">
        <f>INDEX(Cloc!E:F,MATCH(J338,Cloc!F:F,0),1)</f>
        <v>#N/A</v>
      </c>
      <c r="O338" s="14">
        <f t="shared" si="26"/>
        <v>30</v>
      </c>
      <c r="P338" s="14">
        <f>O338/Q338</f>
        <v>30</v>
      </c>
      <c r="Q338">
        <f>MAX(1,SUMPRODUCT($R$1:$AD$1,R338:AD338))</f>
        <v>1</v>
      </c>
    </row>
    <row r="339" spans="1:26" x14ac:dyDescent="0.25">
      <c r="A339" s="25" t="str">
        <f t="shared" si="27"/>
        <v>l10n_test_pos_qr_payment;base.group_user;1000;1000;1000;1000;1000;1000;1000;1000</v>
      </c>
      <c r="B339">
        <f t="shared" si="24"/>
        <v>1000</v>
      </c>
      <c r="C339">
        <f t="shared" si="25"/>
        <v>1000</v>
      </c>
      <c r="D339">
        <f t="shared" si="25"/>
        <v>1000</v>
      </c>
      <c r="E339">
        <f t="shared" si="25"/>
        <v>1000</v>
      </c>
      <c r="F339">
        <f t="shared" si="25"/>
        <v>1000</v>
      </c>
      <c r="G339">
        <f t="shared" si="25"/>
        <v>1000</v>
      </c>
      <c r="H339">
        <f t="shared" si="25"/>
        <v>1000</v>
      </c>
      <c r="I339">
        <f t="shared" si="25"/>
        <v>1000</v>
      </c>
      <c r="J339" s="14" t="s">
        <v>1113</v>
      </c>
      <c r="K339" s="14" t="s">
        <v>1060</v>
      </c>
      <c r="L339" s="29"/>
      <c r="M339" s="14" t="e">
        <f>INDEX('Pivot Analysis'!A:B,MATCH(J339,'Pivot Analysis'!B:B,0),1)</f>
        <v>#N/A</v>
      </c>
      <c r="N339" s="14" t="e">
        <f>INDEX(Cloc!E:F,MATCH(J339,Cloc!F:F,0),1)</f>
        <v>#N/A</v>
      </c>
      <c r="O339" s="14">
        <f t="shared" si="26"/>
        <v>1000</v>
      </c>
      <c r="P339" s="14">
        <f>O339/Q339</f>
        <v>1000</v>
      </c>
      <c r="Q339">
        <f>MAX(1,SUMPRODUCT($R$1:$AD$1,R339:AD339))</f>
        <v>1</v>
      </c>
      <c r="Z339">
        <v>1</v>
      </c>
    </row>
    <row r="340" spans="1:26" x14ac:dyDescent="0.25">
      <c r="A340" s="25" t="str">
        <f t="shared" si="27"/>
        <v>l10n_tg;base.group_user;30;30;30;30;30;30;30;30</v>
      </c>
      <c r="B340">
        <f t="shared" si="24"/>
        <v>30</v>
      </c>
      <c r="C340">
        <f t="shared" si="25"/>
        <v>30</v>
      </c>
      <c r="D340">
        <f t="shared" si="25"/>
        <v>30</v>
      </c>
      <c r="E340">
        <f t="shared" si="25"/>
        <v>30</v>
      </c>
      <c r="F340">
        <f t="shared" si="25"/>
        <v>30</v>
      </c>
      <c r="G340">
        <f t="shared" si="25"/>
        <v>30</v>
      </c>
      <c r="H340">
        <f t="shared" si="25"/>
        <v>30</v>
      </c>
      <c r="I340">
        <f t="shared" si="25"/>
        <v>30</v>
      </c>
      <c r="J340" s="12" t="s">
        <v>915</v>
      </c>
      <c r="K340" s="14" t="s">
        <v>1060</v>
      </c>
      <c r="L340" s="29"/>
      <c r="M340" s="14">
        <f>INDEX('Pivot Analysis'!A:B,MATCH(J340,'Pivot Analysis'!B:B,0),1)</f>
        <v>30</v>
      </c>
      <c r="N340" s="14" t="e">
        <f>INDEX(Cloc!E:F,MATCH(J340,Cloc!F:F,0),1)</f>
        <v>#N/A</v>
      </c>
      <c r="O340" s="14">
        <f t="shared" si="26"/>
        <v>30</v>
      </c>
      <c r="P340" s="14">
        <f>O340/Q340</f>
        <v>30</v>
      </c>
      <c r="Q340">
        <f>MAX(1,SUMPRODUCT($R$1:$AD$1,R340:AD340))</f>
        <v>1</v>
      </c>
    </row>
    <row r="341" spans="1:26" x14ac:dyDescent="0.25">
      <c r="A341" s="25" t="str">
        <f t="shared" si="27"/>
        <v>l10n_th;base.group_user;60;60;60;60;60;60;60;60</v>
      </c>
      <c r="B341">
        <f t="shared" ref="B341:B404" si="28">$P341*MIN($Q341,B$3)</f>
        <v>60</v>
      </c>
      <c r="C341">
        <f t="shared" si="25"/>
        <v>60</v>
      </c>
      <c r="D341">
        <f t="shared" si="25"/>
        <v>60</v>
      </c>
      <c r="E341">
        <f t="shared" si="25"/>
        <v>60</v>
      </c>
      <c r="F341">
        <f t="shared" si="25"/>
        <v>60</v>
      </c>
      <c r="G341">
        <f t="shared" si="25"/>
        <v>60</v>
      </c>
      <c r="H341">
        <f t="shared" si="25"/>
        <v>60</v>
      </c>
      <c r="I341">
        <f t="shared" si="25"/>
        <v>60</v>
      </c>
      <c r="J341" s="12" t="s">
        <v>408</v>
      </c>
      <c r="K341" s="14" t="s">
        <v>1060</v>
      </c>
      <c r="L341" s="29"/>
      <c r="M341" s="14">
        <f>INDEX('Pivot Analysis'!A:B,MATCH(J341,'Pivot Analysis'!B:B,0),1)</f>
        <v>60</v>
      </c>
      <c r="N341" s="14" t="e">
        <f>INDEX(Cloc!E:F,MATCH(J341,Cloc!F:F,0),1)</f>
        <v>#N/A</v>
      </c>
      <c r="O341" s="14">
        <f t="shared" si="26"/>
        <v>60</v>
      </c>
      <c r="P341" s="14">
        <f>O341/Q341</f>
        <v>60</v>
      </c>
      <c r="Q341">
        <f>MAX(1,SUMPRODUCT($R$1:$AD$1,R341:AD341))</f>
        <v>1</v>
      </c>
    </row>
    <row r="342" spans="1:26" x14ac:dyDescent="0.25">
      <c r="A342" s="25" t="str">
        <f t="shared" si="27"/>
        <v>l10n_tn;base.group_user;30;30;30;30;30;30;30;30</v>
      </c>
      <c r="B342">
        <f t="shared" si="28"/>
        <v>30</v>
      </c>
      <c r="C342">
        <f t="shared" si="25"/>
        <v>30</v>
      </c>
      <c r="D342">
        <f t="shared" si="25"/>
        <v>30</v>
      </c>
      <c r="E342">
        <f t="shared" si="25"/>
        <v>30</v>
      </c>
      <c r="F342">
        <f t="shared" si="25"/>
        <v>30</v>
      </c>
      <c r="G342">
        <f t="shared" si="25"/>
        <v>30</v>
      </c>
      <c r="H342">
        <f t="shared" si="25"/>
        <v>30</v>
      </c>
      <c r="I342">
        <f t="shared" si="25"/>
        <v>30</v>
      </c>
      <c r="J342" s="12" t="s">
        <v>916</v>
      </c>
      <c r="K342" s="14" t="s">
        <v>1060</v>
      </c>
      <c r="L342" s="29"/>
      <c r="M342" s="14">
        <f>INDEX('Pivot Analysis'!A:B,MATCH(J342,'Pivot Analysis'!B:B,0),1)</f>
        <v>30</v>
      </c>
      <c r="N342" s="14" t="e">
        <f>INDEX(Cloc!E:F,MATCH(J342,Cloc!F:F,0),1)</f>
        <v>#N/A</v>
      </c>
      <c r="O342" s="14">
        <f t="shared" si="26"/>
        <v>30</v>
      </c>
      <c r="P342" s="14">
        <f>O342/Q342</f>
        <v>30</v>
      </c>
      <c r="Q342">
        <f>MAX(1,SUMPRODUCT($R$1:$AD$1,R342:AD342))</f>
        <v>1</v>
      </c>
    </row>
    <row r="343" spans="1:26" x14ac:dyDescent="0.25">
      <c r="A343" s="25" t="str">
        <f t="shared" si="27"/>
        <v>l10n_tr;base.group_user;162;162;162;162;162;162;162;162</v>
      </c>
      <c r="B343">
        <f t="shared" si="28"/>
        <v>161.99999999999997</v>
      </c>
      <c r="C343">
        <f t="shared" si="25"/>
        <v>161.99999999999997</v>
      </c>
      <c r="D343">
        <f t="shared" si="25"/>
        <v>161.99999999999997</v>
      </c>
      <c r="E343">
        <f t="shared" si="25"/>
        <v>161.99999999999997</v>
      </c>
      <c r="F343">
        <f t="shared" si="25"/>
        <v>161.99999999999997</v>
      </c>
      <c r="G343">
        <f t="shared" si="25"/>
        <v>161.99999999999997</v>
      </c>
      <c r="H343">
        <f t="shared" si="25"/>
        <v>161.99999999999997</v>
      </c>
      <c r="I343">
        <f t="shared" si="25"/>
        <v>161.99999999999997</v>
      </c>
      <c r="J343" s="12" t="s">
        <v>410</v>
      </c>
      <c r="K343" s="14" t="s">
        <v>1060</v>
      </c>
      <c r="L343" s="29"/>
      <c r="M343" s="14">
        <f>INDEX('Pivot Analysis'!A:B,MATCH(J343,'Pivot Analysis'!B:B,0),1)</f>
        <v>161.99999999999997</v>
      </c>
      <c r="N343" s="14" t="e">
        <f>INDEX(Cloc!E:F,MATCH(J343,Cloc!F:F,0),1)</f>
        <v>#N/A</v>
      </c>
      <c r="O343" s="14">
        <f t="shared" si="26"/>
        <v>161.99999999999997</v>
      </c>
      <c r="P343" s="14">
        <f>O343/Q343</f>
        <v>161.99999999999997</v>
      </c>
      <c r="Q343">
        <f>MAX(1,SUMPRODUCT($R$1:$AD$1,R343:AD343))</f>
        <v>1</v>
      </c>
    </row>
    <row r="344" spans="1:26" x14ac:dyDescent="0.25">
      <c r="A344" s="25" t="str">
        <f t="shared" si="27"/>
        <v>l10n_tr_nilvera;base.group_user;60;60;60;60;60;60;60;60</v>
      </c>
      <c r="B344">
        <f t="shared" si="28"/>
        <v>60</v>
      </c>
      <c r="C344">
        <f t="shared" si="25"/>
        <v>60</v>
      </c>
      <c r="D344">
        <f t="shared" si="25"/>
        <v>60</v>
      </c>
      <c r="E344">
        <f t="shared" si="25"/>
        <v>60</v>
      </c>
      <c r="F344">
        <f t="shared" si="25"/>
        <v>60</v>
      </c>
      <c r="G344">
        <f t="shared" si="25"/>
        <v>60</v>
      </c>
      <c r="H344">
        <f t="shared" si="25"/>
        <v>60</v>
      </c>
      <c r="I344">
        <f t="shared" si="25"/>
        <v>60</v>
      </c>
      <c r="J344" s="12" t="s">
        <v>917</v>
      </c>
      <c r="K344" s="14" t="s">
        <v>1060</v>
      </c>
      <c r="L344" s="29"/>
      <c r="M344" s="14">
        <f>INDEX('Pivot Analysis'!A:B,MATCH(J344,'Pivot Analysis'!B:B,0),1)</f>
        <v>60</v>
      </c>
      <c r="N344" s="14" t="e">
        <f>INDEX(Cloc!E:F,MATCH(J344,Cloc!F:F,0),1)</f>
        <v>#N/A</v>
      </c>
      <c r="O344" s="14">
        <f t="shared" si="26"/>
        <v>60</v>
      </c>
      <c r="P344" s="14">
        <f>O344/Q344</f>
        <v>60</v>
      </c>
      <c r="Q344">
        <f>MAX(1,SUMPRODUCT($R$1:$AD$1,R344:AD344))</f>
        <v>1</v>
      </c>
    </row>
    <row r="345" spans="1:26" x14ac:dyDescent="0.25">
      <c r="A345" s="25" t="str">
        <f t="shared" si="27"/>
        <v>l10n_tr_nilvera_einvoice;base.group_user;30;30;30;30;30;30;30;30</v>
      </c>
      <c r="B345">
        <f t="shared" si="28"/>
        <v>30</v>
      </c>
      <c r="C345">
        <f t="shared" si="25"/>
        <v>30</v>
      </c>
      <c r="D345">
        <f t="shared" si="25"/>
        <v>30</v>
      </c>
      <c r="E345">
        <f t="shared" si="25"/>
        <v>30</v>
      </c>
      <c r="F345">
        <f t="shared" si="25"/>
        <v>30</v>
      </c>
      <c r="G345">
        <f t="shared" si="25"/>
        <v>30</v>
      </c>
      <c r="H345">
        <f t="shared" si="25"/>
        <v>30</v>
      </c>
      <c r="I345">
        <f t="shared" si="25"/>
        <v>30</v>
      </c>
      <c r="J345" s="12" t="s">
        <v>918</v>
      </c>
      <c r="K345" s="14" t="s">
        <v>1060</v>
      </c>
      <c r="L345" s="29"/>
      <c r="M345" s="14">
        <f>INDEX('Pivot Analysis'!A:B,MATCH(J345,'Pivot Analysis'!B:B,0),1)</f>
        <v>30</v>
      </c>
      <c r="N345" s="14" t="e">
        <f>INDEX(Cloc!E:F,MATCH(J345,Cloc!F:F,0),1)</f>
        <v>#N/A</v>
      </c>
      <c r="O345" s="14">
        <f t="shared" si="26"/>
        <v>30</v>
      </c>
      <c r="P345" s="14">
        <f>O345/Q345</f>
        <v>30</v>
      </c>
      <c r="Q345">
        <f>MAX(1,SUMPRODUCT($R$1:$AD$1,R345:AD345))</f>
        <v>1</v>
      </c>
    </row>
    <row r="346" spans="1:26" x14ac:dyDescent="0.25">
      <c r="A346" s="25" t="str">
        <f t="shared" si="27"/>
        <v>l10n_tw;base.group_user;72;72;72;72;72;72;72;72</v>
      </c>
      <c r="B346">
        <f t="shared" si="28"/>
        <v>72</v>
      </c>
      <c r="C346">
        <f t="shared" si="25"/>
        <v>72</v>
      </c>
      <c r="D346">
        <f t="shared" si="25"/>
        <v>72</v>
      </c>
      <c r="E346">
        <f t="shared" si="25"/>
        <v>72</v>
      </c>
      <c r="F346">
        <f t="shared" si="25"/>
        <v>72</v>
      </c>
      <c r="G346">
        <f t="shared" si="25"/>
        <v>72</v>
      </c>
      <c r="H346">
        <f t="shared" si="25"/>
        <v>72</v>
      </c>
      <c r="I346">
        <f t="shared" si="25"/>
        <v>72</v>
      </c>
      <c r="J346" s="12" t="s">
        <v>413</v>
      </c>
      <c r="K346" s="14" t="s">
        <v>1060</v>
      </c>
      <c r="L346" s="29"/>
      <c r="M346" s="14">
        <f>INDEX('Pivot Analysis'!A:B,MATCH(J346,'Pivot Analysis'!B:B,0),1)</f>
        <v>72</v>
      </c>
      <c r="N346" s="14" t="e">
        <f>INDEX(Cloc!E:F,MATCH(J346,Cloc!F:F,0),1)</f>
        <v>#N/A</v>
      </c>
      <c r="O346" s="14">
        <f t="shared" si="26"/>
        <v>72</v>
      </c>
      <c r="P346" s="14">
        <f>O346/Q346</f>
        <v>72</v>
      </c>
      <c r="Q346">
        <f>MAX(1,SUMPRODUCT($R$1:$AD$1,R346:AD346))</f>
        <v>1</v>
      </c>
    </row>
    <row r="347" spans="1:26" x14ac:dyDescent="0.25">
      <c r="A347" s="25" t="str">
        <f t="shared" si="27"/>
        <v>l10n_tz_account;base.group_user;30;30;30;30;30;30;30;30</v>
      </c>
      <c r="B347">
        <f t="shared" si="28"/>
        <v>30</v>
      </c>
      <c r="C347">
        <f t="shared" si="25"/>
        <v>30</v>
      </c>
      <c r="D347">
        <f t="shared" si="25"/>
        <v>30</v>
      </c>
      <c r="E347">
        <f t="shared" si="25"/>
        <v>30</v>
      </c>
      <c r="F347">
        <f t="shared" si="25"/>
        <v>30</v>
      </c>
      <c r="G347">
        <f t="shared" si="25"/>
        <v>30</v>
      </c>
      <c r="H347">
        <f t="shared" si="25"/>
        <v>30</v>
      </c>
      <c r="I347">
        <f t="shared" si="25"/>
        <v>30</v>
      </c>
      <c r="J347" s="12" t="s">
        <v>919</v>
      </c>
      <c r="K347" s="14" t="s">
        <v>1060</v>
      </c>
      <c r="L347" s="29"/>
      <c r="M347" s="14">
        <f>INDEX('Pivot Analysis'!A:B,MATCH(J347,'Pivot Analysis'!B:B,0),1)</f>
        <v>30</v>
      </c>
      <c r="N347" s="14" t="e">
        <f>INDEX(Cloc!E:F,MATCH(J347,Cloc!F:F,0),1)</f>
        <v>#N/A</v>
      </c>
      <c r="O347" s="14">
        <f t="shared" si="26"/>
        <v>30</v>
      </c>
      <c r="P347" s="14">
        <f>O347/Q347</f>
        <v>30</v>
      </c>
      <c r="Q347">
        <f>MAX(1,SUMPRODUCT($R$1:$AD$1,R347:AD347))</f>
        <v>1</v>
      </c>
    </row>
    <row r="348" spans="1:26" x14ac:dyDescent="0.25">
      <c r="A348" s="25" t="str">
        <f t="shared" si="27"/>
        <v>l10n_ua;base.group_user;174;174;174;174;174;174;174;174</v>
      </c>
      <c r="B348">
        <f t="shared" si="28"/>
        <v>174</v>
      </c>
      <c r="C348">
        <f t="shared" si="25"/>
        <v>174</v>
      </c>
      <c r="D348">
        <f t="shared" si="25"/>
        <v>174</v>
      </c>
      <c r="E348">
        <f t="shared" si="25"/>
        <v>174</v>
      </c>
      <c r="F348">
        <f t="shared" si="25"/>
        <v>174</v>
      </c>
      <c r="G348">
        <f t="shared" si="25"/>
        <v>174</v>
      </c>
      <c r="H348">
        <f t="shared" si="25"/>
        <v>174</v>
      </c>
      <c r="I348">
        <f t="shared" si="25"/>
        <v>174</v>
      </c>
      <c r="J348" s="12" t="s">
        <v>415</v>
      </c>
      <c r="K348" s="14" t="s">
        <v>1060</v>
      </c>
      <c r="L348" s="29"/>
      <c r="M348" s="14">
        <f>INDEX('Pivot Analysis'!A:B,MATCH(J348,'Pivot Analysis'!B:B,0),1)</f>
        <v>174</v>
      </c>
      <c r="N348" s="14" t="e">
        <f>INDEX(Cloc!E:F,MATCH(J348,Cloc!F:F,0),1)</f>
        <v>#N/A</v>
      </c>
      <c r="O348" s="14">
        <f t="shared" si="26"/>
        <v>174</v>
      </c>
      <c r="P348" s="14">
        <f>O348/Q348</f>
        <v>174</v>
      </c>
      <c r="Q348">
        <f>MAX(1,SUMPRODUCT($R$1:$AD$1,R348:AD348))</f>
        <v>1</v>
      </c>
    </row>
    <row r="349" spans="1:26" x14ac:dyDescent="0.25">
      <c r="A349" s="25" t="str">
        <f t="shared" si="27"/>
        <v>l10n_ug;base.group_user;33;33;33;33;33;33;33;33</v>
      </c>
      <c r="B349">
        <f t="shared" si="28"/>
        <v>33</v>
      </c>
      <c r="C349">
        <f t="shared" si="25"/>
        <v>33</v>
      </c>
      <c r="D349">
        <f t="shared" si="25"/>
        <v>33</v>
      </c>
      <c r="E349">
        <f t="shared" si="25"/>
        <v>33</v>
      </c>
      <c r="F349">
        <f t="shared" si="25"/>
        <v>33</v>
      </c>
      <c r="G349">
        <f t="shared" si="25"/>
        <v>33</v>
      </c>
      <c r="H349">
        <f t="shared" ref="C349:I412" si="29">$P349*MIN($Q349,H$3)</f>
        <v>33</v>
      </c>
      <c r="I349">
        <f t="shared" si="29"/>
        <v>33</v>
      </c>
      <c r="J349" s="12" t="s">
        <v>920</v>
      </c>
      <c r="K349" s="14" t="s">
        <v>1060</v>
      </c>
      <c r="L349" s="29"/>
      <c r="M349" s="14">
        <f>INDEX('Pivot Analysis'!A:B,MATCH(J349,'Pivot Analysis'!B:B,0),1)</f>
        <v>33</v>
      </c>
      <c r="N349" s="14" t="e">
        <f>INDEX(Cloc!E:F,MATCH(J349,Cloc!F:F,0),1)</f>
        <v>#N/A</v>
      </c>
      <c r="O349" s="14">
        <f t="shared" si="26"/>
        <v>33</v>
      </c>
      <c r="P349" s="14">
        <f>O349/Q349</f>
        <v>33</v>
      </c>
      <c r="Q349">
        <f>MAX(1,SUMPRODUCT($R$1:$AD$1,R349:AD349))</f>
        <v>1</v>
      </c>
    </row>
    <row r="350" spans="1:26" x14ac:dyDescent="0.25">
      <c r="A350" s="25" t="str">
        <f t="shared" si="27"/>
        <v>l10n_uk;base.group_user;69;69;69;69;69;69;69;69</v>
      </c>
      <c r="B350">
        <f t="shared" si="28"/>
        <v>69</v>
      </c>
      <c r="C350">
        <f t="shared" si="29"/>
        <v>69</v>
      </c>
      <c r="D350">
        <f t="shared" si="29"/>
        <v>69</v>
      </c>
      <c r="E350">
        <f t="shared" si="29"/>
        <v>69</v>
      </c>
      <c r="F350">
        <f t="shared" si="29"/>
        <v>69</v>
      </c>
      <c r="G350">
        <f t="shared" si="29"/>
        <v>69</v>
      </c>
      <c r="H350">
        <f t="shared" si="29"/>
        <v>69</v>
      </c>
      <c r="I350">
        <f t="shared" si="29"/>
        <v>69</v>
      </c>
      <c r="J350" s="12" t="s">
        <v>417</v>
      </c>
      <c r="K350" s="14" t="s">
        <v>1060</v>
      </c>
      <c r="L350" s="29"/>
      <c r="M350" s="14">
        <f>INDEX('Pivot Analysis'!A:B,MATCH(J350,'Pivot Analysis'!B:B,0),1)</f>
        <v>69</v>
      </c>
      <c r="N350" s="14" t="e">
        <f>INDEX(Cloc!E:F,MATCH(J350,Cloc!F:F,0),1)</f>
        <v>#N/A</v>
      </c>
      <c r="O350" s="14">
        <f t="shared" si="26"/>
        <v>69</v>
      </c>
      <c r="P350" s="14">
        <f>O350/Q350</f>
        <v>69</v>
      </c>
      <c r="Q350">
        <f>MAX(1,SUMPRODUCT($R$1:$AD$1,R350:AD350))</f>
        <v>1</v>
      </c>
    </row>
    <row r="351" spans="1:26" x14ac:dyDescent="0.25">
      <c r="A351" s="25" t="str">
        <f t="shared" si="27"/>
        <v>l10n_us;base.group_user;0;0;0;0;0;0;0;0</v>
      </c>
      <c r="B351">
        <f t="shared" si="28"/>
        <v>0</v>
      </c>
      <c r="C351">
        <f t="shared" si="29"/>
        <v>0</v>
      </c>
      <c r="D351">
        <f t="shared" si="29"/>
        <v>0</v>
      </c>
      <c r="E351">
        <f t="shared" si="29"/>
        <v>0</v>
      </c>
      <c r="F351">
        <f t="shared" si="29"/>
        <v>0</v>
      </c>
      <c r="G351">
        <f t="shared" si="29"/>
        <v>0</v>
      </c>
      <c r="H351">
        <f t="shared" si="29"/>
        <v>0</v>
      </c>
      <c r="I351">
        <f t="shared" si="29"/>
        <v>0</v>
      </c>
      <c r="J351" s="12" t="s">
        <v>419</v>
      </c>
      <c r="K351" s="14" t="s">
        <v>1060</v>
      </c>
      <c r="L351" s="29"/>
      <c r="M351" s="14">
        <f>INDEX('Pivot Analysis'!A:B,MATCH(J351,'Pivot Analysis'!B:B,0),1)</f>
        <v>0</v>
      </c>
      <c r="N351" s="14" t="e">
        <f>INDEX(Cloc!E:F,MATCH(J351,Cloc!F:F,0),1)</f>
        <v>#N/A</v>
      </c>
      <c r="O351" s="14">
        <f t="shared" si="26"/>
        <v>0</v>
      </c>
      <c r="P351" s="14">
        <f>O351/Q351</f>
        <v>0</v>
      </c>
      <c r="Q351">
        <f>MAX(1,SUMPRODUCT($R$1:$AD$1,R351:AD351))</f>
        <v>1</v>
      </c>
    </row>
    <row r="352" spans="1:26" x14ac:dyDescent="0.25">
      <c r="A352" s="25" t="str">
        <f t="shared" si="27"/>
        <v>l10n_us_account;base.group_user;1000;1000;1000;1000;1000;1000;1000;1000</v>
      </c>
      <c r="B352">
        <f t="shared" si="28"/>
        <v>1000</v>
      </c>
      <c r="C352">
        <f t="shared" si="29"/>
        <v>1000</v>
      </c>
      <c r="D352">
        <f t="shared" si="29"/>
        <v>1000</v>
      </c>
      <c r="E352">
        <f t="shared" si="29"/>
        <v>1000</v>
      </c>
      <c r="F352">
        <f t="shared" si="29"/>
        <v>1000</v>
      </c>
      <c r="G352">
        <f t="shared" si="29"/>
        <v>1000</v>
      </c>
      <c r="H352">
        <f t="shared" si="29"/>
        <v>1000</v>
      </c>
      <c r="I352">
        <f t="shared" si="29"/>
        <v>1000</v>
      </c>
      <c r="J352" s="14" t="s">
        <v>1100</v>
      </c>
      <c r="K352" s="14" t="s">
        <v>1060</v>
      </c>
      <c r="L352" s="29"/>
      <c r="M352" s="14" t="e">
        <f>INDEX('Pivot Analysis'!A:B,MATCH(J352,'Pivot Analysis'!B:B,0),1)</f>
        <v>#N/A</v>
      </c>
      <c r="N352" s="14" t="e">
        <f>INDEX(Cloc!E:F,MATCH(J352,Cloc!F:F,0),1)</f>
        <v>#N/A</v>
      </c>
      <c r="O352" s="14">
        <f t="shared" si="26"/>
        <v>1000</v>
      </c>
      <c r="P352" s="14">
        <f>O352/Q352</f>
        <v>1000</v>
      </c>
      <c r="Q352">
        <f>MAX(1,SUMPRODUCT($R$1:$AD$1,R352:AD352))</f>
        <v>1</v>
      </c>
      <c r="Z352">
        <v>1</v>
      </c>
    </row>
    <row r="353" spans="1:25" x14ac:dyDescent="0.25">
      <c r="A353" s="25" t="str">
        <f t="shared" si="27"/>
        <v>l10n_uy;base.group_user;126;126;126;126;126;126;126;126</v>
      </c>
      <c r="B353">
        <f t="shared" si="28"/>
        <v>126</v>
      </c>
      <c r="C353">
        <f t="shared" si="29"/>
        <v>126</v>
      </c>
      <c r="D353">
        <f t="shared" si="29"/>
        <v>126</v>
      </c>
      <c r="E353">
        <f t="shared" si="29"/>
        <v>126</v>
      </c>
      <c r="F353">
        <f t="shared" si="29"/>
        <v>126</v>
      </c>
      <c r="G353">
        <f t="shared" si="29"/>
        <v>126</v>
      </c>
      <c r="H353">
        <f t="shared" si="29"/>
        <v>126</v>
      </c>
      <c r="I353">
        <f t="shared" si="29"/>
        <v>126</v>
      </c>
      <c r="J353" s="12" t="s">
        <v>420</v>
      </c>
      <c r="K353" s="14" t="s">
        <v>1060</v>
      </c>
      <c r="L353" s="29"/>
      <c r="M353" s="14">
        <f>INDEX('Pivot Analysis'!A:B,MATCH(J353,'Pivot Analysis'!B:B,0),1)</f>
        <v>126</v>
      </c>
      <c r="N353" s="14" t="e">
        <f>INDEX(Cloc!E:F,MATCH(J353,Cloc!F:F,0),1)</f>
        <v>#N/A</v>
      </c>
      <c r="O353" s="14">
        <f t="shared" si="26"/>
        <v>126</v>
      </c>
      <c r="P353" s="14">
        <f>O353/Q353</f>
        <v>126</v>
      </c>
      <c r="Q353">
        <f>MAX(1,SUMPRODUCT($R$1:$AD$1,R353:AD353))</f>
        <v>1</v>
      </c>
    </row>
    <row r="354" spans="1:25" x14ac:dyDescent="0.25">
      <c r="A354" s="25" t="str">
        <f t="shared" si="27"/>
        <v>l10n_ve;base.group_user;117;117;117;117;117;117;117;117</v>
      </c>
      <c r="B354">
        <f t="shared" si="28"/>
        <v>117</v>
      </c>
      <c r="C354">
        <f t="shared" si="29"/>
        <v>117</v>
      </c>
      <c r="D354">
        <f t="shared" si="29"/>
        <v>117</v>
      </c>
      <c r="E354">
        <f t="shared" si="29"/>
        <v>117</v>
      </c>
      <c r="F354">
        <f t="shared" si="29"/>
        <v>117</v>
      </c>
      <c r="G354">
        <f t="shared" si="29"/>
        <v>117</v>
      </c>
      <c r="H354">
        <f t="shared" si="29"/>
        <v>117</v>
      </c>
      <c r="I354">
        <f t="shared" si="29"/>
        <v>117</v>
      </c>
      <c r="J354" s="12" t="s">
        <v>423</v>
      </c>
      <c r="K354" s="14" t="s">
        <v>1060</v>
      </c>
      <c r="L354" s="29"/>
      <c r="M354" s="14">
        <f>INDEX('Pivot Analysis'!A:B,MATCH(J354,'Pivot Analysis'!B:B,0),1)</f>
        <v>117</v>
      </c>
      <c r="N354" s="14" t="e">
        <f>INDEX(Cloc!E:F,MATCH(J354,Cloc!F:F,0),1)</f>
        <v>#N/A</v>
      </c>
      <c r="O354" s="14">
        <f t="shared" si="26"/>
        <v>117</v>
      </c>
      <c r="P354" s="14">
        <f>O354/Q354</f>
        <v>117</v>
      </c>
      <c r="Q354">
        <f>MAX(1,SUMPRODUCT($R$1:$AD$1,R354:AD354))</f>
        <v>1</v>
      </c>
    </row>
    <row r="355" spans="1:25" x14ac:dyDescent="0.25">
      <c r="A355" s="25" t="str">
        <f t="shared" si="27"/>
        <v>l10n_vn;base.group_user;113,7;113,7;113,7;113,7;113,7;113,7;113,7;113,7</v>
      </c>
      <c r="B355">
        <f t="shared" si="28"/>
        <v>113.70000000000003</v>
      </c>
      <c r="C355">
        <f t="shared" si="29"/>
        <v>113.70000000000003</v>
      </c>
      <c r="D355">
        <f t="shared" si="29"/>
        <v>113.70000000000003</v>
      </c>
      <c r="E355">
        <f t="shared" si="29"/>
        <v>113.70000000000003</v>
      </c>
      <c r="F355">
        <f t="shared" si="29"/>
        <v>113.70000000000003</v>
      </c>
      <c r="G355">
        <f t="shared" si="29"/>
        <v>113.70000000000003</v>
      </c>
      <c r="H355">
        <f t="shared" si="29"/>
        <v>113.70000000000003</v>
      </c>
      <c r="I355">
        <f t="shared" si="29"/>
        <v>113.70000000000003</v>
      </c>
      <c r="J355" s="12" t="s">
        <v>426</v>
      </c>
      <c r="K355" s="14" t="s">
        <v>1060</v>
      </c>
      <c r="L355" s="29"/>
      <c r="M355" s="14">
        <f>INDEX('Pivot Analysis'!A:B,MATCH(J355,'Pivot Analysis'!B:B,0),1)</f>
        <v>113.70000000000003</v>
      </c>
      <c r="N355" s="14" t="e">
        <f>INDEX(Cloc!E:F,MATCH(J355,Cloc!F:F,0),1)</f>
        <v>#N/A</v>
      </c>
      <c r="O355" s="14">
        <f t="shared" si="26"/>
        <v>113.70000000000003</v>
      </c>
      <c r="P355" s="14">
        <f>O355/Q355</f>
        <v>113.70000000000003</v>
      </c>
      <c r="Q355">
        <f>MAX(1,SUMPRODUCT($R$1:$AD$1,R355:AD355))</f>
        <v>1</v>
      </c>
    </row>
    <row r="356" spans="1:25" x14ac:dyDescent="0.25">
      <c r="A356" s="25" t="str">
        <f t="shared" si="27"/>
        <v>l10n_vn_edi_viettel;base.group_user;60;60;60;60;60;60;60;60</v>
      </c>
      <c r="B356">
        <f t="shared" si="28"/>
        <v>60</v>
      </c>
      <c r="C356">
        <f t="shared" si="29"/>
        <v>60</v>
      </c>
      <c r="D356">
        <f t="shared" si="29"/>
        <v>60</v>
      </c>
      <c r="E356">
        <f t="shared" si="29"/>
        <v>60</v>
      </c>
      <c r="F356">
        <f t="shared" si="29"/>
        <v>60</v>
      </c>
      <c r="G356">
        <f t="shared" si="29"/>
        <v>60</v>
      </c>
      <c r="H356">
        <f t="shared" si="29"/>
        <v>60</v>
      </c>
      <c r="I356">
        <f t="shared" si="29"/>
        <v>60</v>
      </c>
      <c r="J356" s="12" t="s">
        <v>922</v>
      </c>
      <c r="K356" s="14" t="s">
        <v>1060</v>
      </c>
      <c r="L356" s="29"/>
      <c r="M356" s="14">
        <f>INDEX('Pivot Analysis'!A:B,MATCH(J356,'Pivot Analysis'!B:B,0),1)</f>
        <v>60</v>
      </c>
      <c r="N356" s="14" t="e">
        <f>INDEX(Cloc!E:F,MATCH(J356,Cloc!F:F,0),1)</f>
        <v>#N/A</v>
      </c>
      <c r="O356" s="14">
        <f t="shared" si="26"/>
        <v>60</v>
      </c>
      <c r="P356" s="14">
        <f>O356/Q356</f>
        <v>60</v>
      </c>
      <c r="Q356">
        <f>MAX(1,SUMPRODUCT($R$1:$AD$1,R356:AD356))</f>
        <v>1</v>
      </c>
    </row>
    <row r="357" spans="1:25" x14ac:dyDescent="0.25">
      <c r="A357" s="25" t="str">
        <f t="shared" si="27"/>
        <v>l10n_za;base.group_user;72;72;72;72;72;72;72;72</v>
      </c>
      <c r="B357">
        <f t="shared" si="28"/>
        <v>72</v>
      </c>
      <c r="C357">
        <f t="shared" si="29"/>
        <v>72</v>
      </c>
      <c r="D357">
        <f t="shared" si="29"/>
        <v>72</v>
      </c>
      <c r="E357">
        <f t="shared" si="29"/>
        <v>72</v>
      </c>
      <c r="F357">
        <f t="shared" si="29"/>
        <v>72</v>
      </c>
      <c r="G357">
        <f t="shared" si="29"/>
        <v>72</v>
      </c>
      <c r="H357">
        <f t="shared" si="29"/>
        <v>72</v>
      </c>
      <c r="I357">
        <f t="shared" si="29"/>
        <v>72</v>
      </c>
      <c r="J357" s="12" t="s">
        <v>429</v>
      </c>
      <c r="K357" s="14" t="s">
        <v>1060</v>
      </c>
      <c r="L357" s="29"/>
      <c r="M357" s="14">
        <f>INDEX('Pivot Analysis'!A:B,MATCH(J357,'Pivot Analysis'!B:B,0),1)</f>
        <v>72</v>
      </c>
      <c r="N357" s="14" t="e">
        <f>INDEX(Cloc!E:F,MATCH(J357,Cloc!F:F,0),1)</f>
        <v>#N/A</v>
      </c>
      <c r="O357" s="14">
        <f t="shared" si="26"/>
        <v>72</v>
      </c>
      <c r="P357" s="14">
        <f>O357/Q357</f>
        <v>72</v>
      </c>
      <c r="Q357">
        <f>MAX(1,SUMPRODUCT($R$1:$AD$1,R357:AD357))</f>
        <v>1</v>
      </c>
    </row>
    <row r="358" spans="1:25" x14ac:dyDescent="0.25">
      <c r="A358" s="25" t="str">
        <f t="shared" si="27"/>
        <v>l10n_zm_account;base.group_user;30;30;30;30;30;30;30;30</v>
      </c>
      <c r="B358">
        <f t="shared" si="28"/>
        <v>30</v>
      </c>
      <c r="C358">
        <f t="shared" si="29"/>
        <v>30</v>
      </c>
      <c r="D358">
        <f t="shared" si="29"/>
        <v>30</v>
      </c>
      <c r="E358">
        <f t="shared" si="29"/>
        <v>30</v>
      </c>
      <c r="F358">
        <f t="shared" si="29"/>
        <v>30</v>
      </c>
      <c r="G358">
        <f t="shared" si="29"/>
        <v>30</v>
      </c>
      <c r="H358">
        <f t="shared" si="29"/>
        <v>30</v>
      </c>
      <c r="I358">
        <f t="shared" si="29"/>
        <v>30</v>
      </c>
      <c r="J358" s="12" t="s">
        <v>923</v>
      </c>
      <c r="K358" s="14" t="s">
        <v>1060</v>
      </c>
      <c r="L358" s="29"/>
      <c r="M358" s="14">
        <f>INDEX('Pivot Analysis'!A:B,MATCH(J358,'Pivot Analysis'!B:B,0),1)</f>
        <v>30</v>
      </c>
      <c r="N358" s="14" t="e">
        <f>INDEX(Cloc!E:F,MATCH(J358,Cloc!F:F,0),1)</f>
        <v>#N/A</v>
      </c>
      <c r="O358" s="14">
        <f t="shared" si="26"/>
        <v>30</v>
      </c>
      <c r="P358" s="14">
        <f>O358/Q358</f>
        <v>30</v>
      </c>
      <c r="Q358">
        <f>MAX(1,SUMPRODUCT($R$1:$AD$1,R358:AD358))</f>
        <v>1</v>
      </c>
    </row>
    <row r="359" spans="1:25" x14ac:dyDescent="0.25">
      <c r="A359" s="25" t="str">
        <f t="shared" si="27"/>
        <v>link_tracker;base.group_user;0;0;0;0;0;0;0;0</v>
      </c>
      <c r="B359">
        <f t="shared" si="28"/>
        <v>0</v>
      </c>
      <c r="C359">
        <f t="shared" si="29"/>
        <v>0</v>
      </c>
      <c r="D359">
        <f t="shared" si="29"/>
        <v>0</v>
      </c>
      <c r="E359">
        <f t="shared" si="29"/>
        <v>0</v>
      </c>
      <c r="F359">
        <f t="shared" si="29"/>
        <v>0</v>
      </c>
      <c r="G359">
        <f t="shared" si="29"/>
        <v>0</v>
      </c>
      <c r="H359">
        <f t="shared" si="29"/>
        <v>0</v>
      </c>
      <c r="I359">
        <f t="shared" si="29"/>
        <v>0</v>
      </c>
      <c r="J359" s="12" t="s">
        <v>430</v>
      </c>
      <c r="K359" s="14" t="s">
        <v>1060</v>
      </c>
      <c r="L359" s="29"/>
      <c r="M359" s="14">
        <f>INDEX('Pivot Analysis'!A:B,MATCH(J359,'Pivot Analysis'!B:B,0),1)</f>
        <v>0</v>
      </c>
      <c r="N359" s="14">
        <f>INDEX(Cloc!E:F,MATCH(J359,Cloc!F:F,0),1)</f>
        <v>48</v>
      </c>
      <c r="O359" s="14">
        <f t="shared" si="26"/>
        <v>0</v>
      </c>
      <c r="P359" s="14">
        <f>O359/Q359</f>
        <v>0</v>
      </c>
      <c r="Q359">
        <f>MAX(1,SUMPRODUCT($R$1:$AD$1,R359:AD359))</f>
        <v>3</v>
      </c>
      <c r="Y359">
        <v>1</v>
      </c>
    </row>
    <row r="360" spans="1:25" x14ac:dyDescent="0.25">
      <c r="A360" s="25" t="str">
        <f t="shared" si="27"/>
        <v>loyalty;base.group_user;117,3;117,3;117,3;117,3;117,3;117,3;117,3;117,3</v>
      </c>
      <c r="B360">
        <f t="shared" si="28"/>
        <v>117.3</v>
      </c>
      <c r="C360">
        <f t="shared" si="29"/>
        <v>117.3</v>
      </c>
      <c r="D360">
        <f t="shared" si="29"/>
        <v>117.3</v>
      </c>
      <c r="E360">
        <f t="shared" si="29"/>
        <v>117.3</v>
      </c>
      <c r="F360">
        <f t="shared" si="29"/>
        <v>117.3</v>
      </c>
      <c r="G360">
        <f t="shared" si="29"/>
        <v>117.3</v>
      </c>
      <c r="H360">
        <f t="shared" si="29"/>
        <v>117.3</v>
      </c>
      <c r="I360">
        <f t="shared" si="29"/>
        <v>117.3</v>
      </c>
      <c r="J360" s="12" t="s">
        <v>431</v>
      </c>
      <c r="K360" s="14" t="s">
        <v>1060</v>
      </c>
      <c r="L360" s="29"/>
      <c r="M360" s="14">
        <f>INDEX('Pivot Analysis'!A:B,MATCH(J360,'Pivot Analysis'!B:B,0),1)</f>
        <v>117.3</v>
      </c>
      <c r="N360" s="14" t="e">
        <f>INDEX(Cloc!E:F,MATCH(J360,Cloc!F:F,0),1)</f>
        <v>#N/A</v>
      </c>
      <c r="O360" s="14">
        <f t="shared" si="26"/>
        <v>117.3</v>
      </c>
      <c r="P360" s="14">
        <f>O360/Q360</f>
        <v>117.3</v>
      </c>
      <c r="Q360">
        <f>MAX(1,SUMPRODUCT($R$1:$AD$1,R360:AD360))</f>
        <v>1</v>
      </c>
    </row>
    <row r="361" spans="1:25" x14ac:dyDescent="0.25">
      <c r="A361" s="25" t="str">
        <f t="shared" si="27"/>
        <v>loyalty_delivery;base.group_user;0;0;0;0;0;0;0;0</v>
      </c>
      <c r="B361">
        <f t="shared" si="28"/>
        <v>0</v>
      </c>
      <c r="C361">
        <f t="shared" si="29"/>
        <v>0</v>
      </c>
      <c r="D361">
        <f t="shared" si="29"/>
        <v>0</v>
      </c>
      <c r="E361">
        <f t="shared" si="29"/>
        <v>0</v>
      </c>
      <c r="F361">
        <f t="shared" si="29"/>
        <v>0</v>
      </c>
      <c r="G361">
        <f t="shared" si="29"/>
        <v>0</v>
      </c>
      <c r="H361">
        <f t="shared" si="29"/>
        <v>0</v>
      </c>
      <c r="I361">
        <f t="shared" si="29"/>
        <v>0</v>
      </c>
      <c r="J361" s="12" t="s">
        <v>433</v>
      </c>
      <c r="K361" s="14" t="s">
        <v>1060</v>
      </c>
      <c r="L361" s="29"/>
      <c r="M361" s="14">
        <f>INDEX('Pivot Analysis'!A:B,MATCH(J361,'Pivot Analysis'!B:B,0),1)</f>
        <v>0</v>
      </c>
      <c r="N361" s="14" t="e">
        <f>INDEX(Cloc!E:F,MATCH(J361,Cloc!F:F,0),1)</f>
        <v>#N/A</v>
      </c>
      <c r="O361" s="14">
        <f t="shared" si="26"/>
        <v>0</v>
      </c>
      <c r="P361" s="14">
        <f>O361/Q361</f>
        <v>0</v>
      </c>
      <c r="Q361">
        <f>MAX(1,SUMPRODUCT($R$1:$AD$1,R361:AD361))</f>
        <v>1</v>
      </c>
    </row>
    <row r="362" spans="1:25" x14ac:dyDescent="0.25">
      <c r="A362" s="25" t="str">
        <f t="shared" si="27"/>
        <v>lunch;base.group_user;32;64;96;96;96;96;96;96</v>
      </c>
      <c r="B362">
        <f t="shared" si="28"/>
        <v>32</v>
      </c>
      <c r="C362">
        <f t="shared" si="29"/>
        <v>64</v>
      </c>
      <c r="D362">
        <f t="shared" si="29"/>
        <v>96</v>
      </c>
      <c r="E362">
        <f t="shared" si="29"/>
        <v>96</v>
      </c>
      <c r="F362">
        <f t="shared" si="29"/>
        <v>96</v>
      </c>
      <c r="G362">
        <f t="shared" si="29"/>
        <v>96</v>
      </c>
      <c r="H362">
        <f t="shared" si="29"/>
        <v>96</v>
      </c>
      <c r="I362">
        <f t="shared" si="29"/>
        <v>96</v>
      </c>
      <c r="J362" s="12" t="s">
        <v>435</v>
      </c>
      <c r="K362" s="14" t="s">
        <v>1060</v>
      </c>
      <c r="L362" s="29"/>
      <c r="M362" s="14">
        <f>INDEX('Pivot Analysis'!A:B,MATCH(J362,'Pivot Analysis'!B:B,0),1)</f>
        <v>96</v>
      </c>
      <c r="N362" s="14">
        <f>INDEX(Cloc!E:F,MATCH(J362,Cloc!F:F,0),1)</f>
        <v>221.04000000000002</v>
      </c>
      <c r="O362" s="14">
        <f t="shared" si="26"/>
        <v>96</v>
      </c>
      <c r="P362" s="14">
        <f>O362/Q362</f>
        <v>32</v>
      </c>
      <c r="Q362">
        <f>MAX(1,SUMPRODUCT($R$1:$AD$1,R362:AD362))</f>
        <v>3</v>
      </c>
      <c r="Y362">
        <v>1</v>
      </c>
    </row>
    <row r="363" spans="1:25" x14ac:dyDescent="0.25">
      <c r="A363" s="25" t="str">
        <f t="shared" si="27"/>
        <v>mail;base.group_user;0;0;0;0;0;0;0;0</v>
      </c>
      <c r="B363">
        <f t="shared" si="28"/>
        <v>0</v>
      </c>
      <c r="C363">
        <f t="shared" si="29"/>
        <v>0</v>
      </c>
      <c r="D363">
        <f t="shared" si="29"/>
        <v>0</v>
      </c>
      <c r="E363">
        <f t="shared" si="29"/>
        <v>0</v>
      </c>
      <c r="F363">
        <f t="shared" si="29"/>
        <v>0</v>
      </c>
      <c r="G363">
        <f t="shared" si="29"/>
        <v>0</v>
      </c>
      <c r="H363">
        <f t="shared" si="29"/>
        <v>0</v>
      </c>
      <c r="I363">
        <f t="shared" si="29"/>
        <v>0</v>
      </c>
      <c r="J363" s="12" t="s">
        <v>437</v>
      </c>
      <c r="K363" s="14" t="s">
        <v>1060</v>
      </c>
      <c r="L363" s="29"/>
      <c r="M363" s="14">
        <f>INDEX('Pivot Analysis'!A:B,MATCH(J363,'Pivot Analysis'!B:B,0),1)</f>
        <v>0</v>
      </c>
      <c r="N363" s="14">
        <f>INDEX(Cloc!E:F,MATCH(J363,Cloc!F:F,0),1)</f>
        <v>4112.1000000000004</v>
      </c>
      <c r="O363" s="14">
        <f t="shared" si="26"/>
        <v>0</v>
      </c>
      <c r="P363" s="14">
        <f>O363/Q363</f>
        <v>0</v>
      </c>
      <c r="Q363">
        <f>MAX(1,SUMPRODUCT($R$1:$AD$1,R363:AD363))</f>
        <v>10</v>
      </c>
      <c r="S363">
        <v>1</v>
      </c>
      <c r="X363" t="str">
        <f>IF(SUM(R363:W363)=0,VLOOKUP(J363,#REF!,1,0),"")</f>
        <v/>
      </c>
      <c r="Y363" t="str">
        <f>IF(SUM(R363:X363)&gt;0,"",VLOOKUP(J363,'Apps-from-odoo'!A:A,1,0))</f>
        <v/>
      </c>
    </row>
    <row r="364" spans="1:25" x14ac:dyDescent="0.25">
      <c r="A364" s="25" t="str">
        <f t="shared" si="27"/>
        <v>mail_bot;base.group_user;0,6;1,2;1,8;2,4;3;3,6;4,2;4,8</v>
      </c>
      <c r="B364">
        <f t="shared" si="28"/>
        <v>0.6</v>
      </c>
      <c r="C364">
        <f t="shared" si="29"/>
        <v>1.2</v>
      </c>
      <c r="D364">
        <f t="shared" si="29"/>
        <v>1.7999999999999998</v>
      </c>
      <c r="E364">
        <f t="shared" si="29"/>
        <v>2.4</v>
      </c>
      <c r="F364">
        <f t="shared" si="29"/>
        <v>3</v>
      </c>
      <c r="G364">
        <f t="shared" si="29"/>
        <v>3.5999999999999996</v>
      </c>
      <c r="H364">
        <f t="shared" si="29"/>
        <v>4.2</v>
      </c>
      <c r="I364">
        <f t="shared" si="29"/>
        <v>4.8</v>
      </c>
      <c r="J364" s="12" t="s">
        <v>439</v>
      </c>
      <c r="K364" s="14" t="s">
        <v>1060</v>
      </c>
      <c r="L364" s="29"/>
      <c r="M364" s="14">
        <f>INDEX('Pivot Analysis'!A:B,MATCH(J364,'Pivot Analysis'!B:B,0),1)</f>
        <v>6</v>
      </c>
      <c r="N364" s="14">
        <f>INDEX(Cloc!E:F,MATCH(J364,Cloc!F:F,0),1)</f>
        <v>26.880000000000003</v>
      </c>
      <c r="O364" s="14">
        <f t="shared" si="26"/>
        <v>6</v>
      </c>
      <c r="P364" s="14">
        <f>O364/Q364</f>
        <v>0.6</v>
      </c>
      <c r="Q364">
        <f>MAX(1,SUMPRODUCT($R$1:$AD$1,R364:AD364))</f>
        <v>10</v>
      </c>
      <c r="S364">
        <v>1</v>
      </c>
      <c r="X364" t="str">
        <f>IF(SUM(R364:W364)=0,VLOOKUP(J364,#REF!,1,0),"")</f>
        <v/>
      </c>
      <c r="Y364" t="str">
        <f>IF(SUM(R364:X364)&gt;0,"",VLOOKUP(J364,'Apps-from-odoo'!A:A,1,0))</f>
        <v/>
      </c>
    </row>
    <row r="365" spans="1:25" x14ac:dyDescent="0.25">
      <c r="A365" s="25" t="str">
        <f t="shared" si="27"/>
        <v>mail_bot_hr;base.group_user;0,6;1,2;1,8;2,4;3;3;3;3</v>
      </c>
      <c r="B365">
        <f t="shared" si="28"/>
        <v>0.6</v>
      </c>
      <c r="C365">
        <f t="shared" si="29"/>
        <v>1.2</v>
      </c>
      <c r="D365">
        <f t="shared" si="29"/>
        <v>1.7999999999999998</v>
      </c>
      <c r="E365">
        <f t="shared" si="29"/>
        <v>2.4</v>
      </c>
      <c r="F365">
        <f t="shared" si="29"/>
        <v>3</v>
      </c>
      <c r="G365">
        <f t="shared" si="29"/>
        <v>3</v>
      </c>
      <c r="H365">
        <f t="shared" si="29"/>
        <v>3</v>
      </c>
      <c r="I365">
        <f t="shared" si="29"/>
        <v>3</v>
      </c>
      <c r="J365" s="12" t="s">
        <v>440</v>
      </c>
      <c r="K365" s="14" t="s">
        <v>1060</v>
      </c>
      <c r="L365" s="29"/>
      <c r="M365" s="14">
        <f>INDEX('Pivot Analysis'!A:B,MATCH(J365,'Pivot Analysis'!B:B,0),1)</f>
        <v>3</v>
      </c>
      <c r="N365" s="14">
        <f>INDEX(Cloc!E:F,MATCH(J365,Cloc!F:F,0),1)</f>
        <v>2.52</v>
      </c>
      <c r="O365" s="14">
        <f t="shared" si="26"/>
        <v>3</v>
      </c>
      <c r="P365" s="14">
        <f>O365/Q365</f>
        <v>0.6</v>
      </c>
      <c r="Q365">
        <f>MAX(1,SUMPRODUCT($R$1:$AD$1,R365:AD365))</f>
        <v>5</v>
      </c>
      <c r="W365">
        <v>1</v>
      </c>
      <c r="X365" t="str">
        <f>IF(SUM(R365:W365)=0,VLOOKUP(J365,#REF!,1,0),"")</f>
        <v/>
      </c>
      <c r="Y365" t="str">
        <f>IF(SUM(R365:X365)&gt;0,"",VLOOKUP(J365,'Apps-from-odoo'!A:A,1,0))</f>
        <v/>
      </c>
    </row>
    <row r="366" spans="1:25" x14ac:dyDescent="0.25">
      <c r="A366" s="25" t="str">
        <f t="shared" si="27"/>
        <v>mail_group;base.group_user;33;33;33;33;33;33;33;33</v>
      </c>
      <c r="B366">
        <f t="shared" si="28"/>
        <v>33</v>
      </c>
      <c r="C366">
        <f t="shared" si="29"/>
        <v>33</v>
      </c>
      <c r="D366">
        <f t="shared" si="29"/>
        <v>33</v>
      </c>
      <c r="E366">
        <f t="shared" si="29"/>
        <v>33</v>
      </c>
      <c r="F366">
        <f t="shared" si="29"/>
        <v>33</v>
      </c>
      <c r="G366">
        <f t="shared" si="29"/>
        <v>33</v>
      </c>
      <c r="H366">
        <f t="shared" si="29"/>
        <v>33</v>
      </c>
      <c r="I366">
        <f t="shared" si="29"/>
        <v>33</v>
      </c>
      <c r="J366" s="12" t="s">
        <v>441</v>
      </c>
      <c r="K366" s="14" t="s">
        <v>1060</v>
      </c>
      <c r="L366" s="29"/>
      <c r="M366" s="14">
        <f>INDEX('Pivot Analysis'!A:B,MATCH(J366,'Pivot Analysis'!B:B,0),1)</f>
        <v>33</v>
      </c>
      <c r="N366" s="14" t="e">
        <f>INDEX(Cloc!E:F,MATCH(J366,Cloc!F:F,0),1)</f>
        <v>#N/A</v>
      </c>
      <c r="O366" s="14">
        <f t="shared" si="26"/>
        <v>33</v>
      </c>
      <c r="P366" s="14">
        <f>O366/Q366</f>
        <v>33</v>
      </c>
      <c r="Q366">
        <f>MAX(1,SUMPRODUCT($R$1:$AD$1,R366:AD366))</f>
        <v>1</v>
      </c>
    </row>
    <row r="367" spans="1:25" x14ac:dyDescent="0.25">
      <c r="A367" s="25" t="str">
        <f t="shared" si="27"/>
        <v>mail_plugin;base.group_user;30;30;30;30;30;30;30;30</v>
      </c>
      <c r="B367">
        <f t="shared" si="28"/>
        <v>30</v>
      </c>
      <c r="C367">
        <f t="shared" si="29"/>
        <v>30</v>
      </c>
      <c r="D367">
        <f t="shared" si="29"/>
        <v>30</v>
      </c>
      <c r="E367">
        <f t="shared" si="29"/>
        <v>30</v>
      </c>
      <c r="F367">
        <f t="shared" si="29"/>
        <v>30</v>
      </c>
      <c r="G367">
        <f t="shared" si="29"/>
        <v>30</v>
      </c>
      <c r="H367">
        <f t="shared" si="29"/>
        <v>30</v>
      </c>
      <c r="I367">
        <f t="shared" si="29"/>
        <v>30</v>
      </c>
      <c r="J367" s="12" t="s">
        <v>444</v>
      </c>
      <c r="K367" s="14" t="s">
        <v>1060</v>
      </c>
      <c r="L367" s="29"/>
      <c r="M367" s="14">
        <f>INDEX('Pivot Analysis'!A:B,MATCH(J367,'Pivot Analysis'!B:B,0),1)</f>
        <v>30</v>
      </c>
      <c r="N367" s="14" t="e">
        <f>INDEX(Cloc!E:F,MATCH(J367,Cloc!F:F,0),1)</f>
        <v>#N/A</v>
      </c>
      <c r="O367" s="14">
        <f t="shared" si="26"/>
        <v>30</v>
      </c>
      <c r="P367" s="14">
        <f>O367/Q367</f>
        <v>30</v>
      </c>
      <c r="Q367">
        <f>MAX(1,SUMPRODUCT($R$1:$AD$1,R367:AD367))</f>
        <v>1</v>
      </c>
    </row>
    <row r="368" spans="1:25" x14ac:dyDescent="0.25">
      <c r="A368" s="25" t="str">
        <f t="shared" si="27"/>
        <v>maintenance;base.group_user;2;4;6;6;6;6;6;6</v>
      </c>
      <c r="B368">
        <f t="shared" si="28"/>
        <v>2</v>
      </c>
      <c r="C368">
        <f t="shared" si="29"/>
        <v>4</v>
      </c>
      <c r="D368">
        <f t="shared" si="29"/>
        <v>6</v>
      </c>
      <c r="E368">
        <f t="shared" si="29"/>
        <v>6</v>
      </c>
      <c r="F368">
        <f t="shared" si="29"/>
        <v>6</v>
      </c>
      <c r="G368">
        <f t="shared" si="29"/>
        <v>6</v>
      </c>
      <c r="H368">
        <f t="shared" si="29"/>
        <v>6</v>
      </c>
      <c r="I368">
        <f t="shared" si="29"/>
        <v>6</v>
      </c>
      <c r="J368" s="12" t="s">
        <v>445</v>
      </c>
      <c r="K368" s="14" t="s">
        <v>1060</v>
      </c>
      <c r="L368" s="29"/>
      <c r="M368" s="14">
        <f>INDEX('Pivot Analysis'!A:B,MATCH(J368,'Pivot Analysis'!B:B,0),1)</f>
        <v>6</v>
      </c>
      <c r="N368" s="14">
        <f>INDEX(Cloc!E:F,MATCH(J368,Cloc!F:F,0),1)</f>
        <v>111.47999999999999</v>
      </c>
      <c r="O368" s="14">
        <f t="shared" si="26"/>
        <v>6</v>
      </c>
      <c r="P368" s="14">
        <f>O368/Q368</f>
        <v>2</v>
      </c>
      <c r="Q368">
        <f>MAX(1,SUMPRODUCT($R$1:$AD$1,R368:AD368))</f>
        <v>3</v>
      </c>
      <c r="Y368">
        <v>1</v>
      </c>
    </row>
    <row r="369" spans="1:26" x14ac:dyDescent="0.25">
      <c r="A369" s="25" t="str">
        <f t="shared" si="27"/>
        <v>marketing_automation;base.group_user;1000;1000;1000;1000;1000;1000;1000;1000</v>
      </c>
      <c r="B369">
        <f t="shared" si="28"/>
        <v>1000</v>
      </c>
      <c r="C369">
        <f t="shared" si="29"/>
        <v>1000</v>
      </c>
      <c r="D369">
        <f t="shared" si="29"/>
        <v>1000</v>
      </c>
      <c r="E369">
        <f t="shared" si="29"/>
        <v>1000</v>
      </c>
      <c r="F369">
        <f t="shared" si="29"/>
        <v>1000</v>
      </c>
      <c r="G369">
        <f t="shared" si="29"/>
        <v>1000</v>
      </c>
      <c r="H369">
        <f t="shared" si="29"/>
        <v>1000</v>
      </c>
      <c r="I369">
        <f t="shared" si="29"/>
        <v>1000</v>
      </c>
      <c r="J369" s="14" t="s">
        <v>1083</v>
      </c>
      <c r="K369" s="14" t="s">
        <v>1060</v>
      </c>
      <c r="L369" s="29"/>
      <c r="M369" s="14" t="e">
        <f>INDEX('Pivot Analysis'!A:B,MATCH(J369,'Pivot Analysis'!B:B,0),1)</f>
        <v>#N/A</v>
      </c>
      <c r="N369" s="14" t="e">
        <f>INDEX(Cloc!E:F,MATCH(J369,Cloc!F:F,0),1)</f>
        <v>#N/A</v>
      </c>
      <c r="O369" s="14">
        <f t="shared" si="26"/>
        <v>1000</v>
      </c>
      <c r="P369" s="14">
        <f>O369/Q369</f>
        <v>1000</v>
      </c>
      <c r="Q369">
        <f>MAX(1,SUMPRODUCT($R$1:$AD$1,R369:AD369))</f>
        <v>1</v>
      </c>
      <c r="Z369">
        <v>1</v>
      </c>
    </row>
    <row r="370" spans="1:26" x14ac:dyDescent="0.25">
      <c r="A370" s="25" t="str">
        <f t="shared" si="27"/>
        <v>marketing_card;base.group_user;39,5;79;118,5;118,5;118,5;118,5;118,5;118,5</v>
      </c>
      <c r="B370">
        <f t="shared" si="28"/>
        <v>39.5</v>
      </c>
      <c r="C370">
        <f t="shared" si="29"/>
        <v>79</v>
      </c>
      <c r="D370">
        <f t="shared" si="29"/>
        <v>118.5</v>
      </c>
      <c r="E370">
        <f t="shared" si="29"/>
        <v>118.5</v>
      </c>
      <c r="F370">
        <f t="shared" si="29"/>
        <v>118.5</v>
      </c>
      <c r="G370">
        <f t="shared" si="29"/>
        <v>118.5</v>
      </c>
      <c r="H370">
        <f t="shared" si="29"/>
        <v>118.5</v>
      </c>
      <c r="I370">
        <f t="shared" si="29"/>
        <v>118.5</v>
      </c>
      <c r="J370" s="14" t="s">
        <v>1062</v>
      </c>
      <c r="K370" s="14" t="s">
        <v>1060</v>
      </c>
      <c r="L370" s="29"/>
      <c r="M370" s="14" t="e">
        <f>INDEX('Pivot Analysis'!A:B,MATCH(J370,'Pivot Analysis'!B:B,0),1)</f>
        <v>#N/A</v>
      </c>
      <c r="N370" s="14">
        <f>INDEX(Cloc!E:F,MATCH(J370,Cloc!F:F,0),1)</f>
        <v>118.5</v>
      </c>
      <c r="O370" s="14">
        <f t="shared" si="26"/>
        <v>118.5</v>
      </c>
      <c r="P370" s="14">
        <f>O370/Q370</f>
        <v>39.5</v>
      </c>
      <c r="Q370">
        <f>MAX(1,SUMPRODUCT($R$1:$AD$1,R370:AD370))</f>
        <v>3</v>
      </c>
      <c r="Y370">
        <v>1</v>
      </c>
    </row>
    <row r="371" spans="1:26" x14ac:dyDescent="0.25">
      <c r="A371" s="25" t="str">
        <f t="shared" si="27"/>
        <v>mass_mailing;base.group_user;49;98;147;147;147;147;147;147</v>
      </c>
      <c r="B371">
        <f t="shared" si="28"/>
        <v>49</v>
      </c>
      <c r="C371">
        <f t="shared" si="29"/>
        <v>98</v>
      </c>
      <c r="D371">
        <f t="shared" si="29"/>
        <v>147</v>
      </c>
      <c r="E371">
        <f t="shared" si="29"/>
        <v>147</v>
      </c>
      <c r="F371">
        <f t="shared" si="29"/>
        <v>147</v>
      </c>
      <c r="G371">
        <f t="shared" si="29"/>
        <v>147</v>
      </c>
      <c r="H371">
        <f t="shared" si="29"/>
        <v>147</v>
      </c>
      <c r="I371">
        <f t="shared" si="29"/>
        <v>147</v>
      </c>
      <c r="J371" s="12" t="s">
        <v>447</v>
      </c>
      <c r="K371" s="14" t="s">
        <v>1060</v>
      </c>
      <c r="L371" s="29">
        <v>147</v>
      </c>
      <c r="M371" s="14">
        <f>INDEX('Pivot Analysis'!A:B,MATCH(J371,'Pivot Analysis'!B:B,0),1)</f>
        <v>693.3</v>
      </c>
      <c r="N371" s="14">
        <f>INDEX(Cloc!E:F,MATCH(J371,Cloc!F:F,0),1)</f>
        <v>816.54</v>
      </c>
      <c r="O371" s="14">
        <f t="shared" si="26"/>
        <v>147</v>
      </c>
      <c r="P371" s="14">
        <f>O371/Q371</f>
        <v>49</v>
      </c>
      <c r="Q371">
        <f>MAX(1,SUMPRODUCT($R$1:$AD$1,R371:AD371))</f>
        <v>3</v>
      </c>
      <c r="Y371">
        <v>1</v>
      </c>
    </row>
    <row r="372" spans="1:26" x14ac:dyDescent="0.25">
      <c r="A372" s="25" t="str">
        <f t="shared" si="27"/>
        <v>mass_mailing_crm;base.group_user;0;0;0;0;0;0;0;0</v>
      </c>
      <c r="B372">
        <f t="shared" si="28"/>
        <v>0</v>
      </c>
      <c r="C372">
        <f t="shared" si="29"/>
        <v>0</v>
      </c>
      <c r="D372">
        <f t="shared" si="29"/>
        <v>0</v>
      </c>
      <c r="E372">
        <f t="shared" si="29"/>
        <v>0</v>
      </c>
      <c r="F372">
        <f t="shared" si="29"/>
        <v>0</v>
      </c>
      <c r="G372">
        <f t="shared" si="29"/>
        <v>0</v>
      </c>
      <c r="H372">
        <f t="shared" si="29"/>
        <v>0</v>
      </c>
      <c r="I372">
        <f t="shared" si="29"/>
        <v>0</v>
      </c>
      <c r="J372" s="12" t="s">
        <v>450</v>
      </c>
      <c r="K372" s="14" t="s">
        <v>1060</v>
      </c>
      <c r="L372" s="29"/>
      <c r="M372" s="14">
        <f>INDEX('Pivot Analysis'!A:B,MATCH(J372,'Pivot Analysis'!B:B,0),1)</f>
        <v>0</v>
      </c>
      <c r="N372" s="14">
        <f>INDEX(Cloc!E:F,MATCH(J372,Cloc!F:F,0),1)</f>
        <v>6.7799999999999994</v>
      </c>
      <c r="O372" s="14">
        <f t="shared" si="26"/>
        <v>0</v>
      </c>
      <c r="P372" s="14">
        <f>O372/Q372</f>
        <v>0</v>
      </c>
      <c r="Q372">
        <f>MAX(1,SUMPRODUCT($R$1:$AD$1,R372:AD372))</f>
        <v>3</v>
      </c>
      <c r="Y372">
        <v>1</v>
      </c>
    </row>
    <row r="373" spans="1:26" x14ac:dyDescent="0.25">
      <c r="A373" s="25" t="str">
        <f t="shared" si="27"/>
        <v>mass_mailing_crm_sms;base.group_user;0;0;0;0;0;0;0;0</v>
      </c>
      <c r="B373">
        <f t="shared" si="28"/>
        <v>0</v>
      </c>
      <c r="C373">
        <f t="shared" si="29"/>
        <v>0</v>
      </c>
      <c r="D373">
        <f t="shared" si="29"/>
        <v>0</v>
      </c>
      <c r="E373">
        <f t="shared" si="29"/>
        <v>0</v>
      </c>
      <c r="F373">
        <f t="shared" si="29"/>
        <v>0</v>
      </c>
      <c r="G373">
        <f t="shared" si="29"/>
        <v>0</v>
      </c>
      <c r="H373">
        <f t="shared" si="29"/>
        <v>0</v>
      </c>
      <c r="I373">
        <f t="shared" si="29"/>
        <v>0</v>
      </c>
      <c r="J373" s="12" t="s">
        <v>451</v>
      </c>
      <c r="K373" s="14" t="s">
        <v>1060</v>
      </c>
      <c r="L373" s="29"/>
      <c r="M373" s="14">
        <f>INDEX('Pivot Analysis'!A:B,MATCH(J373,'Pivot Analysis'!B:B,0),1)</f>
        <v>0</v>
      </c>
      <c r="N373" s="14">
        <f>INDEX(Cloc!E:F,MATCH(J373,Cloc!F:F,0),1)</f>
        <v>1.08</v>
      </c>
      <c r="O373" s="14">
        <f t="shared" si="26"/>
        <v>0</v>
      </c>
      <c r="P373" s="14">
        <f>O373/Q373</f>
        <v>0</v>
      </c>
      <c r="Q373">
        <f>MAX(1,SUMPRODUCT($R$1:$AD$1,R373:AD373))</f>
        <v>3</v>
      </c>
      <c r="Y373">
        <v>1</v>
      </c>
    </row>
    <row r="374" spans="1:26" x14ac:dyDescent="0.25">
      <c r="A374" s="25" t="str">
        <f t="shared" si="27"/>
        <v>mass_mailing_event;base.group_user;1;2;3;3;3;3;3;3</v>
      </c>
      <c r="B374">
        <f t="shared" si="28"/>
        <v>1</v>
      </c>
      <c r="C374">
        <f t="shared" si="29"/>
        <v>2</v>
      </c>
      <c r="D374">
        <f t="shared" si="29"/>
        <v>3</v>
      </c>
      <c r="E374">
        <f t="shared" si="29"/>
        <v>3</v>
      </c>
      <c r="F374">
        <f t="shared" si="29"/>
        <v>3</v>
      </c>
      <c r="G374">
        <f t="shared" si="29"/>
        <v>3</v>
      </c>
      <c r="H374">
        <f t="shared" si="29"/>
        <v>3</v>
      </c>
      <c r="I374">
        <f t="shared" si="29"/>
        <v>3</v>
      </c>
      <c r="J374" s="12" t="s">
        <v>452</v>
      </c>
      <c r="K374" s="14" t="s">
        <v>1060</v>
      </c>
      <c r="L374" s="29"/>
      <c r="M374" s="14">
        <f>INDEX('Pivot Analysis'!A:B,MATCH(J374,'Pivot Analysis'!B:B,0),1)</f>
        <v>3</v>
      </c>
      <c r="N374" s="14">
        <f>INDEX(Cloc!E:F,MATCH(J374,Cloc!F:F,0),1)</f>
        <v>5.22</v>
      </c>
      <c r="O374" s="14">
        <f t="shared" si="26"/>
        <v>3</v>
      </c>
      <c r="P374" s="14">
        <f>O374/Q374</f>
        <v>1</v>
      </c>
      <c r="Q374">
        <f>MAX(1,SUMPRODUCT($R$1:$AD$1,R374:AD374))</f>
        <v>3</v>
      </c>
      <c r="Y374">
        <v>1</v>
      </c>
    </row>
    <row r="375" spans="1:26" x14ac:dyDescent="0.25">
      <c r="A375" s="25" t="str">
        <f t="shared" si="27"/>
        <v>mass_mailing_event_sms;base.group_user;11;22;33;33;33;33;33;33</v>
      </c>
      <c r="B375">
        <f t="shared" si="28"/>
        <v>11</v>
      </c>
      <c r="C375">
        <f t="shared" si="29"/>
        <v>22</v>
      </c>
      <c r="D375">
        <f t="shared" si="29"/>
        <v>33</v>
      </c>
      <c r="E375">
        <f t="shared" si="29"/>
        <v>33</v>
      </c>
      <c r="F375">
        <f t="shared" si="29"/>
        <v>33</v>
      </c>
      <c r="G375">
        <f t="shared" si="29"/>
        <v>33</v>
      </c>
      <c r="H375">
        <f t="shared" si="29"/>
        <v>33</v>
      </c>
      <c r="I375">
        <f t="shared" si="29"/>
        <v>33</v>
      </c>
      <c r="J375" s="12" t="s">
        <v>453</v>
      </c>
      <c r="K375" s="14" t="s">
        <v>1060</v>
      </c>
      <c r="L375" s="29"/>
      <c r="M375" s="14">
        <f>INDEX('Pivot Analysis'!A:B,MATCH(J375,'Pivot Analysis'!B:B,0),1)</f>
        <v>33</v>
      </c>
      <c r="N375" s="14">
        <f>INDEX(Cloc!E:F,MATCH(J375,Cloc!F:F,0),1)</f>
        <v>1.6800000000000002</v>
      </c>
      <c r="O375" s="14">
        <f t="shared" si="26"/>
        <v>33</v>
      </c>
      <c r="P375" s="14">
        <f>O375/Q375</f>
        <v>11</v>
      </c>
      <c r="Q375">
        <f>MAX(1,SUMPRODUCT($R$1:$AD$1,R375:AD375))</f>
        <v>3</v>
      </c>
      <c r="Y375">
        <v>1</v>
      </c>
    </row>
    <row r="376" spans="1:26" x14ac:dyDescent="0.25">
      <c r="A376" s="25" t="str">
        <f t="shared" si="27"/>
        <v>mass_mailing_event_track;base.group_user;3;3;3;3;3;3;3;3</v>
      </c>
      <c r="B376">
        <f t="shared" si="28"/>
        <v>3</v>
      </c>
      <c r="C376">
        <f t="shared" si="29"/>
        <v>3</v>
      </c>
      <c r="D376">
        <f t="shared" si="29"/>
        <v>3</v>
      </c>
      <c r="E376">
        <f t="shared" si="29"/>
        <v>3</v>
      </c>
      <c r="F376">
        <f t="shared" si="29"/>
        <v>3</v>
      </c>
      <c r="G376">
        <f t="shared" si="29"/>
        <v>3</v>
      </c>
      <c r="H376">
        <f t="shared" si="29"/>
        <v>3</v>
      </c>
      <c r="I376">
        <f t="shared" si="29"/>
        <v>3</v>
      </c>
      <c r="J376" s="12" t="s">
        <v>454</v>
      </c>
      <c r="K376" s="14" t="s">
        <v>1060</v>
      </c>
      <c r="L376" s="29"/>
      <c r="M376" s="14">
        <f>INDEX('Pivot Analysis'!A:B,MATCH(J376,'Pivot Analysis'!B:B,0),1)</f>
        <v>3</v>
      </c>
      <c r="N376" s="14" t="e">
        <f>INDEX(Cloc!E:F,MATCH(J376,Cloc!F:F,0),1)</f>
        <v>#N/A</v>
      </c>
      <c r="O376" s="14">
        <f t="shared" si="26"/>
        <v>3</v>
      </c>
      <c r="P376" s="14">
        <f>O376/Q376</f>
        <v>3</v>
      </c>
      <c r="Q376">
        <f>MAX(1,SUMPRODUCT($R$1:$AD$1,R376:AD376))</f>
        <v>1</v>
      </c>
    </row>
    <row r="377" spans="1:26" x14ac:dyDescent="0.25">
      <c r="A377" s="25" t="str">
        <f t="shared" si="27"/>
        <v>mass_mailing_event_track_sms;base.group_user;33;33;33;33;33;33;33;33</v>
      </c>
      <c r="B377">
        <f t="shared" si="28"/>
        <v>33</v>
      </c>
      <c r="C377">
        <f t="shared" si="29"/>
        <v>33</v>
      </c>
      <c r="D377">
        <f t="shared" si="29"/>
        <v>33</v>
      </c>
      <c r="E377">
        <f t="shared" si="29"/>
        <v>33</v>
      </c>
      <c r="F377">
        <f t="shared" si="29"/>
        <v>33</v>
      </c>
      <c r="G377">
        <f t="shared" si="29"/>
        <v>33</v>
      </c>
      <c r="H377">
        <f t="shared" si="29"/>
        <v>33</v>
      </c>
      <c r="I377">
        <f t="shared" si="29"/>
        <v>33</v>
      </c>
      <c r="J377" s="12" t="s">
        <v>455</v>
      </c>
      <c r="K377" s="14" t="s">
        <v>1060</v>
      </c>
      <c r="L377" s="29"/>
      <c r="M377" s="14">
        <f>INDEX('Pivot Analysis'!A:B,MATCH(J377,'Pivot Analysis'!B:B,0),1)</f>
        <v>33</v>
      </c>
      <c r="N377" s="14" t="e">
        <f>INDEX(Cloc!E:F,MATCH(J377,Cloc!F:F,0),1)</f>
        <v>#N/A</v>
      </c>
      <c r="O377" s="14">
        <f t="shared" si="26"/>
        <v>33</v>
      </c>
      <c r="P377" s="14">
        <f>O377/Q377</f>
        <v>33</v>
      </c>
      <c r="Q377">
        <f>MAX(1,SUMPRODUCT($R$1:$AD$1,R377:AD377))</f>
        <v>1</v>
      </c>
    </row>
    <row r="378" spans="1:26" x14ac:dyDescent="0.25">
      <c r="A378" s="25" t="str">
        <f t="shared" si="27"/>
        <v>mass_mailing_sale;base.group_user;0;0;0;0;0;0;0;0</v>
      </c>
      <c r="B378">
        <f t="shared" si="28"/>
        <v>0</v>
      </c>
      <c r="C378">
        <f t="shared" si="29"/>
        <v>0</v>
      </c>
      <c r="D378">
        <f t="shared" si="29"/>
        <v>0</v>
      </c>
      <c r="E378">
        <f t="shared" si="29"/>
        <v>0</v>
      </c>
      <c r="F378">
        <f t="shared" si="29"/>
        <v>0</v>
      </c>
      <c r="G378">
        <f t="shared" si="29"/>
        <v>0</v>
      </c>
      <c r="H378">
        <f t="shared" si="29"/>
        <v>0</v>
      </c>
      <c r="I378">
        <f t="shared" si="29"/>
        <v>0</v>
      </c>
      <c r="J378" s="12" t="s">
        <v>456</v>
      </c>
      <c r="K378" s="14" t="s">
        <v>1060</v>
      </c>
      <c r="L378" s="29"/>
      <c r="M378" s="14">
        <f>INDEX('Pivot Analysis'!A:B,MATCH(J378,'Pivot Analysis'!B:B,0),1)</f>
        <v>0</v>
      </c>
      <c r="N378" s="14">
        <f>INDEX(Cloc!E:F,MATCH(J378,Cloc!F:F,0),1)</f>
        <v>9.9599999999999991</v>
      </c>
      <c r="O378" s="14">
        <f t="shared" si="26"/>
        <v>0</v>
      </c>
      <c r="P378" s="14">
        <f>O378/Q378</f>
        <v>0</v>
      </c>
      <c r="Q378">
        <f>MAX(1,SUMPRODUCT($R$1:$AD$1,R378:AD378))</f>
        <v>3</v>
      </c>
      <c r="Y378">
        <v>1</v>
      </c>
    </row>
    <row r="379" spans="1:26" x14ac:dyDescent="0.25">
      <c r="A379" s="25" t="str">
        <f t="shared" si="27"/>
        <v>mass_mailing_sale_sms;base.group_user;0;0;0;0;0;0;0;0</v>
      </c>
      <c r="B379">
        <f t="shared" si="28"/>
        <v>0</v>
      </c>
      <c r="C379">
        <f t="shared" si="29"/>
        <v>0</v>
      </c>
      <c r="D379">
        <f t="shared" si="29"/>
        <v>0</v>
      </c>
      <c r="E379">
        <f t="shared" si="29"/>
        <v>0</v>
      </c>
      <c r="F379">
        <f t="shared" si="29"/>
        <v>0</v>
      </c>
      <c r="G379">
        <f t="shared" si="29"/>
        <v>0</v>
      </c>
      <c r="H379">
        <f t="shared" si="29"/>
        <v>0</v>
      </c>
      <c r="I379">
        <f t="shared" si="29"/>
        <v>0</v>
      </c>
      <c r="J379" s="12" t="s">
        <v>457</v>
      </c>
      <c r="K379" s="14" t="s">
        <v>1060</v>
      </c>
      <c r="L379" s="29"/>
      <c r="M379" s="14">
        <f>INDEX('Pivot Analysis'!A:B,MATCH(J379,'Pivot Analysis'!B:B,0),1)</f>
        <v>0</v>
      </c>
      <c r="N379" s="14">
        <f>INDEX(Cloc!E:F,MATCH(J379,Cloc!F:F,0),1)</f>
        <v>1.26</v>
      </c>
      <c r="O379" s="14">
        <f t="shared" si="26"/>
        <v>0</v>
      </c>
      <c r="P379" s="14">
        <f>O379/Q379</f>
        <v>0</v>
      </c>
      <c r="Q379">
        <f>MAX(1,SUMPRODUCT($R$1:$AD$1,R379:AD379))</f>
        <v>3</v>
      </c>
      <c r="Y379">
        <v>1</v>
      </c>
    </row>
    <row r="380" spans="1:26" x14ac:dyDescent="0.25">
      <c r="A380" s="25" t="str">
        <f t="shared" si="27"/>
        <v>mass_mailing_slides;base.group_user;1;2;3;3;3;3;3;3</v>
      </c>
      <c r="B380">
        <f t="shared" si="28"/>
        <v>1</v>
      </c>
      <c r="C380">
        <f t="shared" si="29"/>
        <v>2</v>
      </c>
      <c r="D380">
        <f t="shared" si="29"/>
        <v>3</v>
      </c>
      <c r="E380">
        <f t="shared" si="29"/>
        <v>3</v>
      </c>
      <c r="F380">
        <f t="shared" si="29"/>
        <v>3</v>
      </c>
      <c r="G380">
        <f t="shared" si="29"/>
        <v>3</v>
      </c>
      <c r="H380">
        <f t="shared" si="29"/>
        <v>3</v>
      </c>
      <c r="I380">
        <f t="shared" si="29"/>
        <v>3</v>
      </c>
      <c r="J380" s="12" t="s">
        <v>458</v>
      </c>
      <c r="K380" s="14" t="s">
        <v>1060</v>
      </c>
      <c r="L380" s="29"/>
      <c r="M380" s="14">
        <f>INDEX('Pivot Analysis'!A:B,MATCH(J380,'Pivot Analysis'!B:B,0),1)</f>
        <v>3</v>
      </c>
      <c r="N380" s="14">
        <f>INDEX(Cloc!E:F,MATCH(J380,Cloc!F:F,0),1)</f>
        <v>3.66</v>
      </c>
      <c r="O380" s="14">
        <f t="shared" si="26"/>
        <v>3</v>
      </c>
      <c r="P380" s="14">
        <f>O380/Q380</f>
        <v>1</v>
      </c>
      <c r="Q380">
        <f>MAX(1,SUMPRODUCT($R$1:$AD$1,R380:AD380))</f>
        <v>3</v>
      </c>
      <c r="Y380">
        <v>1</v>
      </c>
    </row>
    <row r="381" spans="1:26" x14ac:dyDescent="0.25">
      <c r="A381" s="25" t="str">
        <f t="shared" si="27"/>
        <v>mass_mailing_sms;base.group_user;40;80;120;120;120;120;120;120</v>
      </c>
      <c r="B381">
        <f t="shared" si="28"/>
        <v>40</v>
      </c>
      <c r="C381">
        <f t="shared" si="29"/>
        <v>80</v>
      </c>
      <c r="D381">
        <f t="shared" si="29"/>
        <v>120</v>
      </c>
      <c r="E381">
        <f t="shared" si="29"/>
        <v>120</v>
      </c>
      <c r="F381">
        <f t="shared" si="29"/>
        <v>120</v>
      </c>
      <c r="G381">
        <f t="shared" si="29"/>
        <v>120</v>
      </c>
      <c r="H381">
        <f t="shared" si="29"/>
        <v>120</v>
      </c>
      <c r="I381">
        <f t="shared" si="29"/>
        <v>120</v>
      </c>
      <c r="J381" s="12" t="s">
        <v>459</v>
      </c>
      <c r="K381" s="14" t="s">
        <v>1060</v>
      </c>
      <c r="L381" s="29"/>
      <c r="M381" s="14">
        <f>INDEX('Pivot Analysis'!A:B,MATCH(J381,'Pivot Analysis'!B:B,0),1)</f>
        <v>120</v>
      </c>
      <c r="N381" s="14">
        <f>INDEX(Cloc!E:F,MATCH(J381,Cloc!F:F,0),1)</f>
        <v>128.10000000000002</v>
      </c>
      <c r="O381" s="14">
        <f t="shared" si="26"/>
        <v>120</v>
      </c>
      <c r="P381" s="14">
        <f>O381/Q381</f>
        <v>40</v>
      </c>
      <c r="Q381">
        <f>MAX(1,SUMPRODUCT($R$1:$AD$1,R381:AD381))</f>
        <v>3</v>
      </c>
      <c r="Y381">
        <v>1</v>
      </c>
    </row>
    <row r="382" spans="1:26" x14ac:dyDescent="0.25">
      <c r="A382" s="25" t="str">
        <f t="shared" si="27"/>
        <v>mass_mailing_themes;base.group_user;13;26;39;39;39;39;39;39</v>
      </c>
      <c r="B382">
        <f t="shared" si="28"/>
        <v>13</v>
      </c>
      <c r="C382">
        <f t="shared" si="29"/>
        <v>26</v>
      </c>
      <c r="D382">
        <f t="shared" si="29"/>
        <v>39</v>
      </c>
      <c r="E382">
        <f t="shared" si="29"/>
        <v>39</v>
      </c>
      <c r="F382">
        <f t="shared" si="29"/>
        <v>39</v>
      </c>
      <c r="G382">
        <f t="shared" si="29"/>
        <v>39</v>
      </c>
      <c r="H382">
        <f t="shared" si="29"/>
        <v>39</v>
      </c>
      <c r="I382">
        <f t="shared" si="29"/>
        <v>39</v>
      </c>
      <c r="J382" s="12" t="s">
        <v>462</v>
      </c>
      <c r="K382" s="14" t="s">
        <v>1060</v>
      </c>
      <c r="L382" s="29"/>
      <c r="M382" s="14">
        <f>INDEX('Pivot Analysis'!A:B,MATCH(J382,'Pivot Analysis'!B:B,0),1)</f>
        <v>39</v>
      </c>
      <c r="N382" s="14">
        <f>INDEX(Cloc!E:F,MATCH(J382,Cloc!F:F,0),1)</f>
        <v>100.32</v>
      </c>
      <c r="O382" s="14">
        <f t="shared" si="26"/>
        <v>39</v>
      </c>
      <c r="P382" s="14">
        <f>O382/Q382</f>
        <v>13</v>
      </c>
      <c r="Q382">
        <f>MAX(1,SUMPRODUCT($R$1:$AD$1,R382:AD382))</f>
        <v>3</v>
      </c>
      <c r="Y382">
        <v>1</v>
      </c>
    </row>
    <row r="383" spans="1:26" x14ac:dyDescent="0.25">
      <c r="A383" s="25" t="str">
        <f t="shared" si="27"/>
        <v>membership;base.group_user;3;3;3;3;3;3;3;3</v>
      </c>
      <c r="B383">
        <f t="shared" si="28"/>
        <v>3</v>
      </c>
      <c r="C383">
        <f t="shared" si="29"/>
        <v>3</v>
      </c>
      <c r="D383">
        <f t="shared" si="29"/>
        <v>3</v>
      </c>
      <c r="E383">
        <f t="shared" si="29"/>
        <v>3</v>
      </c>
      <c r="F383">
        <f t="shared" si="29"/>
        <v>3</v>
      </c>
      <c r="G383">
        <f t="shared" si="29"/>
        <v>3</v>
      </c>
      <c r="H383">
        <f t="shared" si="29"/>
        <v>3</v>
      </c>
      <c r="I383">
        <f t="shared" si="29"/>
        <v>3</v>
      </c>
      <c r="J383" s="12" t="s">
        <v>465</v>
      </c>
      <c r="K383" s="14" t="s">
        <v>1060</v>
      </c>
      <c r="L383" s="29"/>
      <c r="M383" s="14">
        <f>INDEX('Pivot Analysis'!A:B,MATCH(J383,'Pivot Analysis'!B:B,0),1)</f>
        <v>3</v>
      </c>
      <c r="N383" s="14" t="e">
        <f>INDEX(Cloc!E:F,MATCH(J383,Cloc!F:F,0),1)</f>
        <v>#N/A</v>
      </c>
      <c r="O383" s="14">
        <f t="shared" si="26"/>
        <v>3</v>
      </c>
      <c r="P383" s="14">
        <f>O383/Q383</f>
        <v>3</v>
      </c>
      <c r="Q383">
        <f>MAX(1,SUMPRODUCT($R$1:$AD$1,R383:AD383))</f>
        <v>1</v>
      </c>
    </row>
    <row r="384" spans="1:26" x14ac:dyDescent="0.25">
      <c r="A384" s="25" t="str">
        <f t="shared" si="27"/>
        <v>microsoft_account;base.group_user;0;0;0;0;0;0;0;0</v>
      </c>
      <c r="B384">
        <f t="shared" si="28"/>
        <v>0</v>
      </c>
      <c r="C384">
        <f t="shared" si="29"/>
        <v>0</v>
      </c>
      <c r="D384">
        <f t="shared" si="29"/>
        <v>0</v>
      </c>
      <c r="E384">
        <f t="shared" si="29"/>
        <v>0</v>
      </c>
      <c r="F384">
        <f t="shared" si="29"/>
        <v>0</v>
      </c>
      <c r="G384">
        <f t="shared" si="29"/>
        <v>0</v>
      </c>
      <c r="H384">
        <f t="shared" si="29"/>
        <v>0</v>
      </c>
      <c r="I384">
        <f t="shared" si="29"/>
        <v>0</v>
      </c>
      <c r="J384" s="12" t="s">
        <v>466</v>
      </c>
      <c r="K384" s="14" t="s">
        <v>1060</v>
      </c>
      <c r="L384" s="29"/>
      <c r="M384" s="14">
        <f>INDEX('Pivot Analysis'!A:B,MATCH(J384,'Pivot Analysis'!B:B,0),1)</f>
        <v>0</v>
      </c>
      <c r="N384" s="14" t="e">
        <f>INDEX(Cloc!E:F,MATCH(J384,Cloc!F:F,0),1)</f>
        <v>#N/A</v>
      </c>
      <c r="O384" s="14">
        <f t="shared" si="26"/>
        <v>0</v>
      </c>
      <c r="P384" s="14">
        <f>O384/Q384</f>
        <v>0</v>
      </c>
      <c r="Q384">
        <f>MAX(1,SUMPRODUCT($R$1:$AD$1,R384:AD384))</f>
        <v>1</v>
      </c>
    </row>
    <row r="385" spans="1:26" x14ac:dyDescent="0.25">
      <c r="A385" s="25" t="str">
        <f t="shared" si="27"/>
        <v>microsoft_calendar;base.group_user;222,3;222,3;222,3;222,3;222,3;222,3;222,3;222,3</v>
      </c>
      <c r="B385">
        <f t="shared" si="28"/>
        <v>222.29999999999995</v>
      </c>
      <c r="C385">
        <f t="shared" si="29"/>
        <v>222.29999999999995</v>
      </c>
      <c r="D385">
        <f t="shared" si="29"/>
        <v>222.29999999999995</v>
      </c>
      <c r="E385">
        <f t="shared" si="29"/>
        <v>222.29999999999995</v>
      </c>
      <c r="F385">
        <f t="shared" si="29"/>
        <v>222.29999999999995</v>
      </c>
      <c r="G385">
        <f t="shared" si="29"/>
        <v>222.29999999999995</v>
      </c>
      <c r="H385">
        <f t="shared" si="29"/>
        <v>222.29999999999995</v>
      </c>
      <c r="I385">
        <f t="shared" si="29"/>
        <v>222.29999999999995</v>
      </c>
      <c r="J385" s="12" t="s">
        <v>467</v>
      </c>
      <c r="K385" s="14" t="s">
        <v>1060</v>
      </c>
      <c r="L385" s="29"/>
      <c r="M385" s="14">
        <f>INDEX('Pivot Analysis'!A:B,MATCH(J385,'Pivot Analysis'!B:B,0),1)</f>
        <v>222.29999999999995</v>
      </c>
      <c r="N385" s="14" t="e">
        <f>INDEX(Cloc!E:F,MATCH(J385,Cloc!F:F,0),1)</f>
        <v>#N/A</v>
      </c>
      <c r="O385" s="14">
        <f t="shared" si="26"/>
        <v>222.29999999999995</v>
      </c>
      <c r="P385" s="14">
        <f>O385/Q385</f>
        <v>222.29999999999995</v>
      </c>
      <c r="Q385">
        <f>MAX(1,SUMPRODUCT($R$1:$AD$1,R385:AD385))</f>
        <v>1</v>
      </c>
    </row>
    <row r="386" spans="1:26" x14ac:dyDescent="0.25">
      <c r="A386" s="25" t="str">
        <f t="shared" si="27"/>
        <v>microsoft_outlook;base.group_user;0;0;0;0;0;0;0;0</v>
      </c>
      <c r="B386">
        <f t="shared" si="28"/>
        <v>0</v>
      </c>
      <c r="C386">
        <f t="shared" si="29"/>
        <v>0</v>
      </c>
      <c r="D386">
        <f t="shared" ref="C386:I449" si="30">$P386*MIN($Q386,D$3)</f>
        <v>0</v>
      </c>
      <c r="E386">
        <f t="shared" si="30"/>
        <v>0</v>
      </c>
      <c r="F386">
        <f t="shared" si="30"/>
        <v>0</v>
      </c>
      <c r="G386">
        <f t="shared" si="30"/>
        <v>0</v>
      </c>
      <c r="H386">
        <f t="shared" si="30"/>
        <v>0</v>
      </c>
      <c r="I386">
        <f t="shared" si="30"/>
        <v>0</v>
      </c>
      <c r="J386" s="12" t="s">
        <v>469</v>
      </c>
      <c r="K386" s="14" t="s">
        <v>1060</v>
      </c>
      <c r="L386" s="29"/>
      <c r="M386" s="14">
        <f>INDEX('Pivot Analysis'!A:B,MATCH(J386,'Pivot Analysis'!B:B,0),1)</f>
        <v>0</v>
      </c>
      <c r="N386" s="14" t="e">
        <f>INDEX(Cloc!E:F,MATCH(J386,Cloc!F:F,0),1)</f>
        <v>#N/A</v>
      </c>
      <c r="O386" s="14">
        <f t="shared" si="26"/>
        <v>0</v>
      </c>
      <c r="P386" s="14">
        <f>O386/Q386</f>
        <v>0</v>
      </c>
      <c r="Q386">
        <f>MAX(1,SUMPRODUCT($R$1:$AD$1,R386:AD386))</f>
        <v>1</v>
      </c>
    </row>
    <row r="387" spans="1:26" x14ac:dyDescent="0.25">
      <c r="A387" s="25" t="str">
        <f t="shared" si="27"/>
        <v>mrp;base.group_user;15,8;31,6;47,4;47,4;47,4;47,4;47,4;47,4</v>
      </c>
      <c r="B387">
        <f t="shared" si="28"/>
        <v>15.799999999999999</v>
      </c>
      <c r="C387">
        <f t="shared" si="30"/>
        <v>31.599999999999998</v>
      </c>
      <c r="D387">
        <f t="shared" si="30"/>
        <v>47.4</v>
      </c>
      <c r="E387">
        <f t="shared" si="30"/>
        <v>47.4</v>
      </c>
      <c r="F387">
        <f t="shared" si="30"/>
        <v>47.4</v>
      </c>
      <c r="G387">
        <f t="shared" si="30"/>
        <v>47.4</v>
      </c>
      <c r="H387">
        <f t="shared" si="30"/>
        <v>47.4</v>
      </c>
      <c r="I387">
        <f t="shared" si="30"/>
        <v>47.4</v>
      </c>
      <c r="J387" s="12" t="s">
        <v>470</v>
      </c>
      <c r="K387" s="14" t="s">
        <v>1060</v>
      </c>
      <c r="L387" s="29"/>
      <c r="M387" s="14">
        <f>INDEX('Pivot Analysis'!A:B,MATCH(J387,'Pivot Analysis'!B:B,0),1)</f>
        <v>47.4</v>
      </c>
      <c r="N387" s="14">
        <f>INDEX(Cloc!E:F,MATCH(J387,Cloc!F:F,0),1)</f>
        <v>1131.5999999999999</v>
      </c>
      <c r="O387" s="14">
        <f t="shared" si="26"/>
        <v>47.4</v>
      </c>
      <c r="P387" s="14">
        <f>O387/Q387</f>
        <v>15.799999999999999</v>
      </c>
      <c r="Q387">
        <f>MAX(1,SUMPRODUCT($R$1:$AD$1,R387:AD387))</f>
        <v>3</v>
      </c>
      <c r="Y387">
        <v>1</v>
      </c>
    </row>
    <row r="388" spans="1:26" x14ac:dyDescent="0.25">
      <c r="A388" s="25" t="str">
        <f t="shared" si="27"/>
        <v>mrp_account;base.group_user;9,6;19,2;28,8;28,8;28,8;28,8;28,8;28,8</v>
      </c>
      <c r="B388">
        <f t="shared" si="28"/>
        <v>9.6</v>
      </c>
      <c r="C388">
        <f t="shared" si="30"/>
        <v>19.2</v>
      </c>
      <c r="D388">
        <f t="shared" si="30"/>
        <v>28.799999999999997</v>
      </c>
      <c r="E388">
        <f t="shared" si="30"/>
        <v>28.799999999999997</v>
      </c>
      <c r="F388">
        <f t="shared" si="30"/>
        <v>28.799999999999997</v>
      </c>
      <c r="G388">
        <f t="shared" si="30"/>
        <v>28.799999999999997</v>
      </c>
      <c r="H388">
        <f t="shared" si="30"/>
        <v>28.799999999999997</v>
      </c>
      <c r="I388">
        <f t="shared" si="30"/>
        <v>28.799999999999997</v>
      </c>
      <c r="J388" s="12" t="s">
        <v>472</v>
      </c>
      <c r="K388" s="14" t="s">
        <v>1060</v>
      </c>
      <c r="L388" s="29"/>
      <c r="M388" s="14">
        <f>INDEX('Pivot Analysis'!A:B,MATCH(J388,'Pivot Analysis'!B:B,0),1)</f>
        <v>28.799999999999997</v>
      </c>
      <c r="N388" s="14">
        <f>INDEX(Cloc!E:F,MATCH(J388,Cloc!F:F,0),1)</f>
        <v>65.34</v>
      </c>
      <c r="O388" s="14">
        <f t="shared" si="26"/>
        <v>28.799999999999997</v>
      </c>
      <c r="P388" s="14">
        <f>O388/Q388</f>
        <v>9.6</v>
      </c>
      <c r="Q388">
        <f>MAX(1,SUMPRODUCT($R$1:$AD$1,R388:AD388))</f>
        <v>3</v>
      </c>
      <c r="Y388">
        <v>1</v>
      </c>
    </row>
    <row r="389" spans="1:26" x14ac:dyDescent="0.25">
      <c r="A389" s="25" t="str">
        <f t="shared" si="27"/>
        <v>mrp_landed_costs;base.group_user;0;0;0;0;0;0;0;0</v>
      </c>
      <c r="B389">
        <f t="shared" si="28"/>
        <v>0</v>
      </c>
      <c r="C389">
        <f t="shared" si="30"/>
        <v>0</v>
      </c>
      <c r="D389">
        <f t="shared" si="30"/>
        <v>0</v>
      </c>
      <c r="E389">
        <f t="shared" si="30"/>
        <v>0</v>
      </c>
      <c r="F389">
        <f t="shared" si="30"/>
        <v>0</v>
      </c>
      <c r="G389">
        <f t="shared" si="30"/>
        <v>0</v>
      </c>
      <c r="H389">
        <f t="shared" si="30"/>
        <v>0</v>
      </c>
      <c r="I389">
        <f t="shared" si="30"/>
        <v>0</v>
      </c>
      <c r="J389" s="12" t="s">
        <v>474</v>
      </c>
      <c r="K389" s="14" t="s">
        <v>1060</v>
      </c>
      <c r="L389" s="29"/>
      <c r="M389" s="14">
        <f>INDEX('Pivot Analysis'!A:B,MATCH(J389,'Pivot Analysis'!B:B,0),1)</f>
        <v>0</v>
      </c>
      <c r="N389" s="14" t="e">
        <f>INDEX(Cloc!E:F,MATCH(J389,Cloc!F:F,0),1)</f>
        <v>#N/A</v>
      </c>
      <c r="O389" s="14">
        <f t="shared" ref="O389:O452" si="31">IFERROR(IFERROR(IF(L389&lt;&gt;"",L389,M389),N389),$O$1)</f>
        <v>0</v>
      </c>
      <c r="P389" s="14">
        <f>O389/Q389</f>
        <v>0</v>
      </c>
      <c r="Q389">
        <f>MAX(1,SUMPRODUCT($R$1:$AD$1,R389:AD389))</f>
        <v>1</v>
      </c>
    </row>
    <row r="390" spans="1:26" x14ac:dyDescent="0.25">
      <c r="A390" s="25" t="str">
        <f t="shared" si="27"/>
        <v>mrp_plm;base.group_user;1000;1000;1000;1000;1000;1000;1000;1000</v>
      </c>
      <c r="B390">
        <f t="shared" si="28"/>
        <v>1000</v>
      </c>
      <c r="C390">
        <f t="shared" si="30"/>
        <v>1000</v>
      </c>
      <c r="D390">
        <f t="shared" si="30"/>
        <v>1000</v>
      </c>
      <c r="E390">
        <f t="shared" si="30"/>
        <v>1000</v>
      </c>
      <c r="F390">
        <f t="shared" si="30"/>
        <v>1000</v>
      </c>
      <c r="G390">
        <f t="shared" si="30"/>
        <v>1000</v>
      </c>
      <c r="H390">
        <f t="shared" si="30"/>
        <v>1000</v>
      </c>
      <c r="I390">
        <f t="shared" si="30"/>
        <v>1000</v>
      </c>
      <c r="J390" s="14" t="s">
        <v>1080</v>
      </c>
      <c r="K390" s="14" t="s">
        <v>1060</v>
      </c>
      <c r="L390" s="29"/>
      <c r="M390" s="14" t="e">
        <f>INDEX('Pivot Analysis'!A:B,MATCH(J390,'Pivot Analysis'!B:B,0),1)</f>
        <v>#N/A</v>
      </c>
      <c r="N390" s="14" t="e">
        <f>INDEX(Cloc!E:F,MATCH(J390,Cloc!F:F,0),1)</f>
        <v>#N/A</v>
      </c>
      <c r="O390" s="14">
        <f t="shared" si="31"/>
        <v>1000</v>
      </c>
      <c r="P390" s="14">
        <f>O390/Q390</f>
        <v>1000</v>
      </c>
      <c r="Q390">
        <f>MAX(1,SUMPRODUCT($R$1:$AD$1,R390:AD390))</f>
        <v>1</v>
      </c>
      <c r="Z390">
        <v>1</v>
      </c>
    </row>
    <row r="391" spans="1:26" x14ac:dyDescent="0.25">
      <c r="A391" s="25" t="str">
        <f t="shared" si="27"/>
        <v>mrp_product_expiry;base.group_user;33;33;33;33;33;33;33;33</v>
      </c>
      <c r="B391">
        <f t="shared" si="28"/>
        <v>33</v>
      </c>
      <c r="C391">
        <f t="shared" si="30"/>
        <v>33</v>
      </c>
      <c r="D391">
        <f t="shared" si="30"/>
        <v>33</v>
      </c>
      <c r="E391">
        <f t="shared" si="30"/>
        <v>33</v>
      </c>
      <c r="F391">
        <f t="shared" si="30"/>
        <v>33</v>
      </c>
      <c r="G391">
        <f t="shared" si="30"/>
        <v>33</v>
      </c>
      <c r="H391">
        <f t="shared" si="30"/>
        <v>33</v>
      </c>
      <c r="I391">
        <f t="shared" si="30"/>
        <v>33</v>
      </c>
      <c r="J391" s="12" t="s">
        <v>475</v>
      </c>
      <c r="K391" s="14" t="s">
        <v>1060</v>
      </c>
      <c r="L391" s="29"/>
      <c r="M391" s="14">
        <f>INDEX('Pivot Analysis'!A:B,MATCH(J391,'Pivot Analysis'!B:B,0),1)</f>
        <v>33</v>
      </c>
      <c r="N391" s="14" t="e">
        <f>INDEX(Cloc!E:F,MATCH(J391,Cloc!F:F,0),1)</f>
        <v>#N/A</v>
      </c>
      <c r="O391" s="14">
        <f t="shared" si="31"/>
        <v>33</v>
      </c>
      <c r="P391" s="14">
        <f>O391/Q391</f>
        <v>33</v>
      </c>
      <c r="Q391">
        <f>MAX(1,SUMPRODUCT($R$1:$AD$1,R391:AD391))</f>
        <v>1</v>
      </c>
    </row>
    <row r="392" spans="1:26" x14ac:dyDescent="0.25">
      <c r="A392" s="25" t="str">
        <f t="shared" si="27"/>
        <v>mrp_repair;base.group_user;11;22;33;33;33;33;33;33</v>
      </c>
      <c r="B392">
        <f t="shared" si="28"/>
        <v>11</v>
      </c>
      <c r="C392">
        <f t="shared" si="30"/>
        <v>22</v>
      </c>
      <c r="D392">
        <f t="shared" si="30"/>
        <v>33</v>
      </c>
      <c r="E392">
        <f t="shared" si="30"/>
        <v>33</v>
      </c>
      <c r="F392">
        <f t="shared" si="30"/>
        <v>33</v>
      </c>
      <c r="G392">
        <f t="shared" si="30"/>
        <v>33</v>
      </c>
      <c r="H392">
        <f t="shared" si="30"/>
        <v>33</v>
      </c>
      <c r="I392">
        <f t="shared" si="30"/>
        <v>33</v>
      </c>
      <c r="J392" s="12" t="s">
        <v>476</v>
      </c>
      <c r="K392" s="14" t="s">
        <v>1060</v>
      </c>
      <c r="L392" s="29"/>
      <c r="M392" s="14">
        <f>INDEX('Pivot Analysis'!A:B,MATCH(J392,'Pivot Analysis'!B:B,0),1)</f>
        <v>33</v>
      </c>
      <c r="N392" s="14">
        <f>INDEX(Cloc!E:F,MATCH(J392,Cloc!F:F,0),1)</f>
        <v>10.8</v>
      </c>
      <c r="O392" s="14">
        <f t="shared" si="31"/>
        <v>33</v>
      </c>
      <c r="P392" s="14">
        <f>O392/Q392</f>
        <v>11</v>
      </c>
      <c r="Q392">
        <f>MAX(1,SUMPRODUCT($R$1:$AD$1,R392:AD392))</f>
        <v>3</v>
      </c>
      <c r="Y392">
        <v>1</v>
      </c>
    </row>
    <row r="393" spans="1:26" x14ac:dyDescent="0.25">
      <c r="A393" s="25" t="str">
        <f t="shared" ref="A393:A456" si="32">J393&amp;";"&amp;K393&amp;";"&amp;B393&amp;";"&amp;C393&amp;";"&amp;D393&amp;";"&amp;E393&amp;";"&amp;F393&amp;";"&amp;G393&amp;";"&amp;H393&amp;";"&amp;I393</f>
        <v>mrp_subcontracting;base.group_user;34,5;34,5;34,5;34,5;34,5;34,5;34,5;34,5</v>
      </c>
      <c r="B393">
        <f t="shared" si="28"/>
        <v>34.5</v>
      </c>
      <c r="C393">
        <f t="shared" si="30"/>
        <v>34.5</v>
      </c>
      <c r="D393">
        <f t="shared" si="30"/>
        <v>34.5</v>
      </c>
      <c r="E393">
        <f t="shared" si="30"/>
        <v>34.5</v>
      </c>
      <c r="F393">
        <f t="shared" si="30"/>
        <v>34.5</v>
      </c>
      <c r="G393">
        <f t="shared" si="30"/>
        <v>34.5</v>
      </c>
      <c r="H393">
        <f t="shared" si="30"/>
        <v>34.5</v>
      </c>
      <c r="I393">
        <f t="shared" si="30"/>
        <v>34.5</v>
      </c>
      <c r="J393" s="12" t="s">
        <v>477</v>
      </c>
      <c r="K393" s="14" t="s">
        <v>1060</v>
      </c>
      <c r="L393" s="29"/>
      <c r="M393" s="14">
        <f>INDEX('Pivot Analysis'!A:B,MATCH(J393,'Pivot Analysis'!B:B,0),1)</f>
        <v>34.5</v>
      </c>
      <c r="N393" s="14" t="e">
        <f>INDEX(Cloc!E:F,MATCH(J393,Cloc!F:F,0),1)</f>
        <v>#N/A</v>
      </c>
      <c r="O393" s="14">
        <f t="shared" si="31"/>
        <v>34.5</v>
      </c>
      <c r="P393" s="14">
        <f>O393/Q393</f>
        <v>34.5</v>
      </c>
      <c r="Q393">
        <f>MAX(1,SUMPRODUCT($R$1:$AD$1,R393:AD393))</f>
        <v>1</v>
      </c>
    </row>
    <row r="394" spans="1:26" x14ac:dyDescent="0.25">
      <c r="A394" s="25" t="str">
        <f t="shared" si="32"/>
        <v>mrp_subcontracting_account;base.group_user;33;33;33;33;33;33;33;33</v>
      </c>
      <c r="B394">
        <f t="shared" si="28"/>
        <v>33</v>
      </c>
      <c r="C394">
        <f t="shared" si="30"/>
        <v>33</v>
      </c>
      <c r="D394">
        <f t="shared" si="30"/>
        <v>33</v>
      </c>
      <c r="E394">
        <f t="shared" si="30"/>
        <v>33</v>
      </c>
      <c r="F394">
        <f t="shared" si="30"/>
        <v>33</v>
      </c>
      <c r="G394">
        <f t="shared" si="30"/>
        <v>33</v>
      </c>
      <c r="H394">
        <f t="shared" si="30"/>
        <v>33</v>
      </c>
      <c r="I394">
        <f t="shared" si="30"/>
        <v>33</v>
      </c>
      <c r="J394" s="12" t="s">
        <v>478</v>
      </c>
      <c r="K394" s="14" t="s">
        <v>1060</v>
      </c>
      <c r="L394" s="29"/>
      <c r="M394" s="14">
        <f>INDEX('Pivot Analysis'!A:B,MATCH(J394,'Pivot Analysis'!B:B,0),1)</f>
        <v>33</v>
      </c>
      <c r="N394" s="14" t="e">
        <f>INDEX(Cloc!E:F,MATCH(J394,Cloc!F:F,0),1)</f>
        <v>#N/A</v>
      </c>
      <c r="O394" s="14">
        <f t="shared" si="31"/>
        <v>33</v>
      </c>
      <c r="P394" s="14">
        <f>O394/Q394</f>
        <v>33</v>
      </c>
      <c r="Q394">
        <f>MAX(1,SUMPRODUCT($R$1:$AD$1,R394:AD394))</f>
        <v>1</v>
      </c>
    </row>
    <row r="395" spans="1:26" x14ac:dyDescent="0.25">
      <c r="A395" s="25" t="str">
        <f t="shared" si="32"/>
        <v>mrp_subcontracting_dropshipping;base.group_user;0;0;0;0;0;0;0;0</v>
      </c>
      <c r="B395">
        <f t="shared" si="28"/>
        <v>0</v>
      </c>
      <c r="C395">
        <f t="shared" si="30"/>
        <v>0</v>
      </c>
      <c r="D395">
        <f t="shared" si="30"/>
        <v>0</v>
      </c>
      <c r="E395">
        <f t="shared" si="30"/>
        <v>0</v>
      </c>
      <c r="F395">
        <f t="shared" si="30"/>
        <v>0</v>
      </c>
      <c r="G395">
        <f t="shared" si="30"/>
        <v>0</v>
      </c>
      <c r="H395">
        <f t="shared" si="30"/>
        <v>0</v>
      </c>
      <c r="I395">
        <f t="shared" si="30"/>
        <v>0</v>
      </c>
      <c r="J395" s="12" t="s">
        <v>479</v>
      </c>
      <c r="K395" s="14" t="s">
        <v>1060</v>
      </c>
      <c r="L395" s="29"/>
      <c r="M395" s="14">
        <f>INDEX('Pivot Analysis'!A:B,MATCH(J395,'Pivot Analysis'!B:B,0),1)</f>
        <v>0</v>
      </c>
      <c r="N395" s="14" t="e">
        <f>INDEX(Cloc!E:F,MATCH(J395,Cloc!F:F,0),1)</f>
        <v>#N/A</v>
      </c>
      <c r="O395" s="14">
        <f t="shared" si="31"/>
        <v>0</v>
      </c>
      <c r="P395" s="14">
        <f>O395/Q395</f>
        <v>0</v>
      </c>
      <c r="Q395">
        <f>MAX(1,SUMPRODUCT($R$1:$AD$1,R395:AD395))</f>
        <v>1</v>
      </c>
    </row>
    <row r="396" spans="1:26" x14ac:dyDescent="0.25">
      <c r="A396" s="25" t="str">
        <f t="shared" si="32"/>
        <v>mrp_subcontracting_landed_costs;base.group_user;30;30;30;30;30;30;30;30</v>
      </c>
      <c r="B396">
        <f t="shared" si="28"/>
        <v>30</v>
      </c>
      <c r="C396">
        <f t="shared" si="30"/>
        <v>30</v>
      </c>
      <c r="D396">
        <f t="shared" si="30"/>
        <v>30</v>
      </c>
      <c r="E396">
        <f t="shared" si="30"/>
        <v>30</v>
      </c>
      <c r="F396">
        <f t="shared" si="30"/>
        <v>30</v>
      </c>
      <c r="G396">
        <f t="shared" si="30"/>
        <v>30</v>
      </c>
      <c r="H396">
        <f t="shared" si="30"/>
        <v>30</v>
      </c>
      <c r="I396">
        <f t="shared" si="30"/>
        <v>30</v>
      </c>
      <c r="J396" s="12" t="s">
        <v>931</v>
      </c>
      <c r="K396" s="14" t="s">
        <v>1060</v>
      </c>
      <c r="L396" s="29"/>
      <c r="M396" s="14">
        <f>INDEX('Pivot Analysis'!A:B,MATCH(J396,'Pivot Analysis'!B:B,0),1)</f>
        <v>30</v>
      </c>
      <c r="N396" s="14" t="e">
        <f>INDEX(Cloc!E:F,MATCH(J396,Cloc!F:F,0),1)</f>
        <v>#N/A</v>
      </c>
      <c r="O396" s="14">
        <f t="shared" si="31"/>
        <v>30</v>
      </c>
      <c r="P396" s="14">
        <f>O396/Q396</f>
        <v>30</v>
      </c>
      <c r="Q396">
        <f>MAX(1,SUMPRODUCT($R$1:$AD$1,R396:AD396))</f>
        <v>1</v>
      </c>
    </row>
    <row r="397" spans="1:26" x14ac:dyDescent="0.25">
      <c r="A397" s="25" t="str">
        <f t="shared" si="32"/>
        <v>mrp_subcontracting_purchase;base.group_user;0;0;0;0;0;0;0;0</v>
      </c>
      <c r="B397">
        <f t="shared" si="28"/>
        <v>0</v>
      </c>
      <c r="C397">
        <f t="shared" si="30"/>
        <v>0</v>
      </c>
      <c r="D397">
        <f t="shared" si="30"/>
        <v>0</v>
      </c>
      <c r="E397">
        <f t="shared" si="30"/>
        <v>0</v>
      </c>
      <c r="F397">
        <f t="shared" si="30"/>
        <v>0</v>
      </c>
      <c r="G397">
        <f t="shared" si="30"/>
        <v>0</v>
      </c>
      <c r="H397">
        <f t="shared" si="30"/>
        <v>0</v>
      </c>
      <c r="I397">
        <f t="shared" si="30"/>
        <v>0</v>
      </c>
      <c r="J397" s="12" t="s">
        <v>480</v>
      </c>
      <c r="K397" s="14" t="s">
        <v>1060</v>
      </c>
      <c r="L397" s="29"/>
      <c r="M397" s="14">
        <f>INDEX('Pivot Analysis'!A:B,MATCH(J397,'Pivot Analysis'!B:B,0),1)</f>
        <v>0</v>
      </c>
      <c r="N397" s="14" t="e">
        <f>INDEX(Cloc!E:F,MATCH(J397,Cloc!F:F,0),1)</f>
        <v>#N/A</v>
      </c>
      <c r="O397" s="14">
        <f t="shared" si="31"/>
        <v>0</v>
      </c>
      <c r="P397" s="14">
        <f>O397/Q397</f>
        <v>0</v>
      </c>
      <c r="Q397">
        <f>MAX(1,SUMPRODUCT($R$1:$AD$1,R397:AD397))</f>
        <v>1</v>
      </c>
    </row>
    <row r="398" spans="1:26" x14ac:dyDescent="0.25">
      <c r="A398" s="25" t="str">
        <f t="shared" si="32"/>
        <v>mrp_subcontracting_repair;base.group_user;33;33;33;33;33;33;33;33</v>
      </c>
      <c r="B398">
        <f t="shared" si="28"/>
        <v>33</v>
      </c>
      <c r="C398">
        <f t="shared" si="30"/>
        <v>33</v>
      </c>
      <c r="D398">
        <f t="shared" si="30"/>
        <v>33</v>
      </c>
      <c r="E398">
        <f t="shared" si="30"/>
        <v>33</v>
      </c>
      <c r="F398">
        <f t="shared" si="30"/>
        <v>33</v>
      </c>
      <c r="G398">
        <f t="shared" si="30"/>
        <v>33</v>
      </c>
      <c r="H398">
        <f t="shared" si="30"/>
        <v>33</v>
      </c>
      <c r="I398">
        <f t="shared" si="30"/>
        <v>33</v>
      </c>
      <c r="J398" s="12" t="s">
        <v>481</v>
      </c>
      <c r="K398" s="14" t="s">
        <v>1060</v>
      </c>
      <c r="L398" s="29"/>
      <c r="M398" s="14">
        <f>INDEX('Pivot Analysis'!A:B,MATCH(J398,'Pivot Analysis'!B:B,0),1)</f>
        <v>33</v>
      </c>
      <c r="N398" s="14" t="e">
        <f>INDEX(Cloc!E:F,MATCH(J398,Cloc!F:F,0),1)</f>
        <v>#N/A</v>
      </c>
      <c r="O398" s="14">
        <f t="shared" si="31"/>
        <v>33</v>
      </c>
      <c r="P398" s="14">
        <f>O398/Q398</f>
        <v>33</v>
      </c>
      <c r="Q398">
        <f>MAX(1,SUMPRODUCT($R$1:$AD$1,R398:AD398))</f>
        <v>1</v>
      </c>
    </row>
    <row r="399" spans="1:26" x14ac:dyDescent="0.25">
      <c r="A399" s="25" t="str">
        <f t="shared" si="32"/>
        <v>mrp_subonctracting_landed_costs;base.group_user;30;30;30;30;30;30;30;30</v>
      </c>
      <c r="B399">
        <f t="shared" si="28"/>
        <v>30</v>
      </c>
      <c r="C399">
        <f t="shared" si="30"/>
        <v>30</v>
      </c>
      <c r="D399">
        <f t="shared" si="30"/>
        <v>30</v>
      </c>
      <c r="E399">
        <f t="shared" si="30"/>
        <v>30</v>
      </c>
      <c r="F399">
        <f t="shared" si="30"/>
        <v>30</v>
      </c>
      <c r="G399">
        <f t="shared" si="30"/>
        <v>30</v>
      </c>
      <c r="H399">
        <f t="shared" si="30"/>
        <v>30</v>
      </c>
      <c r="I399">
        <f t="shared" si="30"/>
        <v>30</v>
      </c>
      <c r="J399" s="12" t="s">
        <v>482</v>
      </c>
      <c r="K399" s="14" t="s">
        <v>1060</v>
      </c>
      <c r="L399" s="29"/>
      <c r="M399" s="14">
        <f>INDEX('Pivot Analysis'!A:B,MATCH(J399,'Pivot Analysis'!B:B,0),1)</f>
        <v>30</v>
      </c>
      <c r="N399" s="14" t="e">
        <f>INDEX(Cloc!E:F,MATCH(J399,Cloc!F:F,0),1)</f>
        <v>#N/A</v>
      </c>
      <c r="O399" s="14">
        <f t="shared" si="31"/>
        <v>30</v>
      </c>
      <c r="P399" s="14">
        <f>O399/Q399</f>
        <v>30</v>
      </c>
      <c r="Q399">
        <f>MAX(1,SUMPRODUCT($R$1:$AD$1,R399:AD399))</f>
        <v>1</v>
      </c>
    </row>
    <row r="400" spans="1:26" x14ac:dyDescent="0.25">
      <c r="A400" s="25" t="str">
        <f t="shared" si="32"/>
        <v>mrp_workorder;base.group_user;1000;1000;1000;1000;1000;1000;1000;1000</v>
      </c>
      <c r="B400">
        <f t="shared" si="28"/>
        <v>1000</v>
      </c>
      <c r="C400">
        <f t="shared" si="30"/>
        <v>1000</v>
      </c>
      <c r="D400">
        <f t="shared" si="30"/>
        <v>1000</v>
      </c>
      <c r="E400">
        <f t="shared" si="30"/>
        <v>1000</v>
      </c>
      <c r="F400">
        <f t="shared" si="30"/>
        <v>1000</v>
      </c>
      <c r="G400">
        <f t="shared" si="30"/>
        <v>1000</v>
      </c>
      <c r="H400">
        <f t="shared" si="30"/>
        <v>1000</v>
      </c>
      <c r="I400">
        <f t="shared" si="30"/>
        <v>1000</v>
      </c>
      <c r="J400" s="14" t="s">
        <v>1069</v>
      </c>
      <c r="K400" s="14" t="s">
        <v>1060</v>
      </c>
      <c r="L400" s="29"/>
      <c r="M400" s="14" t="e">
        <f>INDEX('Pivot Analysis'!A:B,MATCH(J400,'Pivot Analysis'!B:B,0),1)</f>
        <v>#N/A</v>
      </c>
      <c r="N400" s="14" t="e">
        <f>INDEX(Cloc!E:F,MATCH(J400,Cloc!F:F,0),1)</f>
        <v>#N/A</v>
      </c>
      <c r="O400" s="14">
        <f t="shared" si="31"/>
        <v>1000</v>
      </c>
      <c r="P400" s="14">
        <f>O400/Q400</f>
        <v>1000</v>
      </c>
      <c r="Q400">
        <f>MAX(1,SUMPRODUCT($R$1:$AD$1,R400:AD400))</f>
        <v>1</v>
      </c>
      <c r="Z400">
        <v>1</v>
      </c>
    </row>
    <row r="401" spans="1:26" x14ac:dyDescent="0.25">
      <c r="A401" s="25" t="str">
        <f t="shared" si="32"/>
        <v>note;base.group_user;0;0;0;0;0;0;0;0</v>
      </c>
      <c r="B401">
        <f t="shared" si="28"/>
        <v>0</v>
      </c>
      <c r="C401">
        <f t="shared" si="30"/>
        <v>0</v>
      </c>
      <c r="D401">
        <f t="shared" si="30"/>
        <v>0</v>
      </c>
      <c r="E401">
        <f t="shared" si="30"/>
        <v>0</v>
      </c>
      <c r="F401">
        <f t="shared" si="30"/>
        <v>0</v>
      </c>
      <c r="G401">
        <f t="shared" si="30"/>
        <v>0</v>
      </c>
      <c r="H401">
        <f t="shared" si="30"/>
        <v>0</v>
      </c>
      <c r="I401">
        <f t="shared" si="30"/>
        <v>0</v>
      </c>
      <c r="J401" s="12" t="s">
        <v>483</v>
      </c>
      <c r="K401" s="14" t="s">
        <v>1060</v>
      </c>
      <c r="L401" s="29"/>
      <c r="M401" s="14">
        <f>INDEX('Pivot Analysis'!A:B,MATCH(J401,'Pivot Analysis'!B:B,0),1)</f>
        <v>0</v>
      </c>
      <c r="N401" s="14" t="e">
        <f>INDEX(Cloc!E:F,MATCH(J401,Cloc!F:F,0),1)</f>
        <v>#N/A</v>
      </c>
      <c r="O401" s="14">
        <f t="shared" si="31"/>
        <v>0</v>
      </c>
      <c r="P401" s="14">
        <f>O401/Q401</f>
        <v>0</v>
      </c>
      <c r="Q401">
        <f>MAX(1,SUMPRODUCT($R$1:$AD$1,R401:AD401))</f>
        <v>1</v>
      </c>
    </row>
    <row r="402" spans="1:26" x14ac:dyDescent="0.25">
      <c r="A402" s="25" t="str">
        <f t="shared" si="32"/>
        <v>onboarding;base.group_user;0;0;0;0;0;0;0;0</v>
      </c>
      <c r="B402">
        <f t="shared" si="28"/>
        <v>0</v>
      </c>
      <c r="C402">
        <f t="shared" si="30"/>
        <v>0</v>
      </c>
      <c r="D402">
        <f t="shared" si="30"/>
        <v>0</v>
      </c>
      <c r="E402">
        <f t="shared" si="30"/>
        <v>0</v>
      </c>
      <c r="F402">
        <f t="shared" si="30"/>
        <v>0</v>
      </c>
      <c r="G402">
        <f t="shared" si="30"/>
        <v>0</v>
      </c>
      <c r="H402">
        <f t="shared" si="30"/>
        <v>0</v>
      </c>
      <c r="I402">
        <f t="shared" si="30"/>
        <v>0</v>
      </c>
      <c r="J402" s="12" t="s">
        <v>485</v>
      </c>
      <c r="K402" s="14" t="s">
        <v>1060</v>
      </c>
      <c r="L402" s="29"/>
      <c r="M402" s="14">
        <f>INDEX('Pivot Analysis'!A:B,MATCH(J402,'Pivot Analysis'!B:B,0),1)</f>
        <v>0</v>
      </c>
      <c r="N402" s="14">
        <f>INDEX(Cloc!E:F,MATCH(J402,Cloc!F:F,0),1)</f>
        <v>50.64</v>
      </c>
      <c r="O402" s="14">
        <f t="shared" si="31"/>
        <v>0</v>
      </c>
      <c r="P402" s="14">
        <f>O402/Q402</f>
        <v>0</v>
      </c>
      <c r="Q402">
        <f>MAX(1,SUMPRODUCT($R$1:$AD$1,R402:AD402))</f>
        <v>10</v>
      </c>
      <c r="U402">
        <v>1</v>
      </c>
      <c r="X402" t="str">
        <f>IF(SUM(R402:W402)=0,VLOOKUP(J402,#REF!,1,0),"")</f>
        <v/>
      </c>
      <c r="Y402" t="str">
        <f>IF(SUM(R402:X402)&gt;0,"",VLOOKUP(J402,'Apps-from-odoo'!A:A,1,0))</f>
        <v/>
      </c>
    </row>
    <row r="403" spans="1:26" x14ac:dyDescent="0.25">
      <c r="A403" s="25" t="str">
        <f t="shared" si="32"/>
        <v>partner_autocomplete;base.group_user;0,3;0,6;0,9;1,2;1,5;1,8;2,1;2,4</v>
      </c>
      <c r="B403">
        <f t="shared" si="28"/>
        <v>0.3</v>
      </c>
      <c r="C403">
        <f t="shared" si="30"/>
        <v>0.6</v>
      </c>
      <c r="D403">
        <f t="shared" si="30"/>
        <v>0.89999999999999991</v>
      </c>
      <c r="E403">
        <f t="shared" si="30"/>
        <v>1.2</v>
      </c>
      <c r="F403">
        <f t="shared" si="30"/>
        <v>1.5</v>
      </c>
      <c r="G403">
        <f t="shared" si="30"/>
        <v>1.7999999999999998</v>
      </c>
      <c r="H403">
        <f t="shared" si="30"/>
        <v>2.1</v>
      </c>
      <c r="I403">
        <f t="shared" si="30"/>
        <v>2.4</v>
      </c>
      <c r="J403" s="12" t="s">
        <v>487</v>
      </c>
      <c r="K403" s="14" t="s">
        <v>1060</v>
      </c>
      <c r="L403" s="29"/>
      <c r="M403" s="14">
        <f>INDEX('Pivot Analysis'!A:B,MATCH(J403,'Pivot Analysis'!B:B,0),1)</f>
        <v>3</v>
      </c>
      <c r="N403" s="14">
        <f>INDEX(Cloc!E:F,MATCH(J403,Cloc!F:F,0),1)</f>
        <v>69.300000000000011</v>
      </c>
      <c r="O403" s="14">
        <f t="shared" si="31"/>
        <v>3</v>
      </c>
      <c r="P403" s="14">
        <f>O403/Q403</f>
        <v>0.3</v>
      </c>
      <c r="Q403">
        <f>MAX(1,SUMPRODUCT($R$1:$AD$1,R403:AD403))</f>
        <v>10</v>
      </c>
      <c r="S403">
        <v>1</v>
      </c>
      <c r="X403" t="str">
        <f>IF(SUM(R403:W403)=0,VLOOKUP(J403,#REF!,1,0),"")</f>
        <v/>
      </c>
      <c r="Y403" t="str">
        <f>IF(SUM(R403:X403)&gt;0,"",VLOOKUP(J403,'Apps-from-odoo'!A:A,1,0))</f>
        <v/>
      </c>
    </row>
    <row r="404" spans="1:26" x14ac:dyDescent="0.25">
      <c r="A404" s="25" t="str">
        <f t="shared" si="32"/>
        <v>payment;base.group_user;1,89;3,78;5,67;7,56;9,45;11,34;13,23;15,12</v>
      </c>
      <c r="B404">
        <f t="shared" si="28"/>
        <v>1.8899999999999995</v>
      </c>
      <c r="C404">
        <f t="shared" si="30"/>
        <v>3.7799999999999989</v>
      </c>
      <c r="D404">
        <f t="shared" si="30"/>
        <v>5.6699999999999982</v>
      </c>
      <c r="E404">
        <f t="shared" si="30"/>
        <v>7.5599999999999978</v>
      </c>
      <c r="F404">
        <f t="shared" si="30"/>
        <v>9.4499999999999975</v>
      </c>
      <c r="G404">
        <f t="shared" si="30"/>
        <v>11.339999999999996</v>
      </c>
      <c r="H404">
        <f t="shared" si="30"/>
        <v>13.229999999999997</v>
      </c>
      <c r="I404">
        <f t="shared" si="30"/>
        <v>15.119999999999996</v>
      </c>
      <c r="J404" s="12" t="s">
        <v>488</v>
      </c>
      <c r="K404" s="14" t="s">
        <v>1060</v>
      </c>
      <c r="L404" s="29"/>
      <c r="M404" s="14">
        <f>INDEX('Pivot Analysis'!A:B,MATCH(J404,'Pivot Analysis'!B:B,0),1)</f>
        <v>18.899999999999995</v>
      </c>
      <c r="N404" s="14">
        <f>INDEX(Cloc!E:F,MATCH(J404,Cloc!F:F,0),1)</f>
        <v>687</v>
      </c>
      <c r="O404" s="14">
        <f t="shared" si="31"/>
        <v>18.899999999999995</v>
      </c>
      <c r="P404" s="14">
        <f>O404/Q404</f>
        <v>1.8899999999999995</v>
      </c>
      <c r="Q404">
        <f>MAX(1,SUMPRODUCT($R$1:$AD$1,R404:AD404))</f>
        <v>10</v>
      </c>
      <c r="U404">
        <v>1</v>
      </c>
      <c r="X404" t="str">
        <f>IF(SUM(R404:W404)=0,VLOOKUP(J404,#REF!,1,0),"")</f>
        <v/>
      </c>
      <c r="Y404" t="str">
        <f>IF(SUM(R404:X404)&gt;0,"",VLOOKUP(J404,'Apps-from-odoo'!A:A,1,0))</f>
        <v/>
      </c>
    </row>
    <row r="405" spans="1:26" x14ac:dyDescent="0.25">
      <c r="A405" s="25" t="str">
        <f t="shared" si="32"/>
        <v>payment_adyen;base.group_user;78;78;78;78;78;78;78;78</v>
      </c>
      <c r="B405">
        <f t="shared" ref="B405:I468" si="33">$P405*MIN($Q405,B$3)</f>
        <v>77.999999999999986</v>
      </c>
      <c r="C405">
        <f t="shared" si="30"/>
        <v>77.999999999999986</v>
      </c>
      <c r="D405">
        <f t="shared" si="30"/>
        <v>77.999999999999986</v>
      </c>
      <c r="E405">
        <f t="shared" si="30"/>
        <v>77.999999999999986</v>
      </c>
      <c r="F405">
        <f t="shared" si="30"/>
        <v>77.999999999999986</v>
      </c>
      <c r="G405">
        <f t="shared" si="30"/>
        <v>77.999999999999986</v>
      </c>
      <c r="H405">
        <f t="shared" si="30"/>
        <v>77.999999999999986</v>
      </c>
      <c r="I405">
        <f t="shared" si="30"/>
        <v>77.999999999999986</v>
      </c>
      <c r="J405" s="12" t="s">
        <v>490</v>
      </c>
      <c r="K405" s="14" t="s">
        <v>1060</v>
      </c>
      <c r="L405" s="29"/>
      <c r="M405" s="14">
        <f>INDEX('Pivot Analysis'!A:B,MATCH(J405,'Pivot Analysis'!B:B,0),1)</f>
        <v>77.999999999999986</v>
      </c>
      <c r="N405" s="14" t="e">
        <f>INDEX(Cloc!E:F,MATCH(J405,Cloc!F:F,0),1)</f>
        <v>#N/A</v>
      </c>
      <c r="O405" s="14">
        <f t="shared" si="31"/>
        <v>77.999999999999986</v>
      </c>
      <c r="P405" s="14">
        <f>O405/Q405</f>
        <v>77.999999999999986</v>
      </c>
      <c r="Q405">
        <f>MAX(1,SUMPRODUCT($R$1:$AD$1,R405:AD405))</f>
        <v>1</v>
      </c>
    </row>
    <row r="406" spans="1:26" x14ac:dyDescent="0.25">
      <c r="A406" s="25" t="str">
        <f t="shared" si="32"/>
        <v>payment_alipay;base.group_user;48;48;48;48;48;48;48;48</v>
      </c>
      <c r="B406">
        <f t="shared" si="33"/>
        <v>48</v>
      </c>
      <c r="C406">
        <f t="shared" si="30"/>
        <v>48</v>
      </c>
      <c r="D406">
        <f t="shared" si="30"/>
        <v>48</v>
      </c>
      <c r="E406">
        <f t="shared" si="30"/>
        <v>48</v>
      </c>
      <c r="F406">
        <f t="shared" si="30"/>
        <v>48</v>
      </c>
      <c r="G406">
        <f t="shared" si="30"/>
        <v>48</v>
      </c>
      <c r="H406">
        <f t="shared" si="30"/>
        <v>48</v>
      </c>
      <c r="I406">
        <f t="shared" si="30"/>
        <v>48</v>
      </c>
      <c r="J406" s="12" t="s">
        <v>491</v>
      </c>
      <c r="K406" s="14" t="s">
        <v>1060</v>
      </c>
      <c r="L406" s="29"/>
      <c r="M406" s="14">
        <f>INDEX('Pivot Analysis'!A:B,MATCH(J406,'Pivot Analysis'!B:B,0),1)</f>
        <v>48</v>
      </c>
      <c r="N406" s="14" t="e">
        <f>INDEX(Cloc!E:F,MATCH(J406,Cloc!F:F,0),1)</f>
        <v>#N/A</v>
      </c>
      <c r="O406" s="14">
        <f t="shared" si="31"/>
        <v>48</v>
      </c>
      <c r="P406" s="14">
        <f>O406/Q406</f>
        <v>48</v>
      </c>
      <c r="Q406">
        <f>MAX(1,SUMPRODUCT($R$1:$AD$1,R406:AD406))</f>
        <v>1</v>
      </c>
    </row>
    <row r="407" spans="1:26" x14ac:dyDescent="0.25">
      <c r="A407" s="25" t="str">
        <f t="shared" si="32"/>
        <v>payment_aps;base.group_user;0;0;0;0;0;0;0;0</v>
      </c>
      <c r="B407">
        <f t="shared" si="33"/>
        <v>0</v>
      </c>
      <c r="C407">
        <f t="shared" si="30"/>
        <v>0</v>
      </c>
      <c r="D407">
        <f t="shared" si="30"/>
        <v>0</v>
      </c>
      <c r="E407">
        <f t="shared" si="30"/>
        <v>0</v>
      </c>
      <c r="F407">
        <f t="shared" si="30"/>
        <v>0</v>
      </c>
      <c r="G407">
        <f t="shared" si="30"/>
        <v>0</v>
      </c>
      <c r="H407">
        <f t="shared" si="30"/>
        <v>0</v>
      </c>
      <c r="I407">
        <f t="shared" si="30"/>
        <v>0</v>
      </c>
      <c r="J407" s="12" t="s">
        <v>492</v>
      </c>
      <c r="K407" s="14" t="s">
        <v>1060</v>
      </c>
      <c r="L407" s="29"/>
      <c r="M407" s="14">
        <f>INDEX('Pivot Analysis'!A:B,MATCH(J407,'Pivot Analysis'!B:B,0),1)</f>
        <v>0</v>
      </c>
      <c r="N407" s="14" t="e">
        <f>INDEX(Cloc!E:F,MATCH(J407,Cloc!F:F,0),1)</f>
        <v>#N/A</v>
      </c>
      <c r="O407" s="14">
        <f t="shared" si="31"/>
        <v>0</v>
      </c>
      <c r="P407" s="14">
        <f>O407/Q407</f>
        <v>0</v>
      </c>
      <c r="Q407">
        <f>MAX(1,SUMPRODUCT($R$1:$AD$1,R407:AD407))</f>
        <v>1</v>
      </c>
    </row>
    <row r="408" spans="1:26" x14ac:dyDescent="0.25">
      <c r="A408" s="25" t="str">
        <f t="shared" si="32"/>
        <v>payment_asiapay;base.group_user;60;60;60;60;60;60;60;60</v>
      </c>
      <c r="B408">
        <f t="shared" si="33"/>
        <v>60</v>
      </c>
      <c r="C408">
        <f t="shared" si="30"/>
        <v>60</v>
      </c>
      <c r="D408">
        <f t="shared" si="30"/>
        <v>60</v>
      </c>
      <c r="E408">
        <f t="shared" si="30"/>
        <v>60</v>
      </c>
      <c r="F408">
        <f t="shared" si="30"/>
        <v>60</v>
      </c>
      <c r="G408">
        <f t="shared" si="30"/>
        <v>60</v>
      </c>
      <c r="H408">
        <f t="shared" si="30"/>
        <v>60</v>
      </c>
      <c r="I408">
        <f t="shared" si="30"/>
        <v>60</v>
      </c>
      <c r="J408" s="12" t="s">
        <v>493</v>
      </c>
      <c r="K408" s="14" t="s">
        <v>1060</v>
      </c>
      <c r="L408" s="29"/>
      <c r="M408" s="14">
        <f>INDEX('Pivot Analysis'!A:B,MATCH(J408,'Pivot Analysis'!B:B,0),1)</f>
        <v>60</v>
      </c>
      <c r="N408" s="14" t="e">
        <f>INDEX(Cloc!E:F,MATCH(J408,Cloc!F:F,0),1)</f>
        <v>#N/A</v>
      </c>
      <c r="O408" s="14">
        <f t="shared" si="31"/>
        <v>60</v>
      </c>
      <c r="P408" s="14">
        <f>O408/Q408</f>
        <v>60</v>
      </c>
      <c r="Q408">
        <f>MAX(1,SUMPRODUCT($R$1:$AD$1,R408:AD408))</f>
        <v>1</v>
      </c>
    </row>
    <row r="409" spans="1:26" x14ac:dyDescent="0.25">
      <c r="A409" s="25" t="str">
        <f t="shared" si="32"/>
        <v>payment_authorize;base.group_user;75;75;75;75;75;75;75;75</v>
      </c>
      <c r="B409">
        <f t="shared" si="33"/>
        <v>75</v>
      </c>
      <c r="C409">
        <f t="shared" si="30"/>
        <v>75</v>
      </c>
      <c r="D409">
        <f t="shared" si="30"/>
        <v>75</v>
      </c>
      <c r="E409">
        <f t="shared" si="30"/>
        <v>75</v>
      </c>
      <c r="F409">
        <f t="shared" si="30"/>
        <v>75</v>
      </c>
      <c r="G409">
        <f t="shared" si="30"/>
        <v>75</v>
      </c>
      <c r="H409">
        <f t="shared" si="30"/>
        <v>75</v>
      </c>
      <c r="I409">
        <f t="shared" si="30"/>
        <v>75</v>
      </c>
      <c r="J409" s="12" t="s">
        <v>494</v>
      </c>
      <c r="K409" s="14" t="s">
        <v>1060</v>
      </c>
      <c r="L409" s="29"/>
      <c r="M409" s="14">
        <f>INDEX('Pivot Analysis'!A:B,MATCH(J409,'Pivot Analysis'!B:B,0),1)</f>
        <v>75</v>
      </c>
      <c r="N409" s="14" t="e">
        <f>INDEX(Cloc!E:F,MATCH(J409,Cloc!F:F,0),1)</f>
        <v>#N/A</v>
      </c>
      <c r="O409" s="14">
        <f t="shared" si="31"/>
        <v>75</v>
      </c>
      <c r="P409" s="14">
        <f>O409/Q409</f>
        <v>75</v>
      </c>
      <c r="Q409">
        <f>MAX(1,SUMPRODUCT($R$1:$AD$1,R409:AD409))</f>
        <v>1</v>
      </c>
    </row>
    <row r="410" spans="1:26" x14ac:dyDescent="0.25">
      <c r="A410" s="25" t="str">
        <f t="shared" si="32"/>
        <v>payment_buckaroo;base.group_user;0;0;0;0;0;0;0;0</v>
      </c>
      <c r="B410">
        <f t="shared" si="33"/>
        <v>0</v>
      </c>
      <c r="C410">
        <f t="shared" si="30"/>
        <v>0</v>
      </c>
      <c r="D410">
        <f t="shared" si="30"/>
        <v>0</v>
      </c>
      <c r="E410">
        <f t="shared" si="30"/>
        <v>0</v>
      </c>
      <c r="F410">
        <f t="shared" si="30"/>
        <v>0</v>
      </c>
      <c r="G410">
        <f t="shared" si="30"/>
        <v>0</v>
      </c>
      <c r="H410">
        <f t="shared" si="30"/>
        <v>0</v>
      </c>
      <c r="I410">
        <f t="shared" si="30"/>
        <v>0</v>
      </c>
      <c r="J410" s="12" t="s">
        <v>495</v>
      </c>
      <c r="K410" s="14" t="s">
        <v>1060</v>
      </c>
      <c r="L410" s="29"/>
      <c r="M410" s="14">
        <f>INDEX('Pivot Analysis'!A:B,MATCH(J410,'Pivot Analysis'!B:B,0),1)</f>
        <v>0</v>
      </c>
      <c r="N410" s="14" t="e">
        <f>INDEX(Cloc!E:F,MATCH(J410,Cloc!F:F,0),1)</f>
        <v>#N/A</v>
      </c>
      <c r="O410" s="14">
        <f t="shared" si="31"/>
        <v>0</v>
      </c>
      <c r="P410" s="14">
        <f>O410/Q410</f>
        <v>0</v>
      </c>
      <c r="Q410">
        <f>MAX(1,SUMPRODUCT($R$1:$AD$1,R410:AD410))</f>
        <v>1</v>
      </c>
    </row>
    <row r="411" spans="1:26" x14ac:dyDescent="0.25">
      <c r="A411" s="25" t="str">
        <f t="shared" si="32"/>
        <v>payment_custom;base.group_user;3;3;3;3;3;3;3;3</v>
      </c>
      <c r="B411">
        <f t="shared" si="33"/>
        <v>3</v>
      </c>
      <c r="C411">
        <f t="shared" si="30"/>
        <v>3</v>
      </c>
      <c r="D411">
        <f t="shared" si="30"/>
        <v>3</v>
      </c>
      <c r="E411">
        <f t="shared" si="30"/>
        <v>3</v>
      </c>
      <c r="F411">
        <f t="shared" si="30"/>
        <v>3</v>
      </c>
      <c r="G411">
        <f t="shared" si="30"/>
        <v>3</v>
      </c>
      <c r="H411">
        <f t="shared" si="30"/>
        <v>3</v>
      </c>
      <c r="I411">
        <f t="shared" si="30"/>
        <v>3</v>
      </c>
      <c r="J411" s="12" t="s">
        <v>496</v>
      </c>
      <c r="K411" s="14" t="s">
        <v>1060</v>
      </c>
      <c r="L411" s="29"/>
      <c r="M411" s="14">
        <f>INDEX('Pivot Analysis'!A:B,MATCH(J411,'Pivot Analysis'!B:B,0),1)</f>
        <v>3</v>
      </c>
      <c r="N411" s="14" t="e">
        <f>INDEX(Cloc!E:F,MATCH(J411,Cloc!F:F,0),1)</f>
        <v>#N/A</v>
      </c>
      <c r="O411" s="14">
        <f t="shared" si="31"/>
        <v>3</v>
      </c>
      <c r="P411" s="14">
        <f>O411/Q411</f>
        <v>3</v>
      </c>
      <c r="Q411">
        <f>MAX(1,SUMPRODUCT($R$1:$AD$1,R411:AD411))</f>
        <v>1</v>
      </c>
    </row>
    <row r="412" spans="1:26" x14ac:dyDescent="0.25">
      <c r="A412" s="25" t="str">
        <f t="shared" si="32"/>
        <v>payment_demo;base.group_user;36;36;36;36;36;36;36;36</v>
      </c>
      <c r="B412">
        <f t="shared" si="33"/>
        <v>36</v>
      </c>
      <c r="C412">
        <f t="shared" si="30"/>
        <v>36</v>
      </c>
      <c r="D412">
        <f t="shared" si="30"/>
        <v>36</v>
      </c>
      <c r="E412">
        <f t="shared" si="30"/>
        <v>36</v>
      </c>
      <c r="F412">
        <f t="shared" si="30"/>
        <v>36</v>
      </c>
      <c r="G412">
        <f t="shared" si="30"/>
        <v>36</v>
      </c>
      <c r="H412">
        <f t="shared" si="30"/>
        <v>36</v>
      </c>
      <c r="I412">
        <f t="shared" si="30"/>
        <v>36</v>
      </c>
      <c r="J412" s="12" t="s">
        <v>497</v>
      </c>
      <c r="K412" s="14" t="s">
        <v>1060</v>
      </c>
      <c r="L412" s="29"/>
      <c r="M412" s="14">
        <f>INDEX('Pivot Analysis'!A:B,MATCH(J412,'Pivot Analysis'!B:B,0),1)</f>
        <v>36</v>
      </c>
      <c r="N412" s="14" t="e">
        <f>INDEX(Cloc!E:F,MATCH(J412,Cloc!F:F,0),1)</f>
        <v>#N/A</v>
      </c>
      <c r="O412" s="14">
        <f t="shared" si="31"/>
        <v>36</v>
      </c>
      <c r="P412" s="14">
        <f>O412/Q412</f>
        <v>36</v>
      </c>
      <c r="Q412">
        <f>MAX(1,SUMPRODUCT($R$1:$AD$1,R412:AD412))</f>
        <v>1</v>
      </c>
    </row>
    <row r="413" spans="1:26" x14ac:dyDescent="0.25">
      <c r="A413" s="25" t="str">
        <f t="shared" si="32"/>
        <v>payment_flutterwave;base.group_user;0;0;0;0;0;0;0;0</v>
      </c>
      <c r="B413">
        <f t="shared" si="33"/>
        <v>0</v>
      </c>
      <c r="C413">
        <f t="shared" si="30"/>
        <v>0</v>
      </c>
      <c r="D413">
        <f t="shared" si="30"/>
        <v>0</v>
      </c>
      <c r="E413">
        <f t="shared" si="30"/>
        <v>0</v>
      </c>
      <c r="F413">
        <f t="shared" si="30"/>
        <v>0</v>
      </c>
      <c r="G413">
        <f t="shared" si="30"/>
        <v>0</v>
      </c>
      <c r="H413">
        <f t="shared" si="30"/>
        <v>0</v>
      </c>
      <c r="I413">
        <f t="shared" si="30"/>
        <v>0</v>
      </c>
      <c r="J413" s="12" t="s">
        <v>499</v>
      </c>
      <c r="K413" s="14" t="s">
        <v>1060</v>
      </c>
      <c r="L413" s="29"/>
      <c r="M413" s="14">
        <f>INDEX('Pivot Analysis'!A:B,MATCH(J413,'Pivot Analysis'!B:B,0),1)</f>
        <v>0</v>
      </c>
      <c r="N413" s="14" t="e">
        <f>INDEX(Cloc!E:F,MATCH(J413,Cloc!F:F,0),1)</f>
        <v>#N/A</v>
      </c>
      <c r="O413" s="14">
        <f t="shared" si="31"/>
        <v>0</v>
      </c>
      <c r="P413" s="14">
        <f>O413/Q413</f>
        <v>0</v>
      </c>
      <c r="Q413">
        <f>MAX(1,SUMPRODUCT($R$1:$AD$1,R413:AD413))</f>
        <v>1</v>
      </c>
    </row>
    <row r="414" spans="1:26" x14ac:dyDescent="0.25">
      <c r="A414" s="25" t="str">
        <f t="shared" si="32"/>
        <v>payment_mercado_pago;base.group_user;0;0;0;0;0;0;0;0</v>
      </c>
      <c r="B414">
        <f t="shared" si="33"/>
        <v>0</v>
      </c>
      <c r="C414">
        <f t="shared" si="30"/>
        <v>0</v>
      </c>
      <c r="D414">
        <f t="shared" si="30"/>
        <v>0</v>
      </c>
      <c r="E414">
        <f t="shared" si="30"/>
        <v>0</v>
      </c>
      <c r="F414">
        <f t="shared" si="30"/>
        <v>0</v>
      </c>
      <c r="G414">
        <f t="shared" si="30"/>
        <v>0</v>
      </c>
      <c r="H414">
        <f t="shared" si="30"/>
        <v>0</v>
      </c>
      <c r="I414">
        <f t="shared" si="30"/>
        <v>0</v>
      </c>
      <c r="J414" s="12" t="s">
        <v>500</v>
      </c>
      <c r="K414" s="14" t="s">
        <v>1060</v>
      </c>
      <c r="L414" s="29"/>
      <c r="M414" s="14">
        <f>INDEX('Pivot Analysis'!A:B,MATCH(J414,'Pivot Analysis'!B:B,0),1)</f>
        <v>0</v>
      </c>
      <c r="N414" s="14" t="e">
        <f>INDEX(Cloc!E:F,MATCH(J414,Cloc!F:F,0),1)</f>
        <v>#N/A</v>
      </c>
      <c r="O414" s="14">
        <f t="shared" si="31"/>
        <v>0</v>
      </c>
      <c r="P414" s="14">
        <f>O414/Q414</f>
        <v>0</v>
      </c>
      <c r="Q414">
        <f>MAX(1,SUMPRODUCT($R$1:$AD$1,R414:AD414))</f>
        <v>1</v>
      </c>
    </row>
    <row r="415" spans="1:26" x14ac:dyDescent="0.25">
      <c r="A415" s="25" t="str">
        <f t="shared" si="32"/>
        <v>payment_mollie;base.group_user;0;0;0;0;0;0;0;0</v>
      </c>
      <c r="B415">
        <f t="shared" si="33"/>
        <v>0</v>
      </c>
      <c r="C415">
        <f t="shared" si="30"/>
        <v>0</v>
      </c>
      <c r="D415">
        <f t="shared" si="30"/>
        <v>0</v>
      </c>
      <c r="E415">
        <f t="shared" si="30"/>
        <v>0</v>
      </c>
      <c r="F415">
        <f t="shared" si="30"/>
        <v>0</v>
      </c>
      <c r="G415">
        <f t="shared" si="30"/>
        <v>0</v>
      </c>
      <c r="H415">
        <f t="shared" si="30"/>
        <v>0</v>
      </c>
      <c r="I415">
        <f t="shared" si="30"/>
        <v>0</v>
      </c>
      <c r="J415" s="12" t="s">
        <v>501</v>
      </c>
      <c r="K415" s="14" t="s">
        <v>1060</v>
      </c>
      <c r="L415" s="29"/>
      <c r="M415" s="14">
        <f>INDEX('Pivot Analysis'!A:B,MATCH(J415,'Pivot Analysis'!B:B,0),1)</f>
        <v>0</v>
      </c>
      <c r="N415" s="14" t="e">
        <f>INDEX(Cloc!E:F,MATCH(J415,Cloc!F:F,0),1)</f>
        <v>#N/A</v>
      </c>
      <c r="O415" s="14">
        <f t="shared" si="31"/>
        <v>0</v>
      </c>
      <c r="P415" s="14">
        <f>O415/Q415</f>
        <v>0</v>
      </c>
      <c r="Q415">
        <f>MAX(1,SUMPRODUCT($R$1:$AD$1,R415:AD415))</f>
        <v>1</v>
      </c>
    </row>
    <row r="416" spans="1:26" x14ac:dyDescent="0.25">
      <c r="A416" s="25" t="str">
        <f t="shared" si="32"/>
        <v>payment_nuvei;base.group_user;1000;1000;1000;1000;1000;1000;1000;1000</v>
      </c>
      <c r="B416">
        <f t="shared" si="33"/>
        <v>1000</v>
      </c>
      <c r="C416">
        <f t="shared" si="30"/>
        <v>1000</v>
      </c>
      <c r="D416">
        <f t="shared" si="30"/>
        <v>1000</v>
      </c>
      <c r="E416">
        <f t="shared" si="30"/>
        <v>1000</v>
      </c>
      <c r="F416">
        <f t="shared" si="30"/>
        <v>1000</v>
      </c>
      <c r="G416">
        <f t="shared" si="30"/>
        <v>1000</v>
      </c>
      <c r="H416">
        <f t="shared" si="30"/>
        <v>1000</v>
      </c>
      <c r="I416">
        <f t="shared" si="30"/>
        <v>1000</v>
      </c>
      <c r="J416" s="14" t="s">
        <v>1111</v>
      </c>
      <c r="K416" s="14" t="s">
        <v>1060</v>
      </c>
      <c r="L416" s="29"/>
      <c r="M416" s="14" t="e">
        <f>INDEX('Pivot Analysis'!A:B,MATCH(J416,'Pivot Analysis'!B:B,0),1)</f>
        <v>#N/A</v>
      </c>
      <c r="N416" s="14" t="e">
        <f>INDEX(Cloc!E:F,MATCH(J416,Cloc!F:F,0),1)</f>
        <v>#N/A</v>
      </c>
      <c r="O416" s="14">
        <f t="shared" si="31"/>
        <v>1000</v>
      </c>
      <c r="P416" s="14">
        <f>O416/Q416</f>
        <v>1000</v>
      </c>
      <c r="Q416">
        <f>MAX(1,SUMPRODUCT($R$1:$AD$1,R416:AD416))</f>
        <v>1</v>
      </c>
      <c r="Z416">
        <v>1</v>
      </c>
    </row>
    <row r="417" spans="1:26" x14ac:dyDescent="0.25">
      <c r="A417" s="25" t="str">
        <f t="shared" si="32"/>
        <v>payment_ogone;base.group_user;30;30;30;30;30;30;30;30</v>
      </c>
      <c r="B417">
        <f t="shared" si="33"/>
        <v>30</v>
      </c>
      <c r="C417">
        <f t="shared" si="30"/>
        <v>30</v>
      </c>
      <c r="D417">
        <f t="shared" si="30"/>
        <v>30</v>
      </c>
      <c r="E417">
        <f t="shared" si="30"/>
        <v>30</v>
      </c>
      <c r="F417">
        <f t="shared" si="30"/>
        <v>30</v>
      </c>
      <c r="G417">
        <f t="shared" si="30"/>
        <v>30</v>
      </c>
      <c r="H417">
        <f t="shared" si="30"/>
        <v>30</v>
      </c>
      <c r="I417">
        <f t="shared" si="30"/>
        <v>30</v>
      </c>
      <c r="J417" s="12" t="s">
        <v>502</v>
      </c>
      <c r="K417" s="14" t="s">
        <v>1060</v>
      </c>
      <c r="L417" s="29"/>
      <c r="M417" s="14">
        <f>INDEX('Pivot Analysis'!A:B,MATCH(J417,'Pivot Analysis'!B:B,0),1)</f>
        <v>30</v>
      </c>
      <c r="N417" s="14" t="e">
        <f>INDEX(Cloc!E:F,MATCH(J417,Cloc!F:F,0),1)</f>
        <v>#N/A</v>
      </c>
      <c r="O417" s="14">
        <f t="shared" si="31"/>
        <v>30</v>
      </c>
      <c r="P417" s="14">
        <f>O417/Q417</f>
        <v>30</v>
      </c>
      <c r="Q417">
        <f>MAX(1,SUMPRODUCT($R$1:$AD$1,R417:AD417))</f>
        <v>1</v>
      </c>
    </row>
    <row r="418" spans="1:26" x14ac:dyDescent="0.25">
      <c r="A418" s="25" t="str">
        <f t="shared" si="32"/>
        <v>payment_paypal;base.group_user;73,5;73,5;73,5;73,5;73,5;73,5;73,5;73,5</v>
      </c>
      <c r="B418">
        <f t="shared" si="33"/>
        <v>73.5</v>
      </c>
      <c r="C418">
        <f t="shared" si="30"/>
        <v>73.5</v>
      </c>
      <c r="D418">
        <f t="shared" si="30"/>
        <v>73.5</v>
      </c>
      <c r="E418">
        <f t="shared" si="30"/>
        <v>73.5</v>
      </c>
      <c r="F418">
        <f t="shared" si="30"/>
        <v>73.5</v>
      </c>
      <c r="G418">
        <f t="shared" si="30"/>
        <v>73.5</v>
      </c>
      <c r="H418">
        <f t="shared" si="30"/>
        <v>73.5</v>
      </c>
      <c r="I418">
        <f t="shared" si="30"/>
        <v>73.5</v>
      </c>
      <c r="J418" s="12" t="s">
        <v>503</v>
      </c>
      <c r="K418" s="14" t="s">
        <v>1060</v>
      </c>
      <c r="L418" s="29"/>
      <c r="M418" s="14">
        <f>INDEX('Pivot Analysis'!A:B,MATCH(J418,'Pivot Analysis'!B:B,0),1)</f>
        <v>73.5</v>
      </c>
      <c r="N418" s="14" t="e">
        <f>INDEX(Cloc!E:F,MATCH(J418,Cloc!F:F,0),1)</f>
        <v>#N/A</v>
      </c>
      <c r="O418" s="14">
        <f t="shared" si="31"/>
        <v>73.5</v>
      </c>
      <c r="P418" s="14">
        <f>O418/Q418</f>
        <v>73.5</v>
      </c>
      <c r="Q418">
        <f>MAX(1,SUMPRODUCT($R$1:$AD$1,R418:AD418))</f>
        <v>1</v>
      </c>
    </row>
    <row r="419" spans="1:26" x14ac:dyDescent="0.25">
      <c r="A419" s="25" t="str">
        <f t="shared" si="32"/>
        <v>payment_payulatam;base.group_user;48;48;48;48;48;48;48;48</v>
      </c>
      <c r="B419">
        <f t="shared" si="33"/>
        <v>48</v>
      </c>
      <c r="C419">
        <f t="shared" si="30"/>
        <v>48</v>
      </c>
      <c r="D419">
        <f t="shared" si="30"/>
        <v>48</v>
      </c>
      <c r="E419">
        <f t="shared" si="30"/>
        <v>48</v>
      </c>
      <c r="F419">
        <f t="shared" si="30"/>
        <v>48</v>
      </c>
      <c r="G419">
        <f t="shared" si="30"/>
        <v>48</v>
      </c>
      <c r="H419">
        <f t="shared" si="30"/>
        <v>48</v>
      </c>
      <c r="I419">
        <f t="shared" si="30"/>
        <v>48</v>
      </c>
      <c r="J419" s="12" t="s">
        <v>505</v>
      </c>
      <c r="K419" s="14" t="s">
        <v>1060</v>
      </c>
      <c r="L419" s="29"/>
      <c r="M419" s="14">
        <f>INDEX('Pivot Analysis'!A:B,MATCH(J419,'Pivot Analysis'!B:B,0),1)</f>
        <v>48</v>
      </c>
      <c r="N419" s="14" t="e">
        <f>INDEX(Cloc!E:F,MATCH(J419,Cloc!F:F,0),1)</f>
        <v>#N/A</v>
      </c>
      <c r="O419" s="14">
        <f t="shared" si="31"/>
        <v>48</v>
      </c>
      <c r="P419" s="14">
        <f>O419/Q419</f>
        <v>48</v>
      </c>
      <c r="Q419">
        <f>MAX(1,SUMPRODUCT($R$1:$AD$1,R419:AD419))</f>
        <v>1</v>
      </c>
    </row>
    <row r="420" spans="1:26" x14ac:dyDescent="0.25">
      <c r="A420" s="25" t="str">
        <f t="shared" si="32"/>
        <v>payment_payumoney;base.group_user;48;48;48;48;48;48;48;48</v>
      </c>
      <c r="B420">
        <f t="shared" si="33"/>
        <v>48</v>
      </c>
      <c r="C420">
        <f t="shared" si="30"/>
        <v>48</v>
      </c>
      <c r="D420">
        <f t="shared" si="30"/>
        <v>48</v>
      </c>
      <c r="E420">
        <f t="shared" si="30"/>
        <v>48</v>
      </c>
      <c r="F420">
        <f t="shared" si="30"/>
        <v>48</v>
      </c>
      <c r="G420">
        <f t="shared" si="30"/>
        <v>48</v>
      </c>
      <c r="H420">
        <f t="shared" si="30"/>
        <v>48</v>
      </c>
      <c r="I420">
        <f t="shared" si="30"/>
        <v>48</v>
      </c>
      <c r="J420" s="12" t="s">
        <v>506</v>
      </c>
      <c r="K420" s="14" t="s">
        <v>1060</v>
      </c>
      <c r="L420" s="29"/>
      <c r="M420" s="14">
        <f>INDEX('Pivot Analysis'!A:B,MATCH(J420,'Pivot Analysis'!B:B,0),1)</f>
        <v>48</v>
      </c>
      <c r="N420" s="14" t="e">
        <f>INDEX(Cloc!E:F,MATCH(J420,Cloc!F:F,0),1)</f>
        <v>#N/A</v>
      </c>
      <c r="O420" s="14">
        <f t="shared" si="31"/>
        <v>48</v>
      </c>
      <c r="P420" s="14">
        <f>O420/Q420</f>
        <v>48</v>
      </c>
      <c r="Q420">
        <f>MAX(1,SUMPRODUCT($R$1:$AD$1,R420:AD420))</f>
        <v>1</v>
      </c>
    </row>
    <row r="421" spans="1:26" x14ac:dyDescent="0.25">
      <c r="A421" s="25" t="str">
        <f t="shared" si="32"/>
        <v>payment_razorpay;base.group_user;4,5;4,5;4,5;4,5;4,5;4,5;4,5;4,5</v>
      </c>
      <c r="B421">
        <f t="shared" si="33"/>
        <v>4.5</v>
      </c>
      <c r="C421">
        <f t="shared" si="30"/>
        <v>4.5</v>
      </c>
      <c r="D421">
        <f t="shared" si="30"/>
        <v>4.5</v>
      </c>
      <c r="E421">
        <f t="shared" si="30"/>
        <v>4.5</v>
      </c>
      <c r="F421">
        <f t="shared" si="30"/>
        <v>4.5</v>
      </c>
      <c r="G421">
        <f t="shared" si="30"/>
        <v>4.5</v>
      </c>
      <c r="H421">
        <f t="shared" si="30"/>
        <v>4.5</v>
      </c>
      <c r="I421">
        <f t="shared" si="30"/>
        <v>4.5</v>
      </c>
      <c r="J421" s="12" t="s">
        <v>507</v>
      </c>
      <c r="K421" s="14" t="s">
        <v>1060</v>
      </c>
      <c r="L421" s="29"/>
      <c r="M421" s="14">
        <f>INDEX('Pivot Analysis'!A:B,MATCH(J421,'Pivot Analysis'!B:B,0),1)</f>
        <v>4.5</v>
      </c>
      <c r="N421" s="14" t="e">
        <f>INDEX(Cloc!E:F,MATCH(J421,Cloc!F:F,0),1)</f>
        <v>#N/A</v>
      </c>
      <c r="O421" s="14">
        <f t="shared" si="31"/>
        <v>4.5</v>
      </c>
      <c r="P421" s="14">
        <f>O421/Q421</f>
        <v>4.5</v>
      </c>
      <c r="Q421">
        <f>MAX(1,SUMPRODUCT($R$1:$AD$1,R421:AD421))</f>
        <v>1</v>
      </c>
    </row>
    <row r="422" spans="1:26" x14ac:dyDescent="0.25">
      <c r="A422" s="25" t="str">
        <f t="shared" si="32"/>
        <v>payment_razorpay_oauth;base.group_user;0;0;0;0;0;0;0;0</v>
      </c>
      <c r="B422">
        <f t="shared" si="33"/>
        <v>0</v>
      </c>
      <c r="C422">
        <f t="shared" si="30"/>
        <v>0</v>
      </c>
      <c r="D422">
        <f t="shared" si="30"/>
        <v>0</v>
      </c>
      <c r="E422">
        <f t="shared" si="30"/>
        <v>0</v>
      </c>
      <c r="F422">
        <f t="shared" si="30"/>
        <v>0</v>
      </c>
      <c r="G422">
        <f t="shared" ref="C422:I485" si="34">$P422*MIN($Q422,G$3)</f>
        <v>0</v>
      </c>
      <c r="H422">
        <f t="shared" si="34"/>
        <v>0</v>
      </c>
      <c r="I422">
        <f t="shared" si="34"/>
        <v>0</v>
      </c>
      <c r="J422" s="12" t="s">
        <v>937</v>
      </c>
      <c r="K422" s="14" t="s">
        <v>1060</v>
      </c>
      <c r="L422" s="29"/>
      <c r="M422" s="14">
        <f>INDEX('Pivot Analysis'!A:B,MATCH(J422,'Pivot Analysis'!B:B,0),1)</f>
        <v>0</v>
      </c>
      <c r="N422" s="14" t="e">
        <f>INDEX(Cloc!E:F,MATCH(J422,Cloc!F:F,0),1)</f>
        <v>#N/A</v>
      </c>
      <c r="O422" s="14">
        <f t="shared" si="31"/>
        <v>0</v>
      </c>
      <c r="P422" s="14">
        <f>O422/Q422</f>
        <v>0</v>
      </c>
      <c r="Q422">
        <f>MAX(1,SUMPRODUCT($R$1:$AD$1,R422:AD422))</f>
        <v>1</v>
      </c>
    </row>
    <row r="423" spans="1:26" x14ac:dyDescent="0.25">
      <c r="A423" s="25" t="str">
        <f t="shared" si="32"/>
        <v>payment_sips;base.group_user;0;0;0;0;0;0;0;0</v>
      </c>
      <c r="B423">
        <f t="shared" si="33"/>
        <v>0</v>
      </c>
      <c r="C423">
        <f t="shared" si="34"/>
        <v>0</v>
      </c>
      <c r="D423">
        <f t="shared" si="34"/>
        <v>0</v>
      </c>
      <c r="E423">
        <f t="shared" si="34"/>
        <v>0</v>
      </c>
      <c r="F423">
        <f t="shared" si="34"/>
        <v>0</v>
      </c>
      <c r="G423">
        <f t="shared" si="34"/>
        <v>0</v>
      </c>
      <c r="H423">
        <f t="shared" si="34"/>
        <v>0</v>
      </c>
      <c r="I423">
        <f t="shared" si="34"/>
        <v>0</v>
      </c>
      <c r="J423" s="12" t="s">
        <v>508</v>
      </c>
      <c r="K423" s="14" t="s">
        <v>1060</v>
      </c>
      <c r="L423" s="29"/>
      <c r="M423" s="14">
        <f>INDEX('Pivot Analysis'!A:B,MATCH(J423,'Pivot Analysis'!B:B,0),1)</f>
        <v>0</v>
      </c>
      <c r="N423" s="14" t="e">
        <f>INDEX(Cloc!E:F,MATCH(J423,Cloc!F:F,0),1)</f>
        <v>#N/A</v>
      </c>
      <c r="O423" s="14">
        <f t="shared" si="31"/>
        <v>0</v>
      </c>
      <c r="P423" s="14">
        <f>O423/Q423</f>
        <v>0</v>
      </c>
      <c r="Q423">
        <f>MAX(1,SUMPRODUCT($R$1:$AD$1,R423:AD423))</f>
        <v>1</v>
      </c>
    </row>
    <row r="424" spans="1:26" x14ac:dyDescent="0.25">
      <c r="A424" s="25" t="str">
        <f t="shared" si="32"/>
        <v>payment_stripe;base.group_user;4,5;4,5;4,5;4,5;4,5;4,5;4,5;4,5</v>
      </c>
      <c r="B424">
        <f t="shared" si="33"/>
        <v>4.5</v>
      </c>
      <c r="C424">
        <f t="shared" si="34"/>
        <v>4.5</v>
      </c>
      <c r="D424">
        <f t="shared" si="34"/>
        <v>4.5</v>
      </c>
      <c r="E424">
        <f t="shared" si="34"/>
        <v>4.5</v>
      </c>
      <c r="F424">
        <f t="shared" si="34"/>
        <v>4.5</v>
      </c>
      <c r="G424">
        <f t="shared" si="34"/>
        <v>4.5</v>
      </c>
      <c r="H424">
        <f t="shared" si="34"/>
        <v>4.5</v>
      </c>
      <c r="I424">
        <f t="shared" si="34"/>
        <v>4.5</v>
      </c>
      <c r="J424" s="12" t="s">
        <v>509</v>
      </c>
      <c r="K424" s="14" t="s">
        <v>1060</v>
      </c>
      <c r="L424" s="29"/>
      <c r="M424" s="14">
        <f>INDEX('Pivot Analysis'!A:B,MATCH(J424,'Pivot Analysis'!B:B,0),1)</f>
        <v>4.5</v>
      </c>
      <c r="N424" s="14" t="e">
        <f>INDEX(Cloc!E:F,MATCH(J424,Cloc!F:F,0),1)</f>
        <v>#N/A</v>
      </c>
      <c r="O424" s="14">
        <f t="shared" si="31"/>
        <v>4.5</v>
      </c>
      <c r="P424" s="14">
        <f>O424/Q424</f>
        <v>4.5</v>
      </c>
      <c r="Q424">
        <f>MAX(1,SUMPRODUCT($R$1:$AD$1,R424:AD424))</f>
        <v>1</v>
      </c>
    </row>
    <row r="425" spans="1:26" x14ac:dyDescent="0.25">
      <c r="A425" s="25" t="str">
        <f t="shared" si="32"/>
        <v>payment_worldline;base.group_user;210;210;210;210;210;210;210;210</v>
      </c>
      <c r="B425">
        <f t="shared" si="33"/>
        <v>210</v>
      </c>
      <c r="C425">
        <f t="shared" si="34"/>
        <v>210</v>
      </c>
      <c r="D425">
        <f t="shared" si="34"/>
        <v>210</v>
      </c>
      <c r="E425">
        <f t="shared" si="34"/>
        <v>210</v>
      </c>
      <c r="F425">
        <f t="shared" si="34"/>
        <v>210</v>
      </c>
      <c r="G425">
        <f t="shared" si="34"/>
        <v>210</v>
      </c>
      <c r="H425">
        <f t="shared" si="34"/>
        <v>210</v>
      </c>
      <c r="I425">
        <f t="shared" si="34"/>
        <v>210</v>
      </c>
      <c r="J425" s="12" t="s">
        <v>938</v>
      </c>
      <c r="K425" s="14" t="s">
        <v>1060</v>
      </c>
      <c r="L425" s="29"/>
      <c r="M425" s="14">
        <f>INDEX('Pivot Analysis'!A:B,MATCH(J425,'Pivot Analysis'!B:B,0),1)</f>
        <v>210</v>
      </c>
      <c r="N425" s="14" t="e">
        <f>INDEX(Cloc!E:F,MATCH(J425,Cloc!F:F,0),1)</f>
        <v>#N/A</v>
      </c>
      <c r="O425" s="14">
        <f t="shared" si="31"/>
        <v>210</v>
      </c>
      <c r="P425" s="14">
        <f>O425/Q425</f>
        <v>210</v>
      </c>
      <c r="Q425">
        <f>MAX(1,SUMPRODUCT($R$1:$AD$1,R425:AD425))</f>
        <v>1</v>
      </c>
    </row>
    <row r="426" spans="1:26" x14ac:dyDescent="0.25">
      <c r="A426" s="25" t="str">
        <f t="shared" si="32"/>
        <v>payment_xendit;base.group_user;60;60;60;60;60;60;60;60</v>
      </c>
      <c r="B426">
        <f t="shared" si="33"/>
        <v>60</v>
      </c>
      <c r="C426">
        <f t="shared" si="34"/>
        <v>60</v>
      </c>
      <c r="D426">
        <f t="shared" si="34"/>
        <v>60</v>
      </c>
      <c r="E426">
        <f t="shared" si="34"/>
        <v>60</v>
      </c>
      <c r="F426">
        <f t="shared" si="34"/>
        <v>60</v>
      </c>
      <c r="G426">
        <f t="shared" si="34"/>
        <v>60</v>
      </c>
      <c r="H426">
        <f t="shared" si="34"/>
        <v>60</v>
      </c>
      <c r="I426">
        <f t="shared" si="34"/>
        <v>60</v>
      </c>
      <c r="J426" s="12" t="s">
        <v>940</v>
      </c>
      <c r="K426" s="14" t="s">
        <v>1060</v>
      </c>
      <c r="L426" s="29"/>
      <c r="M426" s="14">
        <f>INDEX('Pivot Analysis'!A:B,MATCH(J426,'Pivot Analysis'!B:B,0),1)</f>
        <v>60</v>
      </c>
      <c r="N426" s="14" t="e">
        <f>INDEX(Cloc!E:F,MATCH(J426,Cloc!F:F,0),1)</f>
        <v>#N/A</v>
      </c>
      <c r="O426" s="14">
        <f t="shared" si="31"/>
        <v>60</v>
      </c>
      <c r="P426" s="14">
        <f>O426/Q426</f>
        <v>60</v>
      </c>
      <c r="Q426">
        <f>MAX(1,SUMPRODUCT($R$1:$AD$1,R426:AD426))</f>
        <v>1</v>
      </c>
    </row>
    <row r="427" spans="1:26" x14ac:dyDescent="0.25">
      <c r="A427" s="25" t="str">
        <f t="shared" si="32"/>
        <v>phone_validation;base.group_user;0;0;0;0;0;0;0;0</v>
      </c>
      <c r="B427">
        <f t="shared" si="33"/>
        <v>0</v>
      </c>
      <c r="C427">
        <f t="shared" si="34"/>
        <v>0</v>
      </c>
      <c r="D427">
        <f t="shared" si="34"/>
        <v>0</v>
      </c>
      <c r="E427">
        <f t="shared" si="34"/>
        <v>0</v>
      </c>
      <c r="F427">
        <f t="shared" si="34"/>
        <v>0</v>
      </c>
      <c r="G427">
        <f t="shared" si="34"/>
        <v>0</v>
      </c>
      <c r="H427">
        <f t="shared" si="34"/>
        <v>0</v>
      </c>
      <c r="I427">
        <f t="shared" si="34"/>
        <v>0</v>
      </c>
      <c r="J427" s="12" t="s">
        <v>510</v>
      </c>
      <c r="K427" s="14" t="s">
        <v>1060</v>
      </c>
      <c r="L427" s="29"/>
      <c r="M427" s="14">
        <f>INDEX('Pivot Analysis'!A:B,MATCH(J427,'Pivot Analysis'!B:B,0),1)</f>
        <v>0</v>
      </c>
      <c r="N427" s="14">
        <f>INDEX(Cloc!E:F,MATCH(J427,Cloc!F:F,0),1)</f>
        <v>65.52</v>
      </c>
      <c r="O427" s="14">
        <f t="shared" si="31"/>
        <v>0</v>
      </c>
      <c r="P427" s="14">
        <f>O427/Q427</f>
        <v>0</v>
      </c>
      <c r="Q427">
        <f>MAX(1,SUMPRODUCT($R$1:$AD$1,R427:AD427))</f>
        <v>10</v>
      </c>
      <c r="S427">
        <v>1</v>
      </c>
      <c r="X427" t="str">
        <f>IF(SUM(R427:W427)=0,VLOOKUP(J427,#REF!,1,0),"")</f>
        <v/>
      </c>
      <c r="Y427" t="str">
        <f>IF(SUM(R427:X427)&gt;0,"",VLOOKUP(J427,'Apps-from-odoo'!A:A,1,0))</f>
        <v/>
      </c>
    </row>
    <row r="428" spans="1:26" x14ac:dyDescent="0.25">
      <c r="A428" s="25" t="str">
        <f t="shared" si="32"/>
        <v>planning;base.group_user;1000;1000;1000;1000;1000;1000;1000;1000</v>
      </c>
      <c r="B428">
        <f t="shared" si="33"/>
        <v>1000</v>
      </c>
      <c r="C428">
        <f t="shared" si="34"/>
        <v>1000</v>
      </c>
      <c r="D428">
        <f t="shared" si="34"/>
        <v>1000</v>
      </c>
      <c r="E428">
        <f t="shared" si="34"/>
        <v>1000</v>
      </c>
      <c r="F428">
        <f t="shared" si="34"/>
        <v>1000</v>
      </c>
      <c r="G428">
        <f t="shared" si="34"/>
        <v>1000</v>
      </c>
      <c r="H428">
        <f t="shared" si="34"/>
        <v>1000</v>
      </c>
      <c r="I428">
        <f t="shared" si="34"/>
        <v>1000</v>
      </c>
      <c r="J428" s="14" t="s">
        <v>1079</v>
      </c>
      <c r="K428" s="14" t="s">
        <v>1060</v>
      </c>
      <c r="L428" s="29"/>
      <c r="M428" s="14" t="e">
        <f>INDEX('Pivot Analysis'!A:B,MATCH(J428,'Pivot Analysis'!B:B,0),1)</f>
        <v>#N/A</v>
      </c>
      <c r="N428" s="14" t="e">
        <f>INDEX(Cloc!E:F,MATCH(J428,Cloc!F:F,0),1)</f>
        <v>#N/A</v>
      </c>
      <c r="O428" s="14">
        <f t="shared" si="31"/>
        <v>1000</v>
      </c>
      <c r="P428" s="14">
        <f>O428/Q428</f>
        <v>1000</v>
      </c>
      <c r="Q428">
        <f>MAX(1,SUMPRODUCT($R$1:$AD$1,R428:AD428))</f>
        <v>1</v>
      </c>
      <c r="Z428">
        <v>1</v>
      </c>
    </row>
    <row r="429" spans="1:26" x14ac:dyDescent="0.25">
      <c r="A429" s="25" t="str">
        <f t="shared" si="32"/>
        <v>point_of_sale;base.group_user;27,24;54,48;81,72;108,96;136,2;136,2;136,2;136,2</v>
      </c>
      <c r="B429">
        <f t="shared" si="33"/>
        <v>27.24</v>
      </c>
      <c r="C429">
        <f t="shared" si="34"/>
        <v>54.48</v>
      </c>
      <c r="D429">
        <f t="shared" si="34"/>
        <v>81.72</v>
      </c>
      <c r="E429">
        <f t="shared" si="34"/>
        <v>108.96</v>
      </c>
      <c r="F429">
        <f t="shared" si="34"/>
        <v>136.19999999999999</v>
      </c>
      <c r="G429">
        <f t="shared" si="34"/>
        <v>136.19999999999999</v>
      </c>
      <c r="H429">
        <f t="shared" si="34"/>
        <v>136.19999999999999</v>
      </c>
      <c r="I429">
        <f t="shared" si="34"/>
        <v>136.19999999999999</v>
      </c>
      <c r="J429" s="12" t="s">
        <v>511</v>
      </c>
      <c r="K429" s="14" t="s">
        <v>1060</v>
      </c>
      <c r="L429" s="29"/>
      <c r="M429" s="14">
        <f>INDEX('Pivot Analysis'!A:B,MATCH(J429,'Pivot Analysis'!B:B,0),1)</f>
        <v>136.19999999999999</v>
      </c>
      <c r="N429" s="14">
        <f>INDEX(Cloc!E:F,MATCH(J429,Cloc!F:F,0),1)</f>
        <v>2120.3999999999996</v>
      </c>
      <c r="O429" s="14">
        <f t="shared" si="31"/>
        <v>136.19999999999999</v>
      </c>
      <c r="P429" s="14">
        <f>O429/Q429</f>
        <v>27.24</v>
      </c>
      <c r="Q429">
        <f>MAX(1,SUMPRODUCT($R$1:$AD$1,R429:AD429))</f>
        <v>5</v>
      </c>
      <c r="X429">
        <v>1</v>
      </c>
      <c r="Y429" t="str">
        <f>IF(SUM(R429:X429)&gt;0,"",VLOOKUP(J429,'Apps-from-odoo'!A:A,1,0))</f>
        <v/>
      </c>
    </row>
    <row r="430" spans="1:26" x14ac:dyDescent="0.25">
      <c r="A430" s="25" t="str">
        <f t="shared" si="32"/>
        <v>portal;base.group_user;0;0;0;0;0;0;0;0</v>
      </c>
      <c r="B430">
        <f t="shared" si="33"/>
        <v>0</v>
      </c>
      <c r="C430">
        <f t="shared" si="34"/>
        <v>0</v>
      </c>
      <c r="D430">
        <f t="shared" si="34"/>
        <v>0</v>
      </c>
      <c r="E430">
        <f t="shared" si="34"/>
        <v>0</v>
      </c>
      <c r="F430">
        <f t="shared" si="34"/>
        <v>0</v>
      </c>
      <c r="G430">
        <f t="shared" si="34"/>
        <v>0</v>
      </c>
      <c r="H430">
        <f t="shared" si="34"/>
        <v>0</v>
      </c>
      <c r="I430">
        <f t="shared" si="34"/>
        <v>0</v>
      </c>
      <c r="J430" s="12" t="s">
        <v>513</v>
      </c>
      <c r="K430" s="14" t="s">
        <v>1060</v>
      </c>
      <c r="L430" s="29"/>
      <c r="M430" s="14">
        <f>INDEX('Pivot Analysis'!A:B,MATCH(J430,'Pivot Analysis'!B:B,0),1)</f>
        <v>0</v>
      </c>
      <c r="N430" s="14">
        <f>INDEX(Cloc!E:F,MATCH(J430,Cloc!F:F,0),1)</f>
        <v>281.76</v>
      </c>
      <c r="O430" s="14">
        <f t="shared" si="31"/>
        <v>0</v>
      </c>
      <c r="P430" s="14">
        <f>O430/Q430</f>
        <v>0</v>
      </c>
      <c r="Q430">
        <f>MAX(1,SUMPRODUCT($R$1:$AD$1,R430:AD430))</f>
        <v>10</v>
      </c>
      <c r="U430">
        <v>1</v>
      </c>
      <c r="X430" t="str">
        <f>IF(SUM(R430:W430)=0,VLOOKUP(J430,#REF!,1,0),"")</f>
        <v/>
      </c>
      <c r="Y430" t="str">
        <f>IF(SUM(R430:X430)&gt;0,"",VLOOKUP(J430,'Apps-from-odoo'!A:A,1,0))</f>
        <v/>
      </c>
    </row>
    <row r="431" spans="1:26" x14ac:dyDescent="0.25">
      <c r="A431" s="25" t="str">
        <f t="shared" si="32"/>
        <v>portal_rating;base.group_user;0;0;0;0;0;0;0;0</v>
      </c>
      <c r="B431">
        <f t="shared" si="33"/>
        <v>0</v>
      </c>
      <c r="C431">
        <f t="shared" si="34"/>
        <v>0</v>
      </c>
      <c r="D431">
        <f t="shared" si="34"/>
        <v>0</v>
      </c>
      <c r="E431">
        <f t="shared" si="34"/>
        <v>0</v>
      </c>
      <c r="F431">
        <f t="shared" si="34"/>
        <v>0</v>
      </c>
      <c r="G431">
        <f t="shared" si="34"/>
        <v>0</v>
      </c>
      <c r="H431">
        <f t="shared" si="34"/>
        <v>0</v>
      </c>
      <c r="I431">
        <f t="shared" si="34"/>
        <v>0</v>
      </c>
      <c r="J431" s="12" t="s">
        <v>515</v>
      </c>
      <c r="K431" s="14" t="s">
        <v>1060</v>
      </c>
      <c r="L431" s="29"/>
      <c r="M431" s="14">
        <f>INDEX('Pivot Analysis'!A:B,MATCH(J431,'Pivot Analysis'!B:B,0),1)</f>
        <v>0</v>
      </c>
      <c r="N431" s="14">
        <f>INDEX(Cloc!E:F,MATCH(J431,Cloc!F:F,0),1)</f>
        <v>61.980000000000004</v>
      </c>
      <c r="O431" s="14">
        <f t="shared" si="31"/>
        <v>0</v>
      </c>
      <c r="P431" s="14">
        <f>O431/Q431</f>
        <v>0</v>
      </c>
      <c r="Q431">
        <f>MAX(1,SUMPRODUCT($R$1:$AD$1,R431:AD431))</f>
        <v>5</v>
      </c>
      <c r="X431">
        <v>1</v>
      </c>
      <c r="Y431" t="str">
        <f>IF(SUM(R431:X431)&gt;0,"",VLOOKUP(J431,'Apps-from-odoo'!A:A,1,0))</f>
        <v/>
      </c>
    </row>
    <row r="432" spans="1:26" x14ac:dyDescent="0.25">
      <c r="A432" s="25" t="str">
        <f t="shared" si="32"/>
        <v>pos_account_tax_python;base.group_user;1000;1000;1000;1000;1000;1000;1000;1000</v>
      </c>
      <c r="B432">
        <f t="shared" si="33"/>
        <v>1000</v>
      </c>
      <c r="C432">
        <f t="shared" si="34"/>
        <v>1000</v>
      </c>
      <c r="D432">
        <f t="shared" si="34"/>
        <v>1000</v>
      </c>
      <c r="E432">
        <f t="shared" si="34"/>
        <v>1000</v>
      </c>
      <c r="F432">
        <f t="shared" si="34"/>
        <v>1000</v>
      </c>
      <c r="G432">
        <f t="shared" si="34"/>
        <v>1000</v>
      </c>
      <c r="H432">
        <f t="shared" si="34"/>
        <v>1000</v>
      </c>
      <c r="I432">
        <f t="shared" si="34"/>
        <v>1000</v>
      </c>
      <c r="J432" s="14" t="s">
        <v>1101</v>
      </c>
      <c r="K432" s="14" t="s">
        <v>1060</v>
      </c>
      <c r="L432" s="29"/>
      <c r="M432" s="14" t="e">
        <f>INDEX('Pivot Analysis'!A:B,MATCH(J432,'Pivot Analysis'!B:B,0),1)</f>
        <v>#N/A</v>
      </c>
      <c r="N432" s="14" t="e">
        <f>INDEX(Cloc!E:F,MATCH(J432,Cloc!F:F,0),1)</f>
        <v>#N/A</v>
      </c>
      <c r="O432" s="14">
        <f t="shared" si="31"/>
        <v>1000</v>
      </c>
      <c r="P432" s="14">
        <f>O432/Q432</f>
        <v>1000</v>
      </c>
      <c r="Q432">
        <f>MAX(1,SUMPRODUCT($R$1:$AD$1,R432:AD432))</f>
        <v>1</v>
      </c>
      <c r="Z432">
        <v>1</v>
      </c>
    </row>
    <row r="433" spans="1:25" x14ac:dyDescent="0.25">
      <c r="A433" s="25" t="str">
        <f t="shared" si="32"/>
        <v>pos_adyen;base.group_user;6;6;6;6;6;6;6;6</v>
      </c>
      <c r="B433">
        <f t="shared" si="33"/>
        <v>6</v>
      </c>
      <c r="C433">
        <f t="shared" si="34"/>
        <v>6</v>
      </c>
      <c r="D433">
        <f t="shared" si="34"/>
        <v>6</v>
      </c>
      <c r="E433">
        <f t="shared" si="34"/>
        <v>6</v>
      </c>
      <c r="F433">
        <f t="shared" si="34"/>
        <v>6</v>
      </c>
      <c r="G433">
        <f t="shared" si="34"/>
        <v>6</v>
      </c>
      <c r="H433">
        <f t="shared" si="34"/>
        <v>6</v>
      </c>
      <c r="I433">
        <f t="shared" si="34"/>
        <v>6</v>
      </c>
      <c r="J433" s="12" t="s">
        <v>516</v>
      </c>
      <c r="K433" s="14" t="s">
        <v>1060</v>
      </c>
      <c r="L433" s="29"/>
      <c r="M433" s="14">
        <f>INDEX('Pivot Analysis'!A:B,MATCH(J433,'Pivot Analysis'!B:B,0),1)</f>
        <v>6</v>
      </c>
      <c r="N433" s="14" t="e">
        <f>INDEX(Cloc!E:F,MATCH(J433,Cloc!F:F,0),1)</f>
        <v>#N/A</v>
      </c>
      <c r="O433" s="14">
        <f t="shared" si="31"/>
        <v>6</v>
      </c>
      <c r="P433" s="14">
        <f>O433/Q433</f>
        <v>6</v>
      </c>
      <c r="Q433">
        <f>MAX(1,SUMPRODUCT($R$1:$AD$1,R433:AD433))</f>
        <v>1</v>
      </c>
    </row>
    <row r="434" spans="1:25" x14ac:dyDescent="0.25">
      <c r="A434" s="25" t="str">
        <f t="shared" si="32"/>
        <v>pos_cache;base.group_user;0;0;0;0;0;0;0;0</v>
      </c>
      <c r="B434">
        <f t="shared" si="33"/>
        <v>0</v>
      </c>
      <c r="C434">
        <f t="shared" si="34"/>
        <v>0</v>
      </c>
      <c r="D434">
        <f t="shared" si="34"/>
        <v>0</v>
      </c>
      <c r="E434">
        <f t="shared" si="34"/>
        <v>0</v>
      </c>
      <c r="F434">
        <f t="shared" si="34"/>
        <v>0</v>
      </c>
      <c r="G434">
        <f t="shared" si="34"/>
        <v>0</v>
      </c>
      <c r="H434">
        <f t="shared" si="34"/>
        <v>0</v>
      </c>
      <c r="I434">
        <f t="shared" si="34"/>
        <v>0</v>
      </c>
      <c r="J434" s="12" t="s">
        <v>517</v>
      </c>
      <c r="K434" s="14" t="s">
        <v>1060</v>
      </c>
      <c r="L434" s="29"/>
      <c r="M434" s="14">
        <f>INDEX('Pivot Analysis'!A:B,MATCH(J434,'Pivot Analysis'!B:B,0),1)</f>
        <v>0</v>
      </c>
      <c r="N434" s="14" t="e">
        <f>INDEX(Cloc!E:F,MATCH(J434,Cloc!F:F,0),1)</f>
        <v>#N/A</v>
      </c>
      <c r="O434" s="14">
        <f t="shared" si="31"/>
        <v>0</v>
      </c>
      <c r="P434" s="14">
        <f>O434/Q434</f>
        <v>0</v>
      </c>
      <c r="Q434">
        <f>MAX(1,SUMPRODUCT($R$1:$AD$1,R434:AD434))</f>
        <v>1</v>
      </c>
    </row>
    <row r="435" spans="1:25" x14ac:dyDescent="0.25">
      <c r="A435" s="25" t="str">
        <f t="shared" si="32"/>
        <v>pos_daily_sales_reports;base.group_user;0;0;0;0;0;0;0;0</v>
      </c>
      <c r="B435">
        <f t="shared" si="33"/>
        <v>0</v>
      </c>
      <c r="C435">
        <f t="shared" si="34"/>
        <v>0</v>
      </c>
      <c r="D435">
        <f t="shared" si="34"/>
        <v>0</v>
      </c>
      <c r="E435">
        <f t="shared" si="34"/>
        <v>0</v>
      </c>
      <c r="F435">
        <f t="shared" si="34"/>
        <v>0</v>
      </c>
      <c r="G435">
        <f t="shared" si="34"/>
        <v>0</v>
      </c>
      <c r="H435">
        <f t="shared" si="34"/>
        <v>0</v>
      </c>
      <c r="I435">
        <f t="shared" si="34"/>
        <v>0</v>
      </c>
      <c r="J435" s="12" t="s">
        <v>519</v>
      </c>
      <c r="K435" s="14" t="s">
        <v>1060</v>
      </c>
      <c r="L435" s="29"/>
      <c r="M435" s="14">
        <f>INDEX('Pivot Analysis'!A:B,MATCH(J435,'Pivot Analysis'!B:B,0),1)</f>
        <v>0</v>
      </c>
      <c r="N435" s="14" t="e">
        <f>INDEX(Cloc!E:F,MATCH(J435,Cloc!F:F,0),1)</f>
        <v>#N/A</v>
      </c>
      <c r="O435" s="14">
        <f t="shared" si="31"/>
        <v>0</v>
      </c>
      <c r="P435" s="14">
        <f>O435/Q435</f>
        <v>0</v>
      </c>
      <c r="Q435">
        <f>MAX(1,SUMPRODUCT($R$1:$AD$1,R435:AD435))</f>
        <v>1</v>
      </c>
    </row>
    <row r="436" spans="1:25" x14ac:dyDescent="0.25">
      <c r="A436" s="25" t="str">
        <f t="shared" si="32"/>
        <v>pos_discount;base.group_user;3;3;3;3;3;3;3;3</v>
      </c>
      <c r="B436">
        <f t="shared" si="33"/>
        <v>3</v>
      </c>
      <c r="C436">
        <f t="shared" si="34"/>
        <v>3</v>
      </c>
      <c r="D436">
        <f t="shared" si="34"/>
        <v>3</v>
      </c>
      <c r="E436">
        <f t="shared" si="34"/>
        <v>3</v>
      </c>
      <c r="F436">
        <f t="shared" si="34"/>
        <v>3</v>
      </c>
      <c r="G436">
        <f t="shared" si="34"/>
        <v>3</v>
      </c>
      <c r="H436">
        <f t="shared" si="34"/>
        <v>3</v>
      </c>
      <c r="I436">
        <f t="shared" si="34"/>
        <v>3</v>
      </c>
      <c r="J436" s="12" t="s">
        <v>520</v>
      </c>
      <c r="K436" s="14" t="s">
        <v>1060</v>
      </c>
      <c r="L436" s="29"/>
      <c r="M436" s="14">
        <f>INDEX('Pivot Analysis'!A:B,MATCH(J436,'Pivot Analysis'!B:B,0),1)</f>
        <v>3</v>
      </c>
      <c r="N436" s="14" t="e">
        <f>INDEX(Cloc!E:F,MATCH(J436,Cloc!F:F,0),1)</f>
        <v>#N/A</v>
      </c>
      <c r="O436" s="14">
        <f t="shared" si="31"/>
        <v>3</v>
      </c>
      <c r="P436" s="14">
        <f>O436/Q436</f>
        <v>3</v>
      </c>
      <c r="Q436">
        <f>MAX(1,SUMPRODUCT($R$1:$AD$1,R436:AD436))</f>
        <v>1</v>
      </c>
    </row>
    <row r="437" spans="1:25" x14ac:dyDescent="0.25">
      <c r="A437" s="25" t="str">
        <f t="shared" si="32"/>
        <v>pos_epson_printer;base.group_user;12;24;36;48;60;60;60;60</v>
      </c>
      <c r="B437">
        <f t="shared" si="33"/>
        <v>12</v>
      </c>
      <c r="C437">
        <f t="shared" si="34"/>
        <v>24</v>
      </c>
      <c r="D437">
        <f t="shared" si="34"/>
        <v>36</v>
      </c>
      <c r="E437">
        <f t="shared" si="34"/>
        <v>48</v>
      </c>
      <c r="F437">
        <f t="shared" si="34"/>
        <v>60</v>
      </c>
      <c r="G437">
        <f t="shared" si="34"/>
        <v>60</v>
      </c>
      <c r="H437">
        <f t="shared" si="34"/>
        <v>60</v>
      </c>
      <c r="I437">
        <f t="shared" si="34"/>
        <v>60</v>
      </c>
      <c r="J437" s="12" t="s">
        <v>521</v>
      </c>
      <c r="K437" s="14" t="s">
        <v>1060</v>
      </c>
      <c r="L437" s="29"/>
      <c r="M437" s="14">
        <f>INDEX('Pivot Analysis'!A:B,MATCH(J437,'Pivot Analysis'!B:B,0),1)</f>
        <v>60</v>
      </c>
      <c r="N437" s="14">
        <f>INDEX(Cloc!E:F,MATCH(J437,Cloc!F:F,0),1)</f>
        <v>21.96</v>
      </c>
      <c r="O437" s="14">
        <f t="shared" si="31"/>
        <v>60</v>
      </c>
      <c r="P437" s="14">
        <f>O437/Q437</f>
        <v>12</v>
      </c>
      <c r="Q437">
        <f>MAX(1,SUMPRODUCT($R$1:$AD$1,R437:AD437))</f>
        <v>5</v>
      </c>
      <c r="X437">
        <v>1</v>
      </c>
      <c r="Y437" t="str">
        <f>IF(SUM(R437:X437)&gt;0,"",VLOOKUP(J437,'Apps-from-odoo'!A:A,1,0))</f>
        <v/>
      </c>
    </row>
    <row r="438" spans="1:25" x14ac:dyDescent="0.25">
      <c r="A438" s="25" t="str">
        <f t="shared" si="32"/>
        <v>pos_epson_printer_restaurant;base.group_user;0;0;0;0;0;0;0;0</v>
      </c>
      <c r="B438">
        <f t="shared" si="33"/>
        <v>0</v>
      </c>
      <c r="C438">
        <f t="shared" si="34"/>
        <v>0</v>
      </c>
      <c r="D438">
        <f t="shared" si="34"/>
        <v>0</v>
      </c>
      <c r="E438">
        <f t="shared" si="34"/>
        <v>0</v>
      </c>
      <c r="F438">
        <f t="shared" si="34"/>
        <v>0</v>
      </c>
      <c r="G438">
        <f t="shared" si="34"/>
        <v>0</v>
      </c>
      <c r="H438">
        <f t="shared" si="34"/>
        <v>0</v>
      </c>
      <c r="I438">
        <f t="shared" si="34"/>
        <v>0</v>
      </c>
      <c r="J438" s="12" t="s">
        <v>522</v>
      </c>
      <c r="K438" s="14" t="s">
        <v>1060</v>
      </c>
      <c r="L438" s="29"/>
      <c r="M438" s="14">
        <f>INDEX('Pivot Analysis'!A:B,MATCH(J438,'Pivot Analysis'!B:B,0),1)</f>
        <v>0</v>
      </c>
      <c r="N438" s="14" t="e">
        <f>INDEX(Cloc!E:F,MATCH(J438,Cloc!F:F,0),1)</f>
        <v>#N/A</v>
      </c>
      <c r="O438" s="14">
        <f t="shared" si="31"/>
        <v>0</v>
      </c>
      <c r="P438" s="14">
        <f>O438/Q438</f>
        <v>0</v>
      </c>
      <c r="Q438">
        <f>MAX(1,SUMPRODUCT($R$1:$AD$1,R438:AD438))</f>
        <v>1</v>
      </c>
    </row>
    <row r="439" spans="1:25" x14ac:dyDescent="0.25">
      <c r="A439" s="25" t="str">
        <f t="shared" si="32"/>
        <v>pos_event;base.group_user;12,288;24,576;36,864;49,152;61,44;61,44;61,44;61,44</v>
      </c>
      <c r="B439">
        <f t="shared" si="33"/>
        <v>12.288</v>
      </c>
      <c r="C439">
        <f t="shared" si="34"/>
        <v>24.576000000000001</v>
      </c>
      <c r="D439">
        <f t="shared" si="34"/>
        <v>36.864000000000004</v>
      </c>
      <c r="E439">
        <f t="shared" si="34"/>
        <v>49.152000000000001</v>
      </c>
      <c r="F439">
        <f t="shared" si="34"/>
        <v>61.44</v>
      </c>
      <c r="G439">
        <f t="shared" si="34"/>
        <v>61.44</v>
      </c>
      <c r="H439">
        <f t="shared" si="34"/>
        <v>61.44</v>
      </c>
      <c r="I439">
        <f t="shared" si="34"/>
        <v>61.44</v>
      </c>
      <c r="J439" s="14" t="s">
        <v>1051</v>
      </c>
      <c r="K439" s="14" t="s">
        <v>1060</v>
      </c>
      <c r="L439" s="29"/>
      <c r="M439" s="14" t="e">
        <f>INDEX('Pivot Analysis'!A:B,MATCH(J439,'Pivot Analysis'!B:B,0),1)</f>
        <v>#N/A</v>
      </c>
      <c r="N439" s="14">
        <f>INDEX(Cloc!E:F,MATCH(J439,Cloc!F:F,0),1)</f>
        <v>61.44</v>
      </c>
      <c r="O439" s="14">
        <f t="shared" si="31"/>
        <v>61.44</v>
      </c>
      <c r="P439" s="14">
        <f>O439/Q439</f>
        <v>12.288</v>
      </c>
      <c r="Q439">
        <f>MAX(1,SUMPRODUCT($R$1:$AD$1,R439:AD439))</f>
        <v>5</v>
      </c>
      <c r="X439">
        <v>1</v>
      </c>
      <c r="Y439" t="str">
        <f>IF(SUM(R439:X439)&gt;0,"",VLOOKUP(J439,'Apps-from-odoo'!A:A,1,0))</f>
        <v/>
      </c>
    </row>
    <row r="440" spans="1:25" x14ac:dyDescent="0.25">
      <c r="A440" s="25" t="str">
        <f t="shared" si="32"/>
        <v>pos_hr;base.group_user;17,76;35,52;53,28;71,04;88,8;88,8;88,8;88,8</v>
      </c>
      <c r="B440">
        <f t="shared" si="33"/>
        <v>17.759999999999998</v>
      </c>
      <c r="C440">
        <f t="shared" si="34"/>
        <v>35.519999999999996</v>
      </c>
      <c r="D440">
        <f t="shared" si="34"/>
        <v>53.279999999999994</v>
      </c>
      <c r="E440">
        <f t="shared" si="34"/>
        <v>71.039999999999992</v>
      </c>
      <c r="F440">
        <f t="shared" si="34"/>
        <v>88.799999999999983</v>
      </c>
      <c r="G440">
        <f t="shared" si="34"/>
        <v>88.799999999999983</v>
      </c>
      <c r="H440">
        <f t="shared" si="34"/>
        <v>88.799999999999983</v>
      </c>
      <c r="I440">
        <f t="shared" si="34"/>
        <v>88.799999999999983</v>
      </c>
      <c r="J440" s="12" t="s">
        <v>523</v>
      </c>
      <c r="K440" s="14" t="s">
        <v>1060</v>
      </c>
      <c r="L440" s="29"/>
      <c r="M440" s="14">
        <f>INDEX('Pivot Analysis'!A:B,MATCH(J440,'Pivot Analysis'!B:B,0),1)</f>
        <v>88.8</v>
      </c>
      <c r="N440" s="14">
        <f>INDEX(Cloc!E:F,MATCH(J440,Cloc!F:F,0),1)</f>
        <v>79.320000000000007</v>
      </c>
      <c r="O440" s="14">
        <f t="shared" si="31"/>
        <v>88.8</v>
      </c>
      <c r="P440" s="14">
        <f>O440/Q440</f>
        <v>17.759999999999998</v>
      </c>
      <c r="Q440">
        <f>MAX(1,SUMPRODUCT($R$1:$AD$1,R440:AD440))</f>
        <v>5</v>
      </c>
      <c r="X440">
        <v>1</v>
      </c>
      <c r="Y440" t="str">
        <f>IF(SUM(R440:X440)&gt;0,"",VLOOKUP(J440,'Apps-from-odoo'!A:A,1,0))</f>
        <v/>
      </c>
    </row>
    <row r="441" spans="1:25" x14ac:dyDescent="0.25">
      <c r="A441" s="25" t="str">
        <f t="shared" si="32"/>
        <v>pos_hr_restaurant;base.group_user;11;22;33;33;33;33;33;33</v>
      </c>
      <c r="B441">
        <f t="shared" si="33"/>
        <v>11</v>
      </c>
      <c r="C441">
        <f t="shared" si="34"/>
        <v>22</v>
      </c>
      <c r="D441">
        <f t="shared" si="34"/>
        <v>33</v>
      </c>
      <c r="E441">
        <f t="shared" si="34"/>
        <v>33</v>
      </c>
      <c r="F441">
        <f t="shared" si="34"/>
        <v>33</v>
      </c>
      <c r="G441">
        <f t="shared" si="34"/>
        <v>33</v>
      </c>
      <c r="H441">
        <f t="shared" si="34"/>
        <v>33</v>
      </c>
      <c r="I441">
        <f t="shared" si="34"/>
        <v>33</v>
      </c>
      <c r="J441" s="12" t="s">
        <v>524</v>
      </c>
      <c r="K441" s="14" t="s">
        <v>1060</v>
      </c>
      <c r="L441" s="29"/>
      <c r="M441" s="14">
        <f>INDEX('Pivot Analysis'!A:B,MATCH(J441,'Pivot Analysis'!B:B,0),1)</f>
        <v>33</v>
      </c>
      <c r="N441" s="14">
        <f>INDEX(Cloc!E:F,MATCH(J441,Cloc!F:F,0),1)</f>
        <v>1.56</v>
      </c>
      <c r="O441" s="14">
        <f t="shared" si="31"/>
        <v>33</v>
      </c>
      <c r="P441" s="14">
        <f>O441/Q441</f>
        <v>11</v>
      </c>
      <c r="Q441">
        <f>MAX(1,SUMPRODUCT($R$1:$AD$1,R441:AD441))</f>
        <v>3</v>
      </c>
      <c r="Y441">
        <v>1</v>
      </c>
    </row>
    <row r="442" spans="1:25" x14ac:dyDescent="0.25">
      <c r="A442" s="25" t="str">
        <f t="shared" si="32"/>
        <v>pos_loyalty;base.group_user;34,5;34,5;34,5;34,5;34,5;34,5;34,5;34,5</v>
      </c>
      <c r="B442">
        <f t="shared" si="33"/>
        <v>34.5</v>
      </c>
      <c r="C442">
        <f t="shared" si="34"/>
        <v>34.5</v>
      </c>
      <c r="D442">
        <f t="shared" si="34"/>
        <v>34.5</v>
      </c>
      <c r="E442">
        <f t="shared" si="34"/>
        <v>34.5</v>
      </c>
      <c r="F442">
        <f t="shared" si="34"/>
        <v>34.5</v>
      </c>
      <c r="G442">
        <f t="shared" si="34"/>
        <v>34.5</v>
      </c>
      <c r="H442">
        <f t="shared" si="34"/>
        <v>34.5</v>
      </c>
      <c r="I442">
        <f t="shared" si="34"/>
        <v>34.5</v>
      </c>
      <c r="J442" s="12" t="s">
        <v>525</v>
      </c>
      <c r="K442" s="14" t="s">
        <v>1060</v>
      </c>
      <c r="L442" s="29"/>
      <c r="M442" s="14">
        <f>INDEX('Pivot Analysis'!A:B,MATCH(J442,'Pivot Analysis'!B:B,0),1)</f>
        <v>34.5</v>
      </c>
      <c r="N442" s="14" t="e">
        <f>INDEX(Cloc!E:F,MATCH(J442,Cloc!F:F,0),1)</f>
        <v>#N/A</v>
      </c>
      <c r="O442" s="14">
        <f t="shared" si="31"/>
        <v>34.5</v>
      </c>
      <c r="P442" s="14">
        <f>O442/Q442</f>
        <v>34.5</v>
      </c>
      <c r="Q442">
        <f>MAX(1,SUMPRODUCT($R$1:$AD$1,R442:AD442))</f>
        <v>1</v>
      </c>
    </row>
    <row r="443" spans="1:25" x14ac:dyDescent="0.25">
      <c r="A443" s="25" t="str">
        <f t="shared" si="32"/>
        <v>pos_mercado_pago;base.group_user;0;0;0;0;0;0;0;0</v>
      </c>
      <c r="B443">
        <f t="shared" si="33"/>
        <v>0</v>
      </c>
      <c r="C443">
        <f t="shared" si="34"/>
        <v>0</v>
      </c>
      <c r="D443">
        <f t="shared" si="34"/>
        <v>0</v>
      </c>
      <c r="E443">
        <f t="shared" si="34"/>
        <v>0</v>
      </c>
      <c r="F443">
        <f t="shared" si="34"/>
        <v>0</v>
      </c>
      <c r="G443">
        <f t="shared" si="34"/>
        <v>0</v>
      </c>
      <c r="H443">
        <f t="shared" si="34"/>
        <v>0</v>
      </c>
      <c r="I443">
        <f t="shared" si="34"/>
        <v>0</v>
      </c>
      <c r="J443" s="12" t="s">
        <v>944</v>
      </c>
      <c r="K443" s="14" t="s">
        <v>1060</v>
      </c>
      <c r="L443" s="29"/>
      <c r="M443" s="14">
        <f>INDEX('Pivot Analysis'!A:B,MATCH(J443,'Pivot Analysis'!B:B,0),1)</f>
        <v>0</v>
      </c>
      <c r="N443" s="14" t="e">
        <f>INDEX(Cloc!E:F,MATCH(J443,Cloc!F:F,0),1)</f>
        <v>#N/A</v>
      </c>
      <c r="O443" s="14">
        <f t="shared" si="31"/>
        <v>0</v>
      </c>
      <c r="P443" s="14">
        <f>O443/Q443</f>
        <v>0</v>
      </c>
      <c r="Q443">
        <f>MAX(1,SUMPRODUCT($R$1:$AD$1,R443:AD443))</f>
        <v>1</v>
      </c>
    </row>
    <row r="444" spans="1:25" x14ac:dyDescent="0.25">
      <c r="A444" s="25" t="str">
        <f t="shared" si="32"/>
        <v>pos_mercury;base.group_user;48;48;48;48;48;48;48;48</v>
      </c>
      <c r="B444">
        <f t="shared" si="33"/>
        <v>48</v>
      </c>
      <c r="C444">
        <f t="shared" si="34"/>
        <v>48</v>
      </c>
      <c r="D444">
        <f t="shared" si="34"/>
        <v>48</v>
      </c>
      <c r="E444">
        <f t="shared" si="34"/>
        <v>48</v>
      </c>
      <c r="F444">
        <f t="shared" si="34"/>
        <v>48</v>
      </c>
      <c r="G444">
        <f t="shared" si="34"/>
        <v>48</v>
      </c>
      <c r="H444">
        <f t="shared" si="34"/>
        <v>48</v>
      </c>
      <c r="I444">
        <f t="shared" si="34"/>
        <v>48</v>
      </c>
      <c r="J444" s="12" t="s">
        <v>526</v>
      </c>
      <c r="K444" s="14" t="s">
        <v>1060</v>
      </c>
      <c r="L444" s="29"/>
      <c r="M444" s="14">
        <f>INDEX('Pivot Analysis'!A:B,MATCH(J444,'Pivot Analysis'!B:B,0),1)</f>
        <v>48</v>
      </c>
      <c r="N444" s="14" t="e">
        <f>INDEX(Cloc!E:F,MATCH(J444,Cloc!F:F,0),1)</f>
        <v>#N/A</v>
      </c>
      <c r="O444" s="14">
        <f t="shared" si="31"/>
        <v>48</v>
      </c>
      <c r="P444" s="14">
        <f>O444/Q444</f>
        <v>48</v>
      </c>
      <c r="Q444">
        <f>MAX(1,SUMPRODUCT($R$1:$AD$1,R444:AD444))</f>
        <v>1</v>
      </c>
    </row>
    <row r="445" spans="1:25" x14ac:dyDescent="0.25">
      <c r="A445" s="25" t="str">
        <f t="shared" si="32"/>
        <v>pos_mrp;base.group_user;11;22;33;33;33;33;33;33</v>
      </c>
      <c r="B445">
        <f t="shared" si="33"/>
        <v>11</v>
      </c>
      <c r="C445">
        <f t="shared" si="34"/>
        <v>22</v>
      </c>
      <c r="D445">
        <f t="shared" si="34"/>
        <v>33</v>
      </c>
      <c r="E445">
        <f t="shared" si="34"/>
        <v>33</v>
      </c>
      <c r="F445">
        <f t="shared" si="34"/>
        <v>33</v>
      </c>
      <c r="G445">
        <f t="shared" si="34"/>
        <v>33</v>
      </c>
      <c r="H445">
        <f t="shared" si="34"/>
        <v>33</v>
      </c>
      <c r="I445">
        <f t="shared" si="34"/>
        <v>33</v>
      </c>
      <c r="J445" s="12" t="s">
        <v>527</v>
      </c>
      <c r="K445" s="14" t="s">
        <v>1060</v>
      </c>
      <c r="L445" s="29"/>
      <c r="M445" s="14">
        <f>INDEX('Pivot Analysis'!A:B,MATCH(J445,'Pivot Analysis'!B:B,0),1)</f>
        <v>33</v>
      </c>
      <c r="N445" s="14">
        <f>INDEX(Cloc!E:F,MATCH(J445,Cloc!F:F,0),1)</f>
        <v>2.52</v>
      </c>
      <c r="O445" s="14">
        <f t="shared" si="31"/>
        <v>33</v>
      </c>
      <c r="P445" s="14">
        <f>O445/Q445</f>
        <v>11</v>
      </c>
      <c r="Q445">
        <f>MAX(1,SUMPRODUCT($R$1:$AD$1,R445:AD445))</f>
        <v>3</v>
      </c>
      <c r="Y445">
        <v>1</v>
      </c>
    </row>
    <row r="446" spans="1:25" x14ac:dyDescent="0.25">
      <c r="A446" s="25" t="str">
        <f t="shared" si="32"/>
        <v>pos_online_payment;base.group_user;0;0;0;0;0;0;0;0</v>
      </c>
      <c r="B446">
        <f t="shared" si="33"/>
        <v>0</v>
      </c>
      <c r="C446">
        <f t="shared" si="34"/>
        <v>0</v>
      </c>
      <c r="D446">
        <f t="shared" si="34"/>
        <v>0</v>
      </c>
      <c r="E446">
        <f t="shared" si="34"/>
        <v>0</v>
      </c>
      <c r="F446">
        <f t="shared" si="34"/>
        <v>0</v>
      </c>
      <c r="G446">
        <f t="shared" si="34"/>
        <v>0</v>
      </c>
      <c r="H446">
        <f t="shared" si="34"/>
        <v>0</v>
      </c>
      <c r="I446">
        <f t="shared" si="34"/>
        <v>0</v>
      </c>
      <c r="J446" s="12" t="s">
        <v>945</v>
      </c>
      <c r="K446" s="14" t="s">
        <v>1060</v>
      </c>
      <c r="L446" s="29"/>
      <c r="M446" s="14">
        <f>INDEX('Pivot Analysis'!A:B,MATCH(J446,'Pivot Analysis'!B:B,0),1)</f>
        <v>0</v>
      </c>
      <c r="N446" s="14">
        <f>INDEX(Cloc!E:F,MATCH(J446,Cloc!F:F,0),1)</f>
        <v>86.28</v>
      </c>
      <c r="O446" s="14">
        <f t="shared" si="31"/>
        <v>0</v>
      </c>
      <c r="P446" s="14">
        <f>O446/Q446</f>
        <v>0</v>
      </c>
      <c r="Q446">
        <f>MAX(1,SUMPRODUCT($R$1:$AD$1,R446:AD446))</f>
        <v>5</v>
      </c>
      <c r="X446">
        <v>1</v>
      </c>
      <c r="Y446" t="str">
        <f>IF(SUM(R446:X446)&gt;0,"",VLOOKUP(J446,'Apps-from-odoo'!A:A,1,0))</f>
        <v/>
      </c>
    </row>
    <row r="447" spans="1:25" x14ac:dyDescent="0.25">
      <c r="A447" s="25" t="str">
        <f t="shared" si="32"/>
        <v>pos_online_payment_self_order;base.group_user;0;0;0;0;0;0;0;0</v>
      </c>
      <c r="B447">
        <f t="shared" si="33"/>
        <v>0</v>
      </c>
      <c r="C447">
        <f t="shared" si="34"/>
        <v>0</v>
      </c>
      <c r="D447">
        <f t="shared" si="34"/>
        <v>0</v>
      </c>
      <c r="E447">
        <f t="shared" si="34"/>
        <v>0</v>
      </c>
      <c r="F447">
        <f t="shared" si="34"/>
        <v>0</v>
      </c>
      <c r="G447">
        <f t="shared" si="34"/>
        <v>0</v>
      </c>
      <c r="H447">
        <f t="shared" si="34"/>
        <v>0</v>
      </c>
      <c r="I447">
        <f t="shared" si="34"/>
        <v>0</v>
      </c>
      <c r="J447" s="12" t="s">
        <v>946</v>
      </c>
      <c r="K447" s="14" t="s">
        <v>1060</v>
      </c>
      <c r="L447" s="29"/>
      <c r="M447" s="14">
        <f>INDEX('Pivot Analysis'!A:B,MATCH(J447,'Pivot Analysis'!B:B,0),1)</f>
        <v>0</v>
      </c>
      <c r="N447" s="14">
        <f>INDEX(Cloc!E:F,MATCH(J447,Cloc!F:F,0),1)</f>
        <v>21.78</v>
      </c>
      <c r="O447" s="14">
        <f t="shared" si="31"/>
        <v>0</v>
      </c>
      <c r="P447" s="14">
        <f>O447/Q447</f>
        <v>0</v>
      </c>
      <c r="Q447">
        <f>MAX(1,SUMPRODUCT($R$1:$AD$1,R447:AD447))</f>
        <v>3</v>
      </c>
      <c r="Y447">
        <v>1</v>
      </c>
    </row>
    <row r="448" spans="1:25" x14ac:dyDescent="0.25">
      <c r="A448" s="25" t="str">
        <f t="shared" si="32"/>
        <v>pos_paytm;base.group_user;120;120;120;120;120;120;120;120</v>
      </c>
      <c r="B448">
        <f t="shared" si="33"/>
        <v>120</v>
      </c>
      <c r="C448">
        <f t="shared" si="34"/>
        <v>120</v>
      </c>
      <c r="D448">
        <f t="shared" si="34"/>
        <v>120</v>
      </c>
      <c r="E448">
        <f t="shared" si="34"/>
        <v>120</v>
      </c>
      <c r="F448">
        <f t="shared" si="34"/>
        <v>120</v>
      </c>
      <c r="G448">
        <f t="shared" si="34"/>
        <v>120</v>
      </c>
      <c r="H448">
        <f t="shared" si="34"/>
        <v>120</v>
      </c>
      <c r="I448">
        <f t="shared" si="34"/>
        <v>120</v>
      </c>
      <c r="J448" s="12" t="s">
        <v>947</v>
      </c>
      <c r="K448" s="14" t="s">
        <v>1060</v>
      </c>
      <c r="L448" s="29"/>
      <c r="M448" s="14">
        <f>INDEX('Pivot Analysis'!A:B,MATCH(J448,'Pivot Analysis'!B:B,0),1)</f>
        <v>120</v>
      </c>
      <c r="N448" s="14" t="e">
        <f>INDEX(Cloc!E:F,MATCH(J448,Cloc!F:F,0),1)</f>
        <v>#N/A</v>
      </c>
      <c r="O448" s="14">
        <f t="shared" si="31"/>
        <v>120</v>
      </c>
      <c r="P448" s="14">
        <f>O448/Q448</f>
        <v>120</v>
      </c>
      <c r="Q448">
        <f>MAX(1,SUMPRODUCT($R$1:$AD$1,R448:AD448))</f>
        <v>1</v>
      </c>
    </row>
    <row r="449" spans="1:26" x14ac:dyDescent="0.25">
      <c r="A449" s="25" t="str">
        <f t="shared" si="32"/>
        <v>pos_pine_labs;base.group_user;1000;1000;1000;1000;1000;1000;1000;1000</v>
      </c>
      <c r="B449">
        <f t="shared" si="33"/>
        <v>1000</v>
      </c>
      <c r="C449">
        <f t="shared" si="34"/>
        <v>1000</v>
      </c>
      <c r="D449">
        <f t="shared" si="34"/>
        <v>1000</v>
      </c>
      <c r="E449">
        <f t="shared" si="34"/>
        <v>1000</v>
      </c>
      <c r="F449">
        <f t="shared" si="34"/>
        <v>1000</v>
      </c>
      <c r="G449">
        <f t="shared" si="34"/>
        <v>1000</v>
      </c>
      <c r="H449">
        <f t="shared" si="34"/>
        <v>1000</v>
      </c>
      <c r="I449">
        <f t="shared" si="34"/>
        <v>1000</v>
      </c>
      <c r="J449" s="14" t="s">
        <v>1084</v>
      </c>
      <c r="K449" s="14" t="s">
        <v>1060</v>
      </c>
      <c r="L449" s="29"/>
      <c r="M449" s="14" t="e">
        <f>INDEX('Pivot Analysis'!A:B,MATCH(J449,'Pivot Analysis'!B:B,0),1)</f>
        <v>#N/A</v>
      </c>
      <c r="N449" s="14" t="e">
        <f>INDEX(Cloc!E:F,MATCH(J449,Cloc!F:F,0),1)</f>
        <v>#N/A</v>
      </c>
      <c r="O449" s="14">
        <f t="shared" si="31"/>
        <v>1000</v>
      </c>
      <c r="P449" s="14">
        <f>O449/Q449</f>
        <v>1000</v>
      </c>
      <c r="Q449">
        <f>MAX(1,SUMPRODUCT($R$1:$AD$1,R449:AD449))</f>
        <v>1</v>
      </c>
      <c r="Z449">
        <v>1</v>
      </c>
    </row>
    <row r="450" spans="1:26" x14ac:dyDescent="0.25">
      <c r="A450" s="25" t="str">
        <f t="shared" si="32"/>
        <v>pos_razorpay;base.group_user;135;135;135;135;135;135;135;135</v>
      </c>
      <c r="B450">
        <f t="shared" si="33"/>
        <v>135</v>
      </c>
      <c r="C450">
        <f t="shared" si="34"/>
        <v>135</v>
      </c>
      <c r="D450">
        <f t="shared" si="34"/>
        <v>135</v>
      </c>
      <c r="E450">
        <f t="shared" si="34"/>
        <v>135</v>
      </c>
      <c r="F450">
        <f t="shared" si="34"/>
        <v>135</v>
      </c>
      <c r="G450">
        <f t="shared" si="34"/>
        <v>135</v>
      </c>
      <c r="H450">
        <f t="shared" si="34"/>
        <v>135</v>
      </c>
      <c r="I450">
        <f t="shared" si="34"/>
        <v>135</v>
      </c>
      <c r="J450" s="12" t="s">
        <v>948</v>
      </c>
      <c r="K450" s="14" t="s">
        <v>1060</v>
      </c>
      <c r="L450" s="29"/>
      <c r="M450" s="14">
        <f>INDEX('Pivot Analysis'!A:B,MATCH(J450,'Pivot Analysis'!B:B,0),1)</f>
        <v>135</v>
      </c>
      <c r="N450" s="14" t="e">
        <f>INDEX(Cloc!E:F,MATCH(J450,Cloc!F:F,0),1)</f>
        <v>#N/A</v>
      </c>
      <c r="O450" s="14">
        <f t="shared" si="31"/>
        <v>135</v>
      </c>
      <c r="P450" s="14">
        <f>O450/Q450</f>
        <v>135</v>
      </c>
      <c r="Q450">
        <f>MAX(1,SUMPRODUCT($R$1:$AD$1,R450:AD450))</f>
        <v>1</v>
      </c>
    </row>
    <row r="451" spans="1:26" x14ac:dyDescent="0.25">
      <c r="A451" s="25" t="str">
        <f t="shared" si="32"/>
        <v>pos_restaurant;base.group_user;49;98;147;147;147;147;147;147</v>
      </c>
      <c r="B451">
        <f t="shared" si="33"/>
        <v>49</v>
      </c>
      <c r="C451">
        <f t="shared" si="34"/>
        <v>98</v>
      </c>
      <c r="D451">
        <f t="shared" si="34"/>
        <v>147</v>
      </c>
      <c r="E451">
        <f t="shared" si="34"/>
        <v>147</v>
      </c>
      <c r="F451">
        <f t="shared" si="34"/>
        <v>147</v>
      </c>
      <c r="G451">
        <f t="shared" si="34"/>
        <v>147</v>
      </c>
      <c r="H451">
        <f t="shared" si="34"/>
        <v>147</v>
      </c>
      <c r="I451">
        <f t="shared" si="34"/>
        <v>147</v>
      </c>
      <c r="J451" s="12" t="s">
        <v>528</v>
      </c>
      <c r="K451" s="14" t="s">
        <v>1060</v>
      </c>
      <c r="L451" s="29">
        <f>49*3</f>
        <v>147</v>
      </c>
      <c r="M451" s="14">
        <f>INDEX('Pivot Analysis'!A:B,MATCH(J451,'Pivot Analysis'!B:B,0),1)</f>
        <v>351</v>
      </c>
      <c r="N451" s="14">
        <f>INDEX(Cloc!E:F,MATCH(J451,Cloc!F:F,0),1)</f>
        <v>334.02</v>
      </c>
      <c r="O451" s="14">
        <f t="shared" si="31"/>
        <v>147</v>
      </c>
      <c r="P451" s="14">
        <f>O451/Q451</f>
        <v>49</v>
      </c>
      <c r="Q451">
        <f>MAX(1,SUMPRODUCT($R$1:$AD$1,R451:AD451))</f>
        <v>3</v>
      </c>
      <c r="Y451">
        <v>1</v>
      </c>
    </row>
    <row r="452" spans="1:26" x14ac:dyDescent="0.25">
      <c r="A452" s="25" t="str">
        <f t="shared" si="32"/>
        <v>pos_restaurant_adyen;base.group_user;0;0;0;0;0;0;0;0</v>
      </c>
      <c r="B452">
        <f t="shared" si="33"/>
        <v>0</v>
      </c>
      <c r="C452">
        <f t="shared" si="34"/>
        <v>0</v>
      </c>
      <c r="D452">
        <f t="shared" si="34"/>
        <v>0</v>
      </c>
      <c r="E452">
        <f t="shared" si="34"/>
        <v>0</v>
      </c>
      <c r="F452">
        <f t="shared" si="34"/>
        <v>0</v>
      </c>
      <c r="G452">
        <f t="shared" si="34"/>
        <v>0</v>
      </c>
      <c r="H452">
        <f t="shared" si="34"/>
        <v>0</v>
      </c>
      <c r="I452">
        <f t="shared" si="34"/>
        <v>0</v>
      </c>
      <c r="J452" s="12" t="s">
        <v>531</v>
      </c>
      <c r="K452" s="14" t="s">
        <v>1060</v>
      </c>
      <c r="L452" s="29"/>
      <c r="M452" s="14">
        <f>INDEX('Pivot Analysis'!A:B,MATCH(J452,'Pivot Analysis'!B:B,0),1)</f>
        <v>0</v>
      </c>
      <c r="N452" s="14" t="e">
        <f>INDEX(Cloc!E:F,MATCH(J452,Cloc!F:F,0),1)</f>
        <v>#N/A</v>
      </c>
      <c r="O452" s="14">
        <f t="shared" si="31"/>
        <v>0</v>
      </c>
      <c r="P452" s="14">
        <f>O452/Q452</f>
        <v>0</v>
      </c>
      <c r="Q452">
        <f>MAX(1,SUMPRODUCT($R$1:$AD$1,R452:AD452))</f>
        <v>1</v>
      </c>
    </row>
    <row r="453" spans="1:26" x14ac:dyDescent="0.25">
      <c r="A453" s="25" t="str">
        <f t="shared" si="32"/>
        <v>pos_restaurant_loyalty;base.group_user;30;30;30;30;30;30;30;30</v>
      </c>
      <c r="B453">
        <f t="shared" si="33"/>
        <v>30</v>
      </c>
      <c r="C453">
        <f t="shared" si="34"/>
        <v>30</v>
      </c>
      <c r="D453">
        <f t="shared" si="34"/>
        <v>30</v>
      </c>
      <c r="E453">
        <f t="shared" si="34"/>
        <v>30</v>
      </c>
      <c r="F453">
        <f t="shared" si="34"/>
        <v>30</v>
      </c>
      <c r="G453">
        <f t="shared" si="34"/>
        <v>30</v>
      </c>
      <c r="H453">
        <f t="shared" si="34"/>
        <v>30</v>
      </c>
      <c r="I453">
        <f t="shared" si="34"/>
        <v>30</v>
      </c>
      <c r="J453" s="12" t="s">
        <v>951</v>
      </c>
      <c r="K453" s="14" t="s">
        <v>1060</v>
      </c>
      <c r="L453" s="29"/>
      <c r="M453" s="14">
        <f>INDEX('Pivot Analysis'!A:B,MATCH(J453,'Pivot Analysis'!B:B,0),1)</f>
        <v>30</v>
      </c>
      <c r="N453" s="14" t="e">
        <f>INDEX(Cloc!E:F,MATCH(J453,Cloc!F:F,0),1)</f>
        <v>#N/A</v>
      </c>
      <c r="O453" s="14">
        <f t="shared" ref="O453:O516" si="35">IFERROR(IFERROR(IF(L453&lt;&gt;"",L453,M453),N453),$O$1)</f>
        <v>30</v>
      </c>
      <c r="P453" s="14">
        <f>O453/Q453</f>
        <v>30</v>
      </c>
      <c r="Q453">
        <f>MAX(1,SUMPRODUCT($R$1:$AD$1,R453:AD453))</f>
        <v>1</v>
      </c>
    </row>
    <row r="454" spans="1:26" x14ac:dyDescent="0.25">
      <c r="A454" s="25" t="str">
        <f t="shared" si="32"/>
        <v>pos_restaurant_stripe;base.group_user;33;33;33;33;33;33;33;33</v>
      </c>
      <c r="B454">
        <f t="shared" si="33"/>
        <v>33</v>
      </c>
      <c r="C454">
        <f t="shared" si="34"/>
        <v>33</v>
      </c>
      <c r="D454">
        <f t="shared" si="34"/>
        <v>33</v>
      </c>
      <c r="E454">
        <f t="shared" si="34"/>
        <v>33</v>
      </c>
      <c r="F454">
        <f t="shared" si="34"/>
        <v>33</v>
      </c>
      <c r="G454">
        <f t="shared" si="34"/>
        <v>33</v>
      </c>
      <c r="H454">
        <f t="shared" si="34"/>
        <v>33</v>
      </c>
      <c r="I454">
        <f t="shared" si="34"/>
        <v>33</v>
      </c>
      <c r="J454" s="12" t="s">
        <v>532</v>
      </c>
      <c r="K454" s="14" t="s">
        <v>1060</v>
      </c>
      <c r="L454" s="29"/>
      <c r="M454" s="14">
        <f>INDEX('Pivot Analysis'!A:B,MATCH(J454,'Pivot Analysis'!B:B,0),1)</f>
        <v>33</v>
      </c>
      <c r="N454" s="14" t="e">
        <f>INDEX(Cloc!E:F,MATCH(J454,Cloc!F:F,0),1)</f>
        <v>#N/A</v>
      </c>
      <c r="O454" s="14">
        <f t="shared" si="35"/>
        <v>33</v>
      </c>
      <c r="P454" s="14">
        <f>O454/Q454</f>
        <v>33</v>
      </c>
      <c r="Q454">
        <f>MAX(1,SUMPRODUCT($R$1:$AD$1,R454:AD454))</f>
        <v>1</v>
      </c>
    </row>
    <row r="455" spans="1:26" x14ac:dyDescent="0.25">
      <c r="A455" s="25" t="str">
        <f t="shared" si="32"/>
        <v>pos_sale;base.group_user;0,9;1,8;2,7;3,6;4,5;4,5;4,5;4,5</v>
      </c>
      <c r="B455">
        <f t="shared" si="33"/>
        <v>0.9</v>
      </c>
      <c r="C455">
        <f t="shared" si="34"/>
        <v>1.8</v>
      </c>
      <c r="D455">
        <f t="shared" si="34"/>
        <v>2.7</v>
      </c>
      <c r="E455">
        <f t="shared" si="34"/>
        <v>3.6</v>
      </c>
      <c r="F455">
        <f t="shared" si="34"/>
        <v>4.5</v>
      </c>
      <c r="G455">
        <f t="shared" si="34"/>
        <v>4.5</v>
      </c>
      <c r="H455">
        <f t="shared" si="34"/>
        <v>4.5</v>
      </c>
      <c r="I455">
        <f t="shared" si="34"/>
        <v>4.5</v>
      </c>
      <c r="J455" s="12" t="s">
        <v>533</v>
      </c>
      <c r="K455" s="14" t="s">
        <v>1060</v>
      </c>
      <c r="L455" s="29"/>
      <c r="M455" s="14">
        <f>INDEX('Pivot Analysis'!A:B,MATCH(J455,'Pivot Analysis'!B:B,0),1)</f>
        <v>4.5</v>
      </c>
      <c r="N455" s="14">
        <f>INDEX(Cloc!E:F,MATCH(J455,Cloc!F:F,0),1)</f>
        <v>89.16</v>
      </c>
      <c r="O455" s="14">
        <f t="shared" si="35"/>
        <v>4.5</v>
      </c>
      <c r="P455" s="14">
        <f>O455/Q455</f>
        <v>0.9</v>
      </c>
      <c r="Q455">
        <f>MAX(1,SUMPRODUCT($R$1:$AD$1,R455:AD455))</f>
        <v>5</v>
      </c>
      <c r="X455">
        <v>1</v>
      </c>
      <c r="Y455" t="str">
        <f>IF(SUM(R455:X455)&gt;0,"",VLOOKUP(J455,'Apps-from-odoo'!A:A,1,0))</f>
        <v/>
      </c>
    </row>
    <row r="456" spans="1:26" x14ac:dyDescent="0.25">
      <c r="A456" s="25" t="str">
        <f t="shared" si="32"/>
        <v>pos_sale_loyalty;base.group_user;33;33;33;33;33;33;33;33</v>
      </c>
      <c r="B456">
        <f t="shared" si="33"/>
        <v>33</v>
      </c>
      <c r="C456">
        <f t="shared" si="34"/>
        <v>33</v>
      </c>
      <c r="D456">
        <f t="shared" si="34"/>
        <v>33</v>
      </c>
      <c r="E456">
        <f t="shared" si="34"/>
        <v>33</v>
      </c>
      <c r="F456">
        <f t="shared" si="34"/>
        <v>33</v>
      </c>
      <c r="G456">
        <f t="shared" si="34"/>
        <v>33</v>
      </c>
      <c r="H456">
        <f t="shared" si="34"/>
        <v>33</v>
      </c>
      <c r="I456">
        <f t="shared" si="34"/>
        <v>33</v>
      </c>
      <c r="J456" s="12" t="s">
        <v>534</v>
      </c>
      <c r="K456" s="14" t="s">
        <v>1060</v>
      </c>
      <c r="L456" s="29"/>
      <c r="M456" s="14">
        <f>INDEX('Pivot Analysis'!A:B,MATCH(J456,'Pivot Analysis'!B:B,0),1)</f>
        <v>33</v>
      </c>
      <c r="N456" s="14" t="e">
        <f>INDEX(Cloc!E:F,MATCH(J456,Cloc!F:F,0),1)</f>
        <v>#N/A</v>
      </c>
      <c r="O456" s="14">
        <f t="shared" si="35"/>
        <v>33</v>
      </c>
      <c r="P456" s="14">
        <f>O456/Q456</f>
        <v>33</v>
      </c>
      <c r="Q456">
        <f>MAX(1,SUMPRODUCT($R$1:$AD$1,R456:AD456))</f>
        <v>1</v>
      </c>
    </row>
    <row r="457" spans="1:26" x14ac:dyDescent="0.25">
      <c r="A457" s="25" t="str">
        <f t="shared" ref="A457:A520" si="36">J457&amp;";"&amp;K457&amp;";"&amp;B457&amp;";"&amp;C457&amp;";"&amp;D457&amp;";"&amp;E457&amp;";"&amp;F457&amp;";"&amp;G457&amp;";"&amp;H457&amp;";"&amp;I457</f>
        <v>pos_sale_margin;base.group_user;33;33;33;33;33;33;33;33</v>
      </c>
      <c r="B457">
        <f t="shared" si="33"/>
        <v>33</v>
      </c>
      <c r="C457">
        <f t="shared" si="34"/>
        <v>33</v>
      </c>
      <c r="D457">
        <f t="shared" si="34"/>
        <v>33</v>
      </c>
      <c r="E457">
        <f t="shared" si="34"/>
        <v>33</v>
      </c>
      <c r="F457">
        <f t="shared" si="34"/>
        <v>33</v>
      </c>
      <c r="G457">
        <f t="shared" si="34"/>
        <v>33</v>
      </c>
      <c r="H457">
        <f t="shared" si="34"/>
        <v>33</v>
      </c>
      <c r="I457">
        <f t="shared" si="34"/>
        <v>33</v>
      </c>
      <c r="J457" s="12" t="s">
        <v>535</v>
      </c>
      <c r="K457" s="14" t="s">
        <v>1060</v>
      </c>
      <c r="L457" s="29"/>
      <c r="M457" s="14">
        <f>INDEX('Pivot Analysis'!A:B,MATCH(J457,'Pivot Analysis'!B:B,0),1)</f>
        <v>33</v>
      </c>
      <c r="N457" s="14" t="e">
        <f>INDEX(Cloc!E:F,MATCH(J457,Cloc!F:F,0),1)</f>
        <v>#N/A</v>
      </c>
      <c r="O457" s="14">
        <f t="shared" si="35"/>
        <v>33</v>
      </c>
      <c r="P457" s="14">
        <f>O457/Q457</f>
        <v>33</v>
      </c>
      <c r="Q457">
        <f>MAX(1,SUMPRODUCT($R$1:$AD$1,R457:AD457))</f>
        <v>1</v>
      </c>
    </row>
    <row r="458" spans="1:26" x14ac:dyDescent="0.25">
      <c r="A458" s="25" t="str">
        <f t="shared" si="36"/>
        <v>pos_sale_product_configurator;base.group_user;30;30;30;30;30;30;30;30</v>
      </c>
      <c r="B458">
        <f t="shared" si="33"/>
        <v>30</v>
      </c>
      <c r="C458">
        <f t="shared" si="34"/>
        <v>30</v>
      </c>
      <c r="D458">
        <f t="shared" si="34"/>
        <v>30</v>
      </c>
      <c r="E458">
        <f t="shared" si="34"/>
        <v>30</v>
      </c>
      <c r="F458">
        <f t="shared" si="34"/>
        <v>30</v>
      </c>
      <c r="G458">
        <f t="shared" si="34"/>
        <v>30</v>
      </c>
      <c r="H458">
        <f t="shared" si="34"/>
        <v>30</v>
      </c>
      <c r="I458">
        <f t="shared" si="34"/>
        <v>30</v>
      </c>
      <c r="J458" s="12" t="s">
        <v>536</v>
      </c>
      <c r="K458" s="14" t="s">
        <v>1060</v>
      </c>
      <c r="L458" s="29"/>
      <c r="M458" s="14">
        <f>INDEX('Pivot Analysis'!A:B,MATCH(J458,'Pivot Analysis'!B:B,0),1)</f>
        <v>30</v>
      </c>
      <c r="N458" s="14" t="e">
        <f>INDEX(Cloc!E:F,MATCH(J458,Cloc!F:F,0),1)</f>
        <v>#N/A</v>
      </c>
      <c r="O458" s="14">
        <f t="shared" si="35"/>
        <v>30</v>
      </c>
      <c r="P458" s="14">
        <f>O458/Q458</f>
        <v>30</v>
      </c>
      <c r="Q458">
        <f>MAX(1,SUMPRODUCT($R$1:$AD$1,R458:AD458))</f>
        <v>1</v>
      </c>
    </row>
    <row r="459" spans="1:26" x14ac:dyDescent="0.25">
      <c r="A459" s="25" t="str">
        <f t="shared" si="36"/>
        <v>pos_self_order;base.group_user;49;98;147;147;147;147;147;147</v>
      </c>
      <c r="B459">
        <f t="shared" si="33"/>
        <v>49</v>
      </c>
      <c r="C459">
        <f t="shared" si="33"/>
        <v>98</v>
      </c>
      <c r="D459">
        <f t="shared" si="33"/>
        <v>147</v>
      </c>
      <c r="E459">
        <f t="shared" si="33"/>
        <v>147</v>
      </c>
      <c r="F459">
        <f t="shared" si="33"/>
        <v>147</v>
      </c>
      <c r="G459">
        <f t="shared" si="33"/>
        <v>147</v>
      </c>
      <c r="H459">
        <f t="shared" si="33"/>
        <v>147</v>
      </c>
      <c r="I459">
        <f t="shared" si="33"/>
        <v>147</v>
      </c>
      <c r="J459" s="12" t="s">
        <v>953</v>
      </c>
      <c r="K459" s="14" t="s">
        <v>1060</v>
      </c>
      <c r="L459" s="29">
        <f>49*3</f>
        <v>147</v>
      </c>
      <c r="M459" s="14">
        <f>INDEX('Pivot Analysis'!A:B,MATCH(J459,'Pivot Analysis'!B:B,0),1)</f>
        <v>150</v>
      </c>
      <c r="N459" s="14">
        <f>INDEX(Cloc!E:F,MATCH(J459,Cloc!F:F,0),1)</f>
        <v>380.46</v>
      </c>
      <c r="O459" s="14">
        <f t="shared" si="35"/>
        <v>147</v>
      </c>
      <c r="P459" s="14">
        <f>O459/Q459</f>
        <v>49</v>
      </c>
      <c r="Q459">
        <f>MAX(1,SUMPRODUCT($R$1:$AD$1,R459:AD459))</f>
        <v>3</v>
      </c>
      <c r="Y459">
        <v>1</v>
      </c>
    </row>
    <row r="460" spans="1:26" x14ac:dyDescent="0.25">
      <c r="A460" s="25" t="str">
        <f t="shared" si="36"/>
        <v>pos_self_order_adyen;base.group_user;30;30;30;30;30;30;30;30</v>
      </c>
      <c r="B460">
        <f t="shared" si="33"/>
        <v>30</v>
      </c>
      <c r="C460">
        <f t="shared" si="33"/>
        <v>30</v>
      </c>
      <c r="D460">
        <f t="shared" si="33"/>
        <v>30</v>
      </c>
      <c r="E460">
        <f t="shared" si="33"/>
        <v>30</v>
      </c>
      <c r="F460">
        <f t="shared" si="33"/>
        <v>30</v>
      </c>
      <c r="G460">
        <f t="shared" si="33"/>
        <v>30</v>
      </c>
      <c r="H460">
        <f t="shared" si="33"/>
        <v>30</v>
      </c>
      <c r="I460">
        <f t="shared" si="33"/>
        <v>30</v>
      </c>
      <c r="J460" s="12" t="s">
        <v>955</v>
      </c>
      <c r="K460" s="14" t="s">
        <v>1060</v>
      </c>
      <c r="L460" s="29"/>
      <c r="M460" s="14">
        <f>INDEX('Pivot Analysis'!A:B,MATCH(J460,'Pivot Analysis'!B:B,0),1)</f>
        <v>30</v>
      </c>
      <c r="N460" s="14" t="e">
        <f>INDEX(Cloc!E:F,MATCH(J460,Cloc!F:F,0),1)</f>
        <v>#N/A</v>
      </c>
      <c r="O460" s="14">
        <f t="shared" si="35"/>
        <v>30</v>
      </c>
      <c r="P460" s="14">
        <f>O460/Q460</f>
        <v>30</v>
      </c>
      <c r="Q460">
        <f>MAX(1,SUMPRODUCT($R$1:$AD$1,R460:AD460))</f>
        <v>1</v>
      </c>
    </row>
    <row r="461" spans="1:26" x14ac:dyDescent="0.25">
      <c r="A461" s="25" t="str">
        <f t="shared" si="36"/>
        <v>pos_self_order_epson_printer;base.group_user;10;20;30;30;30;30;30;30</v>
      </c>
      <c r="B461">
        <f t="shared" si="33"/>
        <v>10</v>
      </c>
      <c r="C461">
        <f t="shared" si="33"/>
        <v>20</v>
      </c>
      <c r="D461">
        <f t="shared" si="33"/>
        <v>30</v>
      </c>
      <c r="E461">
        <f t="shared" si="33"/>
        <v>30</v>
      </c>
      <c r="F461">
        <f t="shared" si="33"/>
        <v>30</v>
      </c>
      <c r="G461">
        <f t="shared" si="33"/>
        <v>30</v>
      </c>
      <c r="H461">
        <f t="shared" si="33"/>
        <v>30</v>
      </c>
      <c r="I461">
        <f t="shared" si="33"/>
        <v>30</v>
      </c>
      <c r="J461" s="12" t="s">
        <v>956</v>
      </c>
      <c r="K461" s="14" t="s">
        <v>1060</v>
      </c>
      <c r="L461" s="29"/>
      <c r="M461" s="14">
        <f>INDEX('Pivot Analysis'!A:B,MATCH(J461,'Pivot Analysis'!B:B,0),1)</f>
        <v>30</v>
      </c>
      <c r="N461" s="14">
        <f>INDEX(Cloc!E:F,MATCH(J461,Cloc!F:F,0),1)</f>
        <v>1.44</v>
      </c>
      <c r="O461" s="14">
        <f t="shared" si="35"/>
        <v>30</v>
      </c>
      <c r="P461" s="14">
        <f>O461/Q461</f>
        <v>10</v>
      </c>
      <c r="Q461">
        <f>MAX(1,SUMPRODUCT($R$1:$AD$1,R461:AD461))</f>
        <v>3</v>
      </c>
      <c r="Y461">
        <v>1</v>
      </c>
    </row>
    <row r="462" spans="1:26" x14ac:dyDescent="0.25">
      <c r="A462" s="25" t="str">
        <f t="shared" si="36"/>
        <v>pos_self_order_razorpay;base.group_user;1000;1000;1000;1000;1000;1000;1000;1000</v>
      </c>
      <c r="B462">
        <f t="shared" si="33"/>
        <v>1000</v>
      </c>
      <c r="C462">
        <f t="shared" si="33"/>
        <v>1000</v>
      </c>
      <c r="D462">
        <f t="shared" si="33"/>
        <v>1000</v>
      </c>
      <c r="E462">
        <f t="shared" si="33"/>
        <v>1000</v>
      </c>
      <c r="F462">
        <f t="shared" si="33"/>
        <v>1000</v>
      </c>
      <c r="G462">
        <f t="shared" si="33"/>
        <v>1000</v>
      </c>
      <c r="H462">
        <f t="shared" si="33"/>
        <v>1000</v>
      </c>
      <c r="I462">
        <f t="shared" si="33"/>
        <v>1000</v>
      </c>
      <c r="J462" s="14" t="s">
        <v>1102</v>
      </c>
      <c r="K462" s="14" t="s">
        <v>1060</v>
      </c>
      <c r="L462" s="29"/>
      <c r="M462" s="14" t="e">
        <f>INDEX('Pivot Analysis'!A:B,MATCH(J462,'Pivot Analysis'!B:B,0),1)</f>
        <v>#N/A</v>
      </c>
      <c r="N462" s="14" t="e">
        <f>INDEX(Cloc!E:F,MATCH(J462,Cloc!F:F,0),1)</f>
        <v>#N/A</v>
      </c>
      <c r="O462" s="14">
        <f t="shared" si="35"/>
        <v>1000</v>
      </c>
      <c r="P462" s="14">
        <f>O462/Q462</f>
        <v>1000</v>
      </c>
      <c r="Q462">
        <f>MAX(1,SUMPRODUCT($R$1:$AD$1,R462:AD462))</f>
        <v>1</v>
      </c>
      <c r="Z462">
        <v>1</v>
      </c>
    </row>
    <row r="463" spans="1:26" x14ac:dyDescent="0.25">
      <c r="A463" s="25" t="str">
        <f t="shared" si="36"/>
        <v>pos_self_order_sale;base.group_user;10;20;30;30;30;30;30;30</v>
      </c>
      <c r="B463">
        <f t="shared" si="33"/>
        <v>10</v>
      </c>
      <c r="C463">
        <f t="shared" si="33"/>
        <v>20</v>
      </c>
      <c r="D463">
        <f t="shared" si="33"/>
        <v>30</v>
      </c>
      <c r="E463">
        <f t="shared" si="33"/>
        <v>30</v>
      </c>
      <c r="F463">
        <f t="shared" si="33"/>
        <v>30</v>
      </c>
      <c r="G463">
        <f t="shared" si="33"/>
        <v>30</v>
      </c>
      <c r="H463">
        <f t="shared" si="33"/>
        <v>30</v>
      </c>
      <c r="I463">
        <f t="shared" si="33"/>
        <v>30</v>
      </c>
      <c r="J463" s="12" t="s">
        <v>957</v>
      </c>
      <c r="K463" s="14" t="s">
        <v>1060</v>
      </c>
      <c r="L463" s="29"/>
      <c r="M463" s="14">
        <f>INDEX('Pivot Analysis'!A:B,MATCH(J463,'Pivot Analysis'!B:B,0),1)</f>
        <v>30</v>
      </c>
      <c r="N463" s="14">
        <f>INDEX(Cloc!E:F,MATCH(J463,Cloc!F:F,0),1)</f>
        <v>5.22</v>
      </c>
      <c r="O463" s="14">
        <f t="shared" si="35"/>
        <v>30</v>
      </c>
      <c r="P463" s="14">
        <f>O463/Q463</f>
        <v>10</v>
      </c>
      <c r="Q463">
        <f>MAX(1,SUMPRODUCT($R$1:$AD$1,R463:AD463))</f>
        <v>3</v>
      </c>
      <c r="Y463">
        <v>1</v>
      </c>
    </row>
    <row r="464" spans="1:26" x14ac:dyDescent="0.25">
      <c r="A464" s="25" t="str">
        <f t="shared" si="36"/>
        <v>pos_self_order_stripe;base.group_user;30;30;30;30;30;30;30;30</v>
      </c>
      <c r="B464">
        <f t="shared" si="33"/>
        <v>30</v>
      </c>
      <c r="C464">
        <f t="shared" si="33"/>
        <v>30</v>
      </c>
      <c r="D464">
        <f t="shared" si="33"/>
        <v>30</v>
      </c>
      <c r="E464">
        <f t="shared" si="33"/>
        <v>30</v>
      </c>
      <c r="F464">
        <f t="shared" si="33"/>
        <v>30</v>
      </c>
      <c r="G464">
        <f t="shared" si="33"/>
        <v>30</v>
      </c>
      <c r="H464">
        <f t="shared" si="33"/>
        <v>30</v>
      </c>
      <c r="I464">
        <f t="shared" si="33"/>
        <v>30</v>
      </c>
      <c r="J464" s="12" t="s">
        <v>958</v>
      </c>
      <c r="K464" s="14" t="s">
        <v>1060</v>
      </c>
      <c r="L464" s="29"/>
      <c r="M464" s="14">
        <f>INDEX('Pivot Analysis'!A:B,MATCH(J464,'Pivot Analysis'!B:B,0),1)</f>
        <v>30</v>
      </c>
      <c r="N464" s="14" t="e">
        <f>INDEX(Cloc!E:F,MATCH(J464,Cloc!F:F,0),1)</f>
        <v>#N/A</v>
      </c>
      <c r="O464" s="14">
        <f t="shared" si="35"/>
        <v>30</v>
      </c>
      <c r="P464" s="14">
        <f>O464/Q464</f>
        <v>30</v>
      </c>
      <c r="Q464">
        <f>MAX(1,SUMPRODUCT($R$1:$AD$1,R464:AD464))</f>
        <v>1</v>
      </c>
    </row>
    <row r="465" spans="1:28" x14ac:dyDescent="0.25">
      <c r="A465" s="25" t="str">
        <f t="shared" si="36"/>
        <v>pos_six;base.group_user;0;0;0;0;0;0;0;0</v>
      </c>
      <c r="B465">
        <f t="shared" si="33"/>
        <v>0</v>
      </c>
      <c r="C465">
        <f t="shared" si="33"/>
        <v>0</v>
      </c>
      <c r="D465">
        <f t="shared" si="33"/>
        <v>0</v>
      </c>
      <c r="E465">
        <f t="shared" si="33"/>
        <v>0</v>
      </c>
      <c r="F465">
        <f t="shared" si="33"/>
        <v>0</v>
      </c>
      <c r="G465">
        <f t="shared" si="33"/>
        <v>0</v>
      </c>
      <c r="H465">
        <f t="shared" si="33"/>
        <v>0</v>
      </c>
      <c r="I465">
        <f t="shared" si="33"/>
        <v>0</v>
      </c>
      <c r="J465" s="12" t="s">
        <v>537</v>
      </c>
      <c r="K465" s="14" t="s">
        <v>1060</v>
      </c>
      <c r="L465" s="29"/>
      <c r="M465" s="14">
        <f>INDEX('Pivot Analysis'!A:B,MATCH(J465,'Pivot Analysis'!B:B,0),1)</f>
        <v>0</v>
      </c>
      <c r="N465" s="14" t="e">
        <f>INDEX(Cloc!E:F,MATCH(J465,Cloc!F:F,0),1)</f>
        <v>#N/A</v>
      </c>
      <c r="O465" s="14">
        <f t="shared" si="35"/>
        <v>0</v>
      </c>
      <c r="P465" s="14">
        <f>O465/Q465</f>
        <v>0</v>
      </c>
      <c r="Q465">
        <f>MAX(1,SUMPRODUCT($R$1:$AD$1,R465:AD465))</f>
        <v>1</v>
      </c>
    </row>
    <row r="466" spans="1:28" x14ac:dyDescent="0.25">
      <c r="A466" s="25" t="str">
        <f t="shared" si="36"/>
        <v>pos_sms;base.group_user;1,32;2,64;3,96;5,28;6,6;6,6;6,6;6,6</v>
      </c>
      <c r="B466">
        <f t="shared" si="33"/>
        <v>1.32</v>
      </c>
      <c r="C466">
        <f t="shared" si="33"/>
        <v>2.64</v>
      </c>
      <c r="D466">
        <f t="shared" si="33"/>
        <v>3.96</v>
      </c>
      <c r="E466">
        <f t="shared" si="33"/>
        <v>5.28</v>
      </c>
      <c r="F466">
        <f t="shared" si="33"/>
        <v>6.6000000000000005</v>
      </c>
      <c r="G466">
        <f t="shared" si="33"/>
        <v>6.6000000000000005</v>
      </c>
      <c r="H466">
        <f t="shared" si="33"/>
        <v>6.6000000000000005</v>
      </c>
      <c r="I466">
        <f t="shared" si="33"/>
        <v>6.6000000000000005</v>
      </c>
      <c r="J466" s="14" t="s">
        <v>1052</v>
      </c>
      <c r="K466" s="14" t="s">
        <v>1060</v>
      </c>
      <c r="L466" s="29"/>
      <c r="M466" s="14" t="e">
        <f>INDEX('Pivot Analysis'!A:B,MATCH(J466,'Pivot Analysis'!B:B,0),1)</f>
        <v>#N/A</v>
      </c>
      <c r="N466" s="14">
        <f>INDEX(Cloc!E:F,MATCH(J466,Cloc!F:F,0),1)</f>
        <v>6.6000000000000005</v>
      </c>
      <c r="O466" s="14">
        <f t="shared" si="35"/>
        <v>6.6000000000000005</v>
      </c>
      <c r="P466" s="14">
        <f>O466/Q466</f>
        <v>1.32</v>
      </c>
      <c r="Q466">
        <f>MAX(1,SUMPRODUCT($R$1:$AD$1,R466:AD466))</f>
        <v>5</v>
      </c>
      <c r="X466">
        <v>1</v>
      </c>
      <c r="Y466" t="str">
        <f>IF(SUM(R466:X466)&gt;0,"",VLOOKUP(J466,'Apps-from-odoo'!A:A,1,0))</f>
        <v/>
      </c>
    </row>
    <row r="467" spans="1:28" x14ac:dyDescent="0.25">
      <c r="A467" s="25" t="str">
        <f t="shared" si="36"/>
        <v>pos_stripe;base.group_user;0;0;0;0;0;0;0;0</v>
      </c>
      <c r="B467">
        <f t="shared" si="33"/>
        <v>0</v>
      </c>
      <c r="C467">
        <f t="shared" si="33"/>
        <v>0</v>
      </c>
      <c r="D467">
        <f t="shared" si="33"/>
        <v>0</v>
      </c>
      <c r="E467">
        <f t="shared" si="33"/>
        <v>0</v>
      </c>
      <c r="F467">
        <f t="shared" si="33"/>
        <v>0</v>
      </c>
      <c r="G467">
        <f t="shared" si="33"/>
        <v>0</v>
      </c>
      <c r="H467">
        <f t="shared" si="33"/>
        <v>0</v>
      </c>
      <c r="I467">
        <f t="shared" si="33"/>
        <v>0</v>
      </c>
      <c r="J467" s="12" t="s">
        <v>538</v>
      </c>
      <c r="K467" s="14" t="s">
        <v>1060</v>
      </c>
      <c r="L467" s="29"/>
      <c r="M467" s="14">
        <f>INDEX('Pivot Analysis'!A:B,MATCH(J467,'Pivot Analysis'!B:B,0),1)</f>
        <v>0</v>
      </c>
      <c r="N467" s="14" t="e">
        <f>INDEX(Cloc!E:F,MATCH(J467,Cloc!F:F,0),1)</f>
        <v>#N/A</v>
      </c>
      <c r="O467" s="14">
        <f t="shared" si="35"/>
        <v>0</v>
      </c>
      <c r="P467" s="14">
        <f>O467/Q467</f>
        <v>0</v>
      </c>
      <c r="Q467">
        <f>MAX(1,SUMPRODUCT($R$1:$AD$1,R467:AD467))</f>
        <v>1</v>
      </c>
    </row>
    <row r="468" spans="1:28" x14ac:dyDescent="0.25">
      <c r="A468" s="25" t="str">
        <f t="shared" si="36"/>
        <v>pos_viva_wallet;base.group_user;0;0;0;0;0;0;0;0</v>
      </c>
      <c r="B468">
        <f t="shared" si="33"/>
        <v>0</v>
      </c>
      <c r="C468">
        <f t="shared" si="33"/>
        <v>0</v>
      </c>
      <c r="D468">
        <f t="shared" si="33"/>
        <v>0</v>
      </c>
      <c r="E468">
        <f t="shared" si="33"/>
        <v>0</v>
      </c>
      <c r="F468">
        <f t="shared" si="33"/>
        <v>0</v>
      </c>
      <c r="G468">
        <f t="shared" si="33"/>
        <v>0</v>
      </c>
      <c r="H468">
        <f t="shared" si="33"/>
        <v>0</v>
      </c>
      <c r="I468">
        <f t="shared" si="33"/>
        <v>0</v>
      </c>
      <c r="J468" s="12" t="s">
        <v>959</v>
      </c>
      <c r="K468" s="14" t="s">
        <v>1060</v>
      </c>
      <c r="L468" s="29"/>
      <c r="M468" s="14">
        <f>INDEX('Pivot Analysis'!A:B,MATCH(J468,'Pivot Analysis'!B:B,0),1)</f>
        <v>0</v>
      </c>
      <c r="N468" s="14" t="e">
        <f>INDEX(Cloc!E:F,MATCH(J468,Cloc!F:F,0),1)</f>
        <v>#N/A</v>
      </c>
      <c r="O468" s="14">
        <f t="shared" si="35"/>
        <v>0</v>
      </c>
      <c r="P468" s="14">
        <f>O468/Q468</f>
        <v>0</v>
      </c>
      <c r="Q468">
        <f>MAX(1,SUMPRODUCT($R$1:$AD$1,R468:AD468))</f>
        <v>1</v>
      </c>
    </row>
    <row r="469" spans="1:28" x14ac:dyDescent="0.25">
      <c r="A469" s="25" t="str">
        <f t="shared" si="36"/>
        <v>privacy_lookup;base.group_user;0;0;0;0;0;0;0;0</v>
      </c>
      <c r="B469">
        <f t="shared" ref="B469:I532" si="37">$P469*MIN($Q469,B$3)</f>
        <v>0</v>
      </c>
      <c r="C469">
        <f t="shared" si="37"/>
        <v>0</v>
      </c>
      <c r="D469">
        <f t="shared" si="37"/>
        <v>0</v>
      </c>
      <c r="E469">
        <f t="shared" si="37"/>
        <v>0</v>
      </c>
      <c r="F469">
        <f t="shared" si="37"/>
        <v>0</v>
      </c>
      <c r="G469">
        <f t="shared" si="37"/>
        <v>0</v>
      </c>
      <c r="H469">
        <f t="shared" si="37"/>
        <v>0</v>
      </c>
      <c r="I469">
        <f t="shared" si="37"/>
        <v>0</v>
      </c>
      <c r="J469" s="12" t="s">
        <v>539</v>
      </c>
      <c r="K469" s="14" t="s">
        <v>1060</v>
      </c>
      <c r="L469" s="29"/>
      <c r="M469" s="14">
        <f>INDEX('Pivot Analysis'!A:B,MATCH(J469,'Pivot Analysis'!B:B,0),1)</f>
        <v>0</v>
      </c>
      <c r="N469" s="14">
        <f>INDEX(Cloc!E:F,MATCH(J469,Cloc!F:F,0),1)</f>
        <v>36.72</v>
      </c>
      <c r="O469" s="14">
        <f t="shared" si="35"/>
        <v>0</v>
      </c>
      <c r="P469" s="14">
        <f>O469/Q469</f>
        <v>0</v>
      </c>
      <c r="Q469">
        <f>MAX(1,SUMPRODUCT($R$1:$AD$1,R469:AD469))</f>
        <v>10</v>
      </c>
      <c r="S469">
        <v>1</v>
      </c>
      <c r="X469" t="str">
        <f>IF(SUM(R469:W469)=0,VLOOKUP(J469,#REF!,1,0),"")</f>
        <v/>
      </c>
      <c r="Y469" t="str">
        <f>IF(SUM(R469:X469)&gt;0,"",VLOOKUP(J469,'Apps-from-odoo'!A:A,1,0))</f>
        <v/>
      </c>
    </row>
    <row r="470" spans="1:28" x14ac:dyDescent="0.25">
      <c r="A470" s="25" t="str">
        <f t="shared" si="36"/>
        <v>product;base.group_user;7,41;14,82;22,23;29,64;37,05;44,46;51,87;59,28</v>
      </c>
      <c r="B470">
        <f t="shared" si="37"/>
        <v>7.410000000000001</v>
      </c>
      <c r="C470">
        <f t="shared" si="37"/>
        <v>14.820000000000002</v>
      </c>
      <c r="D470">
        <f t="shared" si="37"/>
        <v>22.230000000000004</v>
      </c>
      <c r="E470">
        <f t="shared" si="37"/>
        <v>29.640000000000004</v>
      </c>
      <c r="F470">
        <f t="shared" si="37"/>
        <v>37.050000000000004</v>
      </c>
      <c r="G470">
        <f t="shared" si="37"/>
        <v>44.460000000000008</v>
      </c>
      <c r="H470">
        <f t="shared" si="37"/>
        <v>51.870000000000005</v>
      </c>
      <c r="I470">
        <f t="shared" si="37"/>
        <v>59.280000000000008</v>
      </c>
      <c r="J470" s="12" t="s">
        <v>540</v>
      </c>
      <c r="K470" s="14" t="s">
        <v>1060</v>
      </c>
      <c r="L470" s="29"/>
      <c r="M470" s="14">
        <f>INDEX('Pivot Analysis'!A:B,MATCH(J470,'Pivot Analysis'!B:B,0),1)</f>
        <v>74.100000000000009</v>
      </c>
      <c r="N470" s="14">
        <f>INDEX(Cloc!E:F,MATCH(J470,Cloc!F:F,0),1)</f>
        <v>588.29999999999995</v>
      </c>
      <c r="O470" s="14">
        <f t="shared" si="35"/>
        <v>74.100000000000009</v>
      </c>
      <c r="P470" s="14">
        <f>O470/Q470</f>
        <v>7.410000000000001</v>
      </c>
      <c r="Q470">
        <f>MAX(1,SUMPRODUCT($R$1:$AD$1,R470:AD470))</f>
        <v>10</v>
      </c>
      <c r="T470">
        <v>1</v>
      </c>
      <c r="X470" t="str">
        <f>IF(SUM(R470:W470)=0,VLOOKUP(J470,#REF!,1,0),"")</f>
        <v/>
      </c>
      <c r="Y470" t="str">
        <f>IF(SUM(R470:X470)&gt;0,"",VLOOKUP(J470,'Apps-from-odoo'!A:A,1,0))</f>
        <v/>
      </c>
    </row>
    <row r="471" spans="1:28" x14ac:dyDescent="0.25">
      <c r="A471" s="25" t="str">
        <f t="shared" si="36"/>
        <v>product_email_template;base.group_user;0;0;0;0;0;0;0;0</v>
      </c>
      <c r="B471">
        <f t="shared" si="37"/>
        <v>0</v>
      </c>
      <c r="C471">
        <f t="shared" si="37"/>
        <v>0</v>
      </c>
      <c r="D471">
        <f t="shared" si="37"/>
        <v>0</v>
      </c>
      <c r="E471">
        <f t="shared" si="37"/>
        <v>0</v>
      </c>
      <c r="F471">
        <f t="shared" si="37"/>
        <v>0</v>
      </c>
      <c r="G471">
        <f t="shared" si="37"/>
        <v>0</v>
      </c>
      <c r="H471">
        <f t="shared" si="37"/>
        <v>0</v>
      </c>
      <c r="I471">
        <f t="shared" si="37"/>
        <v>0</v>
      </c>
      <c r="J471" s="12" t="s">
        <v>542</v>
      </c>
      <c r="K471" s="14" t="s">
        <v>1060</v>
      </c>
      <c r="L471" s="29"/>
      <c r="M471" s="14">
        <f>INDEX('Pivot Analysis'!A:B,MATCH(J471,'Pivot Analysis'!B:B,0),1)</f>
        <v>0</v>
      </c>
      <c r="N471" s="14" t="e">
        <f>INDEX(Cloc!E:F,MATCH(J471,Cloc!F:F,0),1)</f>
        <v>#N/A</v>
      </c>
      <c r="O471" s="14">
        <f t="shared" si="35"/>
        <v>0</v>
      </c>
      <c r="P471" s="14">
        <f>O471/Q471</f>
        <v>0</v>
      </c>
      <c r="Q471">
        <f>MAX(1,SUMPRODUCT($R$1:$AD$1,R471:AD471))</f>
        <v>1</v>
      </c>
    </row>
    <row r="472" spans="1:28" x14ac:dyDescent="0.25">
      <c r="A472" s="25" t="str">
        <f t="shared" si="36"/>
        <v>product_expiry;base.group_user;3;3;3;3;3;3;3;3</v>
      </c>
      <c r="B472">
        <f t="shared" si="37"/>
        <v>3</v>
      </c>
      <c r="C472">
        <f t="shared" si="37"/>
        <v>3</v>
      </c>
      <c r="D472">
        <f t="shared" si="37"/>
        <v>3</v>
      </c>
      <c r="E472">
        <f t="shared" si="37"/>
        <v>3</v>
      </c>
      <c r="F472">
        <f t="shared" si="37"/>
        <v>3</v>
      </c>
      <c r="G472">
        <f t="shared" si="37"/>
        <v>3</v>
      </c>
      <c r="H472">
        <f t="shared" si="37"/>
        <v>3</v>
      </c>
      <c r="I472">
        <f t="shared" si="37"/>
        <v>3</v>
      </c>
      <c r="J472" s="12" t="s">
        <v>543</v>
      </c>
      <c r="K472" s="14" t="s">
        <v>1060</v>
      </c>
      <c r="L472" s="29"/>
      <c r="M472" s="14">
        <f>INDEX('Pivot Analysis'!A:B,MATCH(J472,'Pivot Analysis'!B:B,0),1)</f>
        <v>3</v>
      </c>
      <c r="N472" s="14" t="e">
        <f>INDEX(Cloc!E:F,MATCH(J472,Cloc!F:F,0),1)</f>
        <v>#N/A</v>
      </c>
      <c r="O472" s="14">
        <f t="shared" si="35"/>
        <v>3</v>
      </c>
      <c r="P472" s="14">
        <f>O472/Q472</f>
        <v>3</v>
      </c>
      <c r="Q472">
        <f>MAX(1,SUMPRODUCT($R$1:$AD$1,R472:AD472))</f>
        <v>1</v>
      </c>
    </row>
    <row r="473" spans="1:28" x14ac:dyDescent="0.25">
      <c r="A473" s="25" t="str">
        <f t="shared" si="36"/>
        <v>product_images;base.group_user;0;0;0;0;0;0;0;0</v>
      </c>
      <c r="B473">
        <f t="shared" si="37"/>
        <v>0</v>
      </c>
      <c r="C473">
        <f t="shared" si="37"/>
        <v>0</v>
      </c>
      <c r="D473">
        <f t="shared" si="37"/>
        <v>0</v>
      </c>
      <c r="E473">
        <f t="shared" si="37"/>
        <v>0</v>
      </c>
      <c r="F473">
        <f t="shared" si="37"/>
        <v>0</v>
      </c>
      <c r="G473">
        <f t="shared" si="37"/>
        <v>0</v>
      </c>
      <c r="H473">
        <f t="shared" si="37"/>
        <v>0</v>
      </c>
      <c r="I473">
        <f t="shared" si="37"/>
        <v>0</v>
      </c>
      <c r="J473" s="12" t="s">
        <v>544</v>
      </c>
      <c r="K473" s="14" t="s">
        <v>1060</v>
      </c>
      <c r="L473" s="29"/>
      <c r="M473" s="14">
        <f>INDEX('Pivot Analysis'!A:B,MATCH(J473,'Pivot Analysis'!B:B,0),1)</f>
        <v>0</v>
      </c>
      <c r="N473" s="14" t="e">
        <f>INDEX(Cloc!E:F,MATCH(J473,Cloc!F:F,0),1)</f>
        <v>#N/A</v>
      </c>
      <c r="O473" s="14">
        <f t="shared" si="35"/>
        <v>0</v>
      </c>
      <c r="P473" s="14">
        <f>O473/Q473</f>
        <v>0</v>
      </c>
      <c r="Q473">
        <f>MAX(1,SUMPRODUCT($R$1:$AD$1,R473:AD473))</f>
        <v>1</v>
      </c>
    </row>
    <row r="474" spans="1:28" x14ac:dyDescent="0.25">
      <c r="A474" s="25" t="str">
        <f t="shared" si="36"/>
        <v>product_margin;base.group_user;0;0;0;0;0;0;0;0</v>
      </c>
      <c r="B474">
        <f t="shared" si="37"/>
        <v>0</v>
      </c>
      <c r="C474">
        <f t="shared" si="37"/>
        <v>0</v>
      </c>
      <c r="D474">
        <f t="shared" si="37"/>
        <v>0</v>
      </c>
      <c r="E474">
        <f t="shared" si="37"/>
        <v>0</v>
      </c>
      <c r="F474">
        <f t="shared" si="37"/>
        <v>0</v>
      </c>
      <c r="G474">
        <f t="shared" si="37"/>
        <v>0</v>
      </c>
      <c r="H474">
        <f t="shared" si="37"/>
        <v>0</v>
      </c>
      <c r="I474">
        <f t="shared" si="37"/>
        <v>0</v>
      </c>
      <c r="J474" s="12" t="s">
        <v>545</v>
      </c>
      <c r="K474" s="14" t="s">
        <v>1060</v>
      </c>
      <c r="L474" s="29"/>
      <c r="M474" s="14">
        <f>INDEX('Pivot Analysis'!A:B,MATCH(J474,'Pivot Analysis'!B:B,0),1)</f>
        <v>0</v>
      </c>
      <c r="N474" s="14" t="e">
        <f>INDEX(Cloc!E:F,MATCH(J474,Cloc!F:F,0),1)</f>
        <v>#N/A</v>
      </c>
      <c r="O474" s="14">
        <f t="shared" si="35"/>
        <v>0</v>
      </c>
      <c r="P474" s="14">
        <f>O474/Q474</f>
        <v>0</v>
      </c>
      <c r="Q474">
        <f>MAX(1,SUMPRODUCT($R$1:$AD$1,R474:AD474))</f>
        <v>1</v>
      </c>
    </row>
    <row r="475" spans="1:28" x14ac:dyDescent="0.25">
      <c r="A475" s="25" t="str">
        <f t="shared" si="36"/>
        <v>product_matrix;base.group_user;3;3;3;3;3;3;3;3</v>
      </c>
      <c r="B475">
        <f t="shared" si="37"/>
        <v>3</v>
      </c>
      <c r="C475">
        <f t="shared" si="37"/>
        <v>3</v>
      </c>
      <c r="D475">
        <f t="shared" si="37"/>
        <v>3</v>
      </c>
      <c r="E475">
        <f t="shared" si="37"/>
        <v>3</v>
      </c>
      <c r="F475">
        <f t="shared" si="37"/>
        <v>3</v>
      </c>
      <c r="G475">
        <f t="shared" si="37"/>
        <v>3</v>
      </c>
      <c r="H475">
        <f t="shared" si="37"/>
        <v>3</v>
      </c>
      <c r="I475">
        <f t="shared" si="37"/>
        <v>3</v>
      </c>
      <c r="J475" s="12" t="s">
        <v>546</v>
      </c>
      <c r="K475" s="14" t="s">
        <v>1060</v>
      </c>
      <c r="L475" s="29"/>
      <c r="M475" s="14">
        <f>INDEX('Pivot Analysis'!A:B,MATCH(J475,'Pivot Analysis'!B:B,0),1)</f>
        <v>3</v>
      </c>
      <c r="N475" s="14" t="e">
        <f>INDEX(Cloc!E:F,MATCH(J475,Cloc!F:F,0),1)</f>
        <v>#N/A</v>
      </c>
      <c r="O475" s="14">
        <f t="shared" si="35"/>
        <v>3</v>
      </c>
      <c r="P475" s="14">
        <f>O475/Q475</f>
        <v>3</v>
      </c>
      <c r="Q475">
        <f>MAX(1,SUMPRODUCT($R$1:$AD$1,R475:AD475))</f>
        <v>1</v>
      </c>
    </row>
    <row r="476" spans="1:28" x14ac:dyDescent="0.25">
      <c r="A476" s="25" t="str">
        <f t="shared" si="36"/>
        <v>product_unique_code;base.group_user;1000;1000;1000;1000;1000;1000;1000;1000</v>
      </c>
      <c r="B476">
        <f t="shared" si="37"/>
        <v>1000</v>
      </c>
      <c r="C476">
        <f t="shared" si="37"/>
        <v>1000</v>
      </c>
      <c r="D476">
        <f t="shared" si="37"/>
        <v>1000</v>
      </c>
      <c r="E476">
        <f t="shared" si="37"/>
        <v>1000</v>
      </c>
      <c r="F476">
        <f t="shared" si="37"/>
        <v>1000</v>
      </c>
      <c r="G476">
        <f t="shared" si="37"/>
        <v>1000</v>
      </c>
      <c r="H476">
        <f t="shared" si="37"/>
        <v>1000</v>
      </c>
      <c r="I476">
        <f t="shared" si="37"/>
        <v>1000</v>
      </c>
      <c r="J476" s="14" t="s">
        <v>1147</v>
      </c>
      <c r="K476" s="14" t="s">
        <v>1060</v>
      </c>
      <c r="L476" s="29"/>
      <c r="M476" s="14" t="e">
        <f>INDEX('Pivot Analysis'!A:B,MATCH(J476,'Pivot Analysis'!B:B,0),1)</f>
        <v>#N/A</v>
      </c>
      <c r="N476" s="14" t="e">
        <f>INDEX(Cloc!E:F,MATCH(J476,Cloc!F:F,0),1)</f>
        <v>#N/A</v>
      </c>
      <c r="O476" s="14">
        <f t="shared" si="35"/>
        <v>1000</v>
      </c>
      <c r="P476" s="14">
        <f>O476/Q476</f>
        <v>1000</v>
      </c>
      <c r="Q476">
        <f>MAX(1,SUMPRODUCT($R$1:$AD$1,R476:AD476))</f>
        <v>1</v>
      </c>
      <c r="AB476">
        <v>1</v>
      </c>
    </row>
    <row r="477" spans="1:28" x14ac:dyDescent="0.25">
      <c r="A477" s="25" t="str">
        <f t="shared" si="36"/>
        <v>project;base.group_user;3,54;7,08;10,62;14,16;17,7;17,7;17,7;17,7</v>
      </c>
      <c r="B477">
        <f t="shared" si="37"/>
        <v>3.54</v>
      </c>
      <c r="C477">
        <f t="shared" si="37"/>
        <v>7.08</v>
      </c>
      <c r="D477">
        <f t="shared" si="37"/>
        <v>10.620000000000001</v>
      </c>
      <c r="E477">
        <f t="shared" si="37"/>
        <v>14.16</v>
      </c>
      <c r="F477">
        <f t="shared" si="37"/>
        <v>17.7</v>
      </c>
      <c r="G477">
        <f t="shared" si="37"/>
        <v>17.7</v>
      </c>
      <c r="H477">
        <f t="shared" si="37"/>
        <v>17.7</v>
      </c>
      <c r="I477">
        <f t="shared" si="37"/>
        <v>17.7</v>
      </c>
      <c r="J477" s="12" t="s">
        <v>547</v>
      </c>
      <c r="K477" s="14" t="s">
        <v>1060</v>
      </c>
      <c r="L477" s="29"/>
      <c r="M477" s="14">
        <f>INDEX('Pivot Analysis'!A:B,MATCH(J477,'Pivot Analysis'!B:B,0),1)</f>
        <v>17.7</v>
      </c>
      <c r="N477" s="14">
        <f>INDEX(Cloc!E:F,MATCH(J477,Cloc!F:F,0),1)</f>
        <v>962.22</v>
      </c>
      <c r="O477" s="14">
        <f t="shared" si="35"/>
        <v>17.7</v>
      </c>
      <c r="P477" s="14">
        <f>O477/Q477</f>
        <v>3.54</v>
      </c>
      <c r="Q477">
        <f>MAX(1,SUMPRODUCT($R$1:$AD$1,R477:AD477))</f>
        <v>5</v>
      </c>
      <c r="X477">
        <v>1</v>
      </c>
      <c r="Y477" t="str">
        <f>IF(SUM(R477:X477)&gt;0,"",VLOOKUP(J477,'Apps-from-odoo'!A:A,1,0))</f>
        <v/>
      </c>
    </row>
    <row r="478" spans="1:28" x14ac:dyDescent="0.25">
      <c r="A478" s="25" t="str">
        <f t="shared" si="36"/>
        <v>project_account;base.group_user;6;12;18;24;30;30;30;30</v>
      </c>
      <c r="B478">
        <f t="shared" si="37"/>
        <v>6</v>
      </c>
      <c r="C478">
        <f t="shared" si="37"/>
        <v>12</v>
      </c>
      <c r="D478">
        <f t="shared" si="37"/>
        <v>18</v>
      </c>
      <c r="E478">
        <f t="shared" si="37"/>
        <v>24</v>
      </c>
      <c r="F478">
        <f t="shared" si="37"/>
        <v>30</v>
      </c>
      <c r="G478">
        <f t="shared" si="37"/>
        <v>30</v>
      </c>
      <c r="H478">
        <f t="shared" si="37"/>
        <v>30</v>
      </c>
      <c r="I478">
        <f t="shared" si="37"/>
        <v>30</v>
      </c>
      <c r="J478" s="12" t="s">
        <v>964</v>
      </c>
      <c r="K478" s="14" t="s">
        <v>1060</v>
      </c>
      <c r="L478" s="29"/>
      <c r="M478" s="14">
        <f>INDEX('Pivot Analysis'!A:B,MATCH(J478,'Pivot Analysis'!B:B,0),1)</f>
        <v>30</v>
      </c>
      <c r="N478" s="14">
        <f>INDEX(Cloc!E:F,MATCH(J478,Cloc!F:F,0),1)</f>
        <v>19.200000000000003</v>
      </c>
      <c r="O478" s="14">
        <f t="shared" si="35"/>
        <v>30</v>
      </c>
      <c r="P478" s="14">
        <f>O478/Q478</f>
        <v>6</v>
      </c>
      <c r="Q478">
        <f>MAX(1,SUMPRODUCT($R$1:$AD$1,R478:AD478))</f>
        <v>5</v>
      </c>
      <c r="X478">
        <v>1</v>
      </c>
      <c r="Y478" t="str">
        <f>IF(SUM(R478:X478)&gt;0,"",VLOOKUP(J478,'Apps-from-odoo'!A:A,1,0))</f>
        <v/>
      </c>
    </row>
    <row r="479" spans="1:28" x14ac:dyDescent="0.25">
      <c r="A479" s="25" t="str">
        <f t="shared" si="36"/>
        <v>project_hr_expense;base.group_user;0,6;1,2;1,8;2,4;3;3;3;3</v>
      </c>
      <c r="B479">
        <f t="shared" si="37"/>
        <v>0.6</v>
      </c>
      <c r="C479">
        <f t="shared" si="37"/>
        <v>1.2</v>
      </c>
      <c r="D479">
        <f t="shared" si="37"/>
        <v>1.7999999999999998</v>
      </c>
      <c r="E479">
        <f t="shared" si="37"/>
        <v>2.4</v>
      </c>
      <c r="F479">
        <f t="shared" si="37"/>
        <v>3</v>
      </c>
      <c r="G479">
        <f t="shared" si="37"/>
        <v>3</v>
      </c>
      <c r="H479">
        <f t="shared" si="37"/>
        <v>3</v>
      </c>
      <c r="I479">
        <f t="shared" si="37"/>
        <v>3</v>
      </c>
      <c r="J479" s="12" t="s">
        <v>549</v>
      </c>
      <c r="K479" s="14" t="s">
        <v>1060</v>
      </c>
      <c r="L479" s="29"/>
      <c r="M479" s="14">
        <f>INDEX('Pivot Analysis'!A:B,MATCH(J479,'Pivot Analysis'!B:B,0),1)</f>
        <v>3</v>
      </c>
      <c r="N479" s="14">
        <f>INDEX(Cloc!E:F,MATCH(J479,Cloc!F:F,0),1)</f>
        <v>10.02</v>
      </c>
      <c r="O479" s="14">
        <f t="shared" si="35"/>
        <v>3</v>
      </c>
      <c r="P479" s="14">
        <f>O479/Q479</f>
        <v>0.6</v>
      </c>
      <c r="Q479">
        <f>MAX(1,SUMPRODUCT($R$1:$AD$1,R479:AD479))</f>
        <v>5</v>
      </c>
      <c r="X479">
        <v>1</v>
      </c>
      <c r="Y479" t="str">
        <f>IF(SUM(R479:X479)&gt;0,"",VLOOKUP(J479,'Apps-from-odoo'!A:A,1,0))</f>
        <v/>
      </c>
    </row>
    <row r="480" spans="1:28" x14ac:dyDescent="0.25">
      <c r="A480" s="25" t="str">
        <f t="shared" si="36"/>
        <v>project_hr_skills;base.group_user;0,468;0,936;1,404;1,872;2,34;2,34;2,34;2,34</v>
      </c>
      <c r="B480">
        <f t="shared" si="37"/>
        <v>0.46799999999999997</v>
      </c>
      <c r="C480">
        <f t="shared" si="37"/>
        <v>0.93599999999999994</v>
      </c>
      <c r="D480">
        <f t="shared" si="37"/>
        <v>1.4039999999999999</v>
      </c>
      <c r="E480">
        <f t="shared" si="37"/>
        <v>1.8719999999999999</v>
      </c>
      <c r="F480">
        <f t="shared" si="37"/>
        <v>2.34</v>
      </c>
      <c r="G480">
        <f t="shared" si="37"/>
        <v>2.34</v>
      </c>
      <c r="H480">
        <f t="shared" si="37"/>
        <v>2.34</v>
      </c>
      <c r="I480">
        <f t="shared" si="37"/>
        <v>2.34</v>
      </c>
      <c r="J480" s="14" t="s">
        <v>1053</v>
      </c>
      <c r="K480" s="14" t="s">
        <v>1060</v>
      </c>
      <c r="L480" s="29"/>
      <c r="M480" s="14" t="e">
        <f>INDEX('Pivot Analysis'!A:B,MATCH(J480,'Pivot Analysis'!B:B,0),1)</f>
        <v>#N/A</v>
      </c>
      <c r="N480" s="14">
        <f>INDEX(Cloc!E:F,MATCH(J480,Cloc!F:F,0),1)</f>
        <v>2.34</v>
      </c>
      <c r="O480" s="14">
        <f t="shared" si="35"/>
        <v>2.34</v>
      </c>
      <c r="P480" s="14">
        <f>O480/Q480</f>
        <v>0.46799999999999997</v>
      </c>
      <c r="Q480">
        <f>MAX(1,SUMPRODUCT($R$1:$AD$1,R480:AD480))</f>
        <v>5</v>
      </c>
      <c r="X480">
        <v>1</v>
      </c>
      <c r="Y480" t="str">
        <f>IF(SUM(R480:X480)&gt;0,"",VLOOKUP(J480,'Apps-from-odoo'!A:A,1,0))</f>
        <v/>
      </c>
    </row>
    <row r="481" spans="1:27" x14ac:dyDescent="0.25">
      <c r="A481" s="25" t="str">
        <f t="shared" si="36"/>
        <v>project_mail_plugin;base.group_user;33;33;33;33;33;33;33;33</v>
      </c>
      <c r="B481">
        <f t="shared" si="37"/>
        <v>33</v>
      </c>
      <c r="C481">
        <f t="shared" si="37"/>
        <v>33</v>
      </c>
      <c r="D481">
        <f t="shared" si="37"/>
        <v>33</v>
      </c>
      <c r="E481">
        <f t="shared" si="37"/>
        <v>33</v>
      </c>
      <c r="F481">
        <f t="shared" si="37"/>
        <v>33</v>
      </c>
      <c r="G481">
        <f t="shared" si="37"/>
        <v>33</v>
      </c>
      <c r="H481">
        <f t="shared" si="37"/>
        <v>33</v>
      </c>
      <c r="I481">
        <f t="shared" si="37"/>
        <v>33</v>
      </c>
      <c r="J481" s="12" t="s">
        <v>550</v>
      </c>
      <c r="K481" s="14" t="s">
        <v>1060</v>
      </c>
      <c r="L481" s="29"/>
      <c r="M481" s="14">
        <f>INDEX('Pivot Analysis'!A:B,MATCH(J481,'Pivot Analysis'!B:B,0),1)</f>
        <v>33</v>
      </c>
      <c r="N481" s="14" t="e">
        <f>INDEX(Cloc!E:F,MATCH(J481,Cloc!F:F,0),1)</f>
        <v>#N/A</v>
      </c>
      <c r="O481" s="14">
        <f t="shared" si="35"/>
        <v>33</v>
      </c>
      <c r="P481" s="14">
        <f>O481/Q481</f>
        <v>33</v>
      </c>
      <c r="Q481">
        <f>MAX(1,SUMPRODUCT($R$1:$AD$1,R481:AD481))</f>
        <v>1</v>
      </c>
    </row>
    <row r="482" spans="1:27" x14ac:dyDescent="0.25">
      <c r="A482" s="25" t="str">
        <f t="shared" si="36"/>
        <v>project_mrp;base.group_user;4;8;12;12;12;12;12;12</v>
      </c>
      <c r="B482">
        <f t="shared" si="37"/>
        <v>4</v>
      </c>
      <c r="C482">
        <f t="shared" si="37"/>
        <v>8</v>
      </c>
      <c r="D482">
        <f t="shared" si="37"/>
        <v>12</v>
      </c>
      <c r="E482">
        <f t="shared" si="37"/>
        <v>12</v>
      </c>
      <c r="F482">
        <f t="shared" si="37"/>
        <v>12</v>
      </c>
      <c r="G482">
        <f t="shared" si="37"/>
        <v>12</v>
      </c>
      <c r="H482">
        <f t="shared" si="37"/>
        <v>12</v>
      </c>
      <c r="I482">
        <f t="shared" si="37"/>
        <v>12</v>
      </c>
      <c r="J482" s="12" t="s">
        <v>551</v>
      </c>
      <c r="K482" s="14" t="s">
        <v>1060</v>
      </c>
      <c r="L482" s="29"/>
      <c r="M482" s="14">
        <f>INDEX('Pivot Analysis'!A:B,MATCH(J482,'Pivot Analysis'!B:B,0),1)</f>
        <v>12</v>
      </c>
      <c r="N482" s="14">
        <f>INDEX(Cloc!E:F,MATCH(J482,Cloc!F:F,0),1)</f>
        <v>12.84</v>
      </c>
      <c r="O482" s="14">
        <f t="shared" si="35"/>
        <v>12</v>
      </c>
      <c r="P482" s="14">
        <f>O482/Q482</f>
        <v>4</v>
      </c>
      <c r="Q482">
        <f>MAX(1,SUMPRODUCT($R$1:$AD$1,R482:AD482))</f>
        <v>3</v>
      </c>
      <c r="Y482">
        <v>1</v>
      </c>
    </row>
    <row r="483" spans="1:27" x14ac:dyDescent="0.25">
      <c r="A483" s="25" t="str">
        <f t="shared" si="36"/>
        <v>project_mrp_account;base.group_user;3,6;7,2;10,8;10,8;10,8;10,8;10,8;10,8</v>
      </c>
      <c r="B483">
        <f t="shared" si="37"/>
        <v>3.6</v>
      </c>
      <c r="C483">
        <f t="shared" si="37"/>
        <v>7.2</v>
      </c>
      <c r="D483">
        <f t="shared" si="37"/>
        <v>10.8</v>
      </c>
      <c r="E483">
        <f t="shared" si="37"/>
        <v>10.8</v>
      </c>
      <c r="F483">
        <f t="shared" si="37"/>
        <v>10.8</v>
      </c>
      <c r="G483">
        <f t="shared" si="37"/>
        <v>10.8</v>
      </c>
      <c r="H483">
        <f t="shared" si="37"/>
        <v>10.8</v>
      </c>
      <c r="I483">
        <f t="shared" si="37"/>
        <v>10.8</v>
      </c>
      <c r="J483" s="14" t="s">
        <v>1063</v>
      </c>
      <c r="K483" s="14" t="s">
        <v>1060</v>
      </c>
      <c r="L483" s="29"/>
      <c r="M483" s="14" t="e">
        <f>INDEX('Pivot Analysis'!A:B,MATCH(J483,'Pivot Analysis'!B:B,0),1)</f>
        <v>#N/A</v>
      </c>
      <c r="N483" s="14">
        <f>INDEX(Cloc!E:F,MATCH(J483,Cloc!F:F,0),1)</f>
        <v>10.8</v>
      </c>
      <c r="O483" s="14">
        <f t="shared" si="35"/>
        <v>10.8</v>
      </c>
      <c r="P483" s="14">
        <f>O483/Q483</f>
        <v>3.6</v>
      </c>
      <c r="Q483">
        <f>MAX(1,SUMPRODUCT($R$1:$AD$1,R483:AD483))</f>
        <v>3</v>
      </c>
      <c r="Y483">
        <v>1</v>
      </c>
    </row>
    <row r="484" spans="1:27" x14ac:dyDescent="0.25">
      <c r="A484" s="25" t="str">
        <f t="shared" si="36"/>
        <v>project_mrp_sale;base.group_user;0,4;0,8;1,2;1,2;1,2;1,2;1,2;1,2</v>
      </c>
      <c r="B484">
        <f t="shared" si="37"/>
        <v>0.40000000000000008</v>
      </c>
      <c r="C484">
        <f t="shared" si="37"/>
        <v>0.80000000000000016</v>
      </c>
      <c r="D484">
        <f t="shared" si="37"/>
        <v>1.2000000000000002</v>
      </c>
      <c r="E484">
        <f t="shared" si="37"/>
        <v>1.2000000000000002</v>
      </c>
      <c r="F484">
        <f t="shared" si="37"/>
        <v>1.2000000000000002</v>
      </c>
      <c r="G484">
        <f t="shared" si="37"/>
        <v>1.2000000000000002</v>
      </c>
      <c r="H484">
        <f t="shared" si="37"/>
        <v>1.2000000000000002</v>
      </c>
      <c r="I484">
        <f t="shared" si="37"/>
        <v>1.2000000000000002</v>
      </c>
      <c r="J484" s="14" t="s">
        <v>1064</v>
      </c>
      <c r="K484" s="14" t="s">
        <v>1060</v>
      </c>
      <c r="L484" s="29"/>
      <c r="M484" s="14" t="e">
        <f>INDEX('Pivot Analysis'!A:B,MATCH(J484,'Pivot Analysis'!B:B,0),1)</f>
        <v>#N/A</v>
      </c>
      <c r="N484" s="14">
        <f>INDEX(Cloc!E:F,MATCH(J484,Cloc!F:F,0),1)</f>
        <v>1.2000000000000002</v>
      </c>
      <c r="O484" s="14">
        <f t="shared" si="35"/>
        <v>1.2000000000000002</v>
      </c>
      <c r="P484" s="14">
        <f>O484/Q484</f>
        <v>0.40000000000000008</v>
      </c>
      <c r="Q484">
        <f>MAX(1,SUMPRODUCT($R$1:$AD$1,R484:AD484))</f>
        <v>3</v>
      </c>
      <c r="Y484">
        <v>1</v>
      </c>
    </row>
    <row r="485" spans="1:27" x14ac:dyDescent="0.25">
      <c r="A485" s="25" t="str">
        <f t="shared" si="36"/>
        <v>project_mrp_stock_landed_costs;base.group_user;1000;1000;1000;1000;1000;1000;1000;1000</v>
      </c>
      <c r="B485">
        <f t="shared" si="37"/>
        <v>1000</v>
      </c>
      <c r="C485">
        <f t="shared" si="37"/>
        <v>1000</v>
      </c>
      <c r="D485">
        <f t="shared" si="37"/>
        <v>1000</v>
      </c>
      <c r="E485">
        <f t="shared" si="37"/>
        <v>1000</v>
      </c>
      <c r="F485">
        <f t="shared" si="37"/>
        <v>1000</v>
      </c>
      <c r="G485">
        <f t="shared" si="37"/>
        <v>1000</v>
      </c>
      <c r="H485">
        <f t="shared" si="37"/>
        <v>1000</v>
      </c>
      <c r="I485">
        <f t="shared" si="37"/>
        <v>1000</v>
      </c>
      <c r="J485" s="14" t="s">
        <v>1103</v>
      </c>
      <c r="K485" s="14" t="s">
        <v>1060</v>
      </c>
      <c r="L485" s="29"/>
      <c r="M485" s="14" t="e">
        <f>INDEX('Pivot Analysis'!A:B,MATCH(J485,'Pivot Analysis'!B:B,0),1)</f>
        <v>#N/A</v>
      </c>
      <c r="N485" s="14" t="e">
        <f>INDEX(Cloc!E:F,MATCH(J485,Cloc!F:F,0),1)</f>
        <v>#N/A</v>
      </c>
      <c r="O485" s="14">
        <f t="shared" si="35"/>
        <v>1000</v>
      </c>
      <c r="P485" s="14">
        <f>O485/Q485</f>
        <v>1000</v>
      </c>
      <c r="Q485">
        <f>MAX(1,SUMPRODUCT($R$1:$AD$1,R485:AD485))</f>
        <v>1</v>
      </c>
      <c r="AA485">
        <v>1</v>
      </c>
    </row>
    <row r="486" spans="1:27" x14ac:dyDescent="0.25">
      <c r="A486" s="25" t="str">
        <f t="shared" si="36"/>
        <v>project_parent;base.group_user;1000;1000;1000;1000;1000;1000;1000;1000</v>
      </c>
      <c r="B486">
        <f t="shared" si="37"/>
        <v>1000</v>
      </c>
      <c r="C486">
        <f t="shared" si="37"/>
        <v>1000</v>
      </c>
      <c r="D486">
        <f t="shared" si="37"/>
        <v>1000</v>
      </c>
      <c r="E486">
        <f t="shared" si="37"/>
        <v>1000</v>
      </c>
      <c r="F486">
        <f t="shared" si="37"/>
        <v>1000</v>
      </c>
      <c r="G486">
        <f t="shared" si="37"/>
        <v>1000</v>
      </c>
      <c r="H486">
        <f t="shared" si="37"/>
        <v>1000</v>
      </c>
      <c r="I486">
        <f t="shared" si="37"/>
        <v>1000</v>
      </c>
      <c r="J486" s="14" t="s">
        <v>1148</v>
      </c>
      <c r="K486" s="14" t="s">
        <v>1060</v>
      </c>
      <c r="L486" s="29"/>
      <c r="M486" s="14" t="e">
        <f>INDEX('Pivot Analysis'!A:B,MATCH(J486,'Pivot Analysis'!B:B,0),1)</f>
        <v>#N/A</v>
      </c>
      <c r="N486" s="14" t="e">
        <f>INDEX(Cloc!E:F,MATCH(J486,Cloc!F:F,0),1)</f>
        <v>#N/A</v>
      </c>
      <c r="O486" s="14">
        <f t="shared" si="35"/>
        <v>1000</v>
      </c>
      <c r="P486" s="14">
        <f>O486/Q486</f>
        <v>1000</v>
      </c>
      <c r="Q486">
        <f>MAX(1,SUMPRODUCT($R$1:$AD$1,R486:AD486))</f>
        <v>1</v>
      </c>
      <c r="AA486">
        <v>1</v>
      </c>
    </row>
    <row r="487" spans="1:27" x14ac:dyDescent="0.25">
      <c r="A487" s="25" t="str">
        <f t="shared" si="36"/>
        <v>project_purchase;base.group_user;0,9;1,8;2,7;3,6;4,5;4,5;4,5;4,5</v>
      </c>
      <c r="B487">
        <f t="shared" si="37"/>
        <v>0.9</v>
      </c>
      <c r="C487">
        <f t="shared" si="37"/>
        <v>1.8</v>
      </c>
      <c r="D487">
        <f t="shared" si="37"/>
        <v>2.7</v>
      </c>
      <c r="E487">
        <f t="shared" si="37"/>
        <v>3.6</v>
      </c>
      <c r="F487">
        <f t="shared" si="37"/>
        <v>4.5</v>
      </c>
      <c r="G487">
        <f t="shared" si="37"/>
        <v>4.5</v>
      </c>
      <c r="H487">
        <f t="shared" si="37"/>
        <v>4.5</v>
      </c>
      <c r="I487">
        <f t="shared" si="37"/>
        <v>4.5</v>
      </c>
      <c r="J487" s="12" t="s">
        <v>552</v>
      </c>
      <c r="K487" s="14" t="s">
        <v>1060</v>
      </c>
      <c r="L487" s="29"/>
      <c r="M487" s="14">
        <f>INDEX('Pivot Analysis'!A:B,MATCH(J487,'Pivot Analysis'!B:B,0),1)</f>
        <v>4.5</v>
      </c>
      <c r="N487" s="14">
        <f>INDEX(Cloc!E:F,MATCH(J487,Cloc!F:F,0),1)</f>
        <v>17.580000000000002</v>
      </c>
      <c r="O487" s="14">
        <f t="shared" si="35"/>
        <v>4.5</v>
      </c>
      <c r="P487" s="14">
        <f>O487/Q487</f>
        <v>0.9</v>
      </c>
      <c r="Q487">
        <f>MAX(1,SUMPRODUCT($R$1:$AD$1,R487:AD487))</f>
        <v>5</v>
      </c>
      <c r="X487">
        <v>1</v>
      </c>
      <c r="Y487" t="str">
        <f>IF(SUM(R487:X487)&gt;0,"",VLOOKUP(J487,'Apps-from-odoo'!A:A,1,0))</f>
        <v/>
      </c>
    </row>
    <row r="488" spans="1:27" x14ac:dyDescent="0.25">
      <c r="A488" s="25" t="str">
        <f t="shared" si="36"/>
        <v>project_purchase_stock;base.group_user;0,432;0,864;1,296;1,728;2,16;2,16;2,16;2,16</v>
      </c>
      <c r="B488">
        <f t="shared" si="37"/>
        <v>0.43200000000000005</v>
      </c>
      <c r="C488">
        <f t="shared" si="37"/>
        <v>0.8640000000000001</v>
      </c>
      <c r="D488">
        <f t="shared" si="37"/>
        <v>1.2960000000000003</v>
      </c>
      <c r="E488">
        <f t="shared" si="37"/>
        <v>1.7280000000000002</v>
      </c>
      <c r="F488">
        <f t="shared" si="37"/>
        <v>2.16</v>
      </c>
      <c r="G488">
        <f t="shared" si="37"/>
        <v>2.16</v>
      </c>
      <c r="H488">
        <f t="shared" si="37"/>
        <v>2.16</v>
      </c>
      <c r="I488">
        <f t="shared" si="37"/>
        <v>2.16</v>
      </c>
      <c r="J488" s="14" t="s">
        <v>1054</v>
      </c>
      <c r="K488" s="14" t="s">
        <v>1060</v>
      </c>
      <c r="L488" s="29"/>
      <c r="M488" s="14" t="e">
        <f>INDEX('Pivot Analysis'!A:B,MATCH(J488,'Pivot Analysis'!B:B,0),1)</f>
        <v>#N/A</v>
      </c>
      <c r="N488" s="14">
        <f>INDEX(Cloc!E:F,MATCH(J488,Cloc!F:F,0),1)</f>
        <v>2.16</v>
      </c>
      <c r="O488" s="14">
        <f t="shared" si="35"/>
        <v>2.16</v>
      </c>
      <c r="P488" s="14">
        <f>O488/Q488</f>
        <v>0.43200000000000005</v>
      </c>
      <c r="Q488">
        <f>MAX(1,SUMPRODUCT($R$1:$AD$1,R488:AD488))</f>
        <v>5</v>
      </c>
      <c r="X488">
        <v>1</v>
      </c>
      <c r="Y488" t="str">
        <f>IF(SUM(R488:X488)&gt;0,"",VLOOKUP(J488,'Apps-from-odoo'!A:A,1,0))</f>
        <v/>
      </c>
    </row>
    <row r="489" spans="1:27" x14ac:dyDescent="0.25">
      <c r="A489" s="25" t="str">
        <f t="shared" si="36"/>
        <v>project_role;base.group_user;1000;1000;1000;1000;1000;1000;1000;1000</v>
      </c>
      <c r="B489">
        <f t="shared" si="37"/>
        <v>1000</v>
      </c>
      <c r="C489">
        <f t="shared" si="37"/>
        <v>1000</v>
      </c>
      <c r="D489">
        <f t="shared" si="37"/>
        <v>1000</v>
      </c>
      <c r="E489">
        <f t="shared" si="37"/>
        <v>1000</v>
      </c>
      <c r="F489">
        <f t="shared" si="37"/>
        <v>1000</v>
      </c>
      <c r="G489">
        <f t="shared" si="37"/>
        <v>1000</v>
      </c>
      <c r="H489">
        <f t="shared" si="37"/>
        <v>1000</v>
      </c>
      <c r="I489">
        <f t="shared" si="37"/>
        <v>1000</v>
      </c>
      <c r="J489" s="14" t="s">
        <v>1149</v>
      </c>
      <c r="K489" s="14" t="s">
        <v>1060</v>
      </c>
      <c r="L489" s="29"/>
      <c r="M489" s="14" t="e">
        <f>INDEX('Pivot Analysis'!A:B,MATCH(J489,'Pivot Analysis'!B:B,0),1)</f>
        <v>#N/A</v>
      </c>
      <c r="N489" s="14" t="e">
        <f>INDEX(Cloc!E:F,MATCH(J489,Cloc!F:F,0),1)</f>
        <v>#N/A</v>
      </c>
      <c r="O489" s="14">
        <f t="shared" si="35"/>
        <v>1000</v>
      </c>
      <c r="P489" s="14">
        <f>O489/Q489</f>
        <v>1000</v>
      </c>
      <c r="Q489">
        <f>MAX(1,SUMPRODUCT($R$1:$AD$1,R489:AD489))</f>
        <v>1</v>
      </c>
      <c r="AA489">
        <v>1</v>
      </c>
    </row>
    <row r="490" spans="1:27" x14ac:dyDescent="0.25">
      <c r="A490" s="25" t="str">
        <f t="shared" si="36"/>
        <v>project_sale_expense;base.group_user;6,6;13,2;19,8;26,4;33;33;33;33</v>
      </c>
      <c r="B490">
        <f t="shared" si="37"/>
        <v>6.6</v>
      </c>
      <c r="C490">
        <f t="shared" si="37"/>
        <v>13.2</v>
      </c>
      <c r="D490">
        <f t="shared" si="37"/>
        <v>19.799999999999997</v>
      </c>
      <c r="E490">
        <f t="shared" si="37"/>
        <v>26.4</v>
      </c>
      <c r="F490">
        <f t="shared" si="37"/>
        <v>33</v>
      </c>
      <c r="G490">
        <f t="shared" si="37"/>
        <v>33</v>
      </c>
      <c r="H490">
        <f t="shared" si="37"/>
        <v>33</v>
      </c>
      <c r="I490">
        <f t="shared" si="37"/>
        <v>33</v>
      </c>
      <c r="J490" s="12" t="s">
        <v>553</v>
      </c>
      <c r="K490" s="14" t="s">
        <v>1060</v>
      </c>
      <c r="L490" s="29"/>
      <c r="M490" s="14">
        <f>INDEX('Pivot Analysis'!A:B,MATCH(J490,'Pivot Analysis'!B:B,0),1)</f>
        <v>33</v>
      </c>
      <c r="N490" s="14">
        <f>INDEX(Cloc!E:F,MATCH(J490,Cloc!F:F,0),1)</f>
        <v>9.8999999999999986</v>
      </c>
      <c r="O490" s="14">
        <f t="shared" si="35"/>
        <v>33</v>
      </c>
      <c r="P490" s="14">
        <f>O490/Q490</f>
        <v>6.6</v>
      </c>
      <c r="Q490">
        <f>MAX(1,SUMPRODUCT($R$1:$AD$1,R490:AD490))</f>
        <v>5</v>
      </c>
      <c r="X490">
        <v>1</v>
      </c>
      <c r="Y490" t="str">
        <f>IF(SUM(R490:X490)&gt;0,"",VLOOKUP(J490,'Apps-from-odoo'!A:A,1,0))</f>
        <v/>
      </c>
    </row>
    <row r="491" spans="1:27" x14ac:dyDescent="0.25">
      <c r="A491" s="25" t="str">
        <f t="shared" si="36"/>
        <v>project_sequence;base.group_user;1000;1000;1000;1000;1000;1000;1000;1000</v>
      </c>
      <c r="B491">
        <f t="shared" si="37"/>
        <v>1000</v>
      </c>
      <c r="C491">
        <f t="shared" si="37"/>
        <v>1000</v>
      </c>
      <c r="D491">
        <f t="shared" si="37"/>
        <v>1000</v>
      </c>
      <c r="E491">
        <f t="shared" si="37"/>
        <v>1000</v>
      </c>
      <c r="F491">
        <f t="shared" si="37"/>
        <v>1000</v>
      </c>
      <c r="G491">
        <f t="shared" si="37"/>
        <v>1000</v>
      </c>
      <c r="H491">
        <f t="shared" si="37"/>
        <v>1000</v>
      </c>
      <c r="I491">
        <f t="shared" si="37"/>
        <v>1000</v>
      </c>
      <c r="J491" s="14" t="s">
        <v>1150</v>
      </c>
      <c r="K491" s="14" t="s">
        <v>1060</v>
      </c>
      <c r="L491" s="29"/>
      <c r="M491" s="14" t="e">
        <f>INDEX('Pivot Analysis'!A:B,MATCH(J491,'Pivot Analysis'!B:B,0),1)</f>
        <v>#N/A</v>
      </c>
      <c r="N491" s="14" t="e">
        <f>INDEX(Cloc!E:F,MATCH(J491,Cloc!F:F,0),1)</f>
        <v>#N/A</v>
      </c>
      <c r="O491" s="14">
        <f t="shared" si="35"/>
        <v>1000</v>
      </c>
      <c r="P491" s="14">
        <f>O491/Q491</f>
        <v>1000</v>
      </c>
      <c r="Q491">
        <f>MAX(1,SUMPRODUCT($R$1:$AD$1,R491:AD491))</f>
        <v>1</v>
      </c>
      <c r="AA491">
        <v>1</v>
      </c>
    </row>
    <row r="492" spans="1:27" x14ac:dyDescent="0.25">
      <c r="A492" s="25" t="str">
        <f t="shared" si="36"/>
        <v>project_sms;base.group_user;0;0;0;0;0;0;0;0</v>
      </c>
      <c r="B492">
        <f t="shared" si="37"/>
        <v>0</v>
      </c>
      <c r="C492">
        <f t="shared" si="37"/>
        <v>0</v>
      </c>
      <c r="D492">
        <f t="shared" si="37"/>
        <v>0</v>
      </c>
      <c r="E492">
        <f t="shared" si="37"/>
        <v>0</v>
      </c>
      <c r="F492">
        <f t="shared" si="37"/>
        <v>0</v>
      </c>
      <c r="G492">
        <f t="shared" si="37"/>
        <v>0</v>
      </c>
      <c r="H492">
        <f t="shared" si="37"/>
        <v>0</v>
      </c>
      <c r="I492">
        <f t="shared" si="37"/>
        <v>0</v>
      </c>
      <c r="J492" s="12" t="s">
        <v>554</v>
      </c>
      <c r="K492" s="14" t="s">
        <v>1060</v>
      </c>
      <c r="L492" s="29"/>
      <c r="M492" s="14">
        <f>INDEX('Pivot Analysis'!A:B,MATCH(J492,'Pivot Analysis'!B:B,0),1)</f>
        <v>0</v>
      </c>
      <c r="N492" s="14">
        <f>INDEX(Cloc!E:F,MATCH(J492,Cloc!F:F,0),1)</f>
        <v>12.299999999999999</v>
      </c>
      <c r="O492" s="14">
        <f t="shared" si="35"/>
        <v>0</v>
      </c>
      <c r="P492" s="14">
        <f>O492/Q492</f>
        <v>0</v>
      </c>
      <c r="Q492">
        <f>MAX(1,SUMPRODUCT($R$1:$AD$1,R492:AD492))</f>
        <v>5</v>
      </c>
      <c r="X492">
        <v>1</v>
      </c>
      <c r="Y492" t="str">
        <f>IF(SUM(R492:X492)&gt;0,"",VLOOKUP(J492,'Apps-from-odoo'!A:A,1,0))</f>
        <v/>
      </c>
    </row>
    <row r="493" spans="1:27" x14ac:dyDescent="0.25">
      <c r="A493" s="25" t="str">
        <f t="shared" si="36"/>
        <v>project_stock;base.group_user;1,2;2,4;3,6;4,8;6;6;6;6</v>
      </c>
      <c r="B493">
        <f t="shared" si="37"/>
        <v>1.2</v>
      </c>
      <c r="C493">
        <f t="shared" si="37"/>
        <v>2.4</v>
      </c>
      <c r="D493">
        <f t="shared" si="37"/>
        <v>3.5999999999999996</v>
      </c>
      <c r="E493">
        <f t="shared" si="37"/>
        <v>4.8</v>
      </c>
      <c r="F493">
        <f t="shared" si="37"/>
        <v>6</v>
      </c>
      <c r="G493">
        <f t="shared" si="37"/>
        <v>6</v>
      </c>
      <c r="H493">
        <f t="shared" si="37"/>
        <v>6</v>
      </c>
      <c r="I493">
        <f t="shared" si="37"/>
        <v>6</v>
      </c>
      <c r="J493" s="14" t="s">
        <v>1055</v>
      </c>
      <c r="K493" s="14" t="s">
        <v>1060</v>
      </c>
      <c r="L493" s="29"/>
      <c r="M493" s="14" t="e">
        <f>INDEX('Pivot Analysis'!A:B,MATCH(J493,'Pivot Analysis'!B:B,0),1)</f>
        <v>#N/A</v>
      </c>
      <c r="N493" s="14">
        <f>INDEX(Cloc!E:F,MATCH(J493,Cloc!F:F,0),1)</f>
        <v>6</v>
      </c>
      <c r="O493" s="14">
        <f t="shared" si="35"/>
        <v>6</v>
      </c>
      <c r="P493" s="14">
        <f>O493/Q493</f>
        <v>1.2</v>
      </c>
      <c r="Q493">
        <f>MAX(1,SUMPRODUCT($R$1:$AD$1,R493:AD493))</f>
        <v>5</v>
      </c>
      <c r="X493">
        <v>1</v>
      </c>
      <c r="Y493" t="str">
        <f>IF(SUM(R493:X493)&gt;0,"",VLOOKUP(J493,'Apps-from-odoo'!A:A,1,0))</f>
        <v/>
      </c>
    </row>
    <row r="494" spans="1:27" x14ac:dyDescent="0.25">
      <c r="A494" s="25" t="str">
        <f t="shared" si="36"/>
        <v>project_stock_account;base.group_user;2,004;4,008;6,012;8,016;10,02;10,02;10,02;10,02</v>
      </c>
      <c r="B494">
        <f t="shared" si="37"/>
        <v>2.004</v>
      </c>
      <c r="C494">
        <f t="shared" si="37"/>
        <v>4.008</v>
      </c>
      <c r="D494">
        <f t="shared" si="37"/>
        <v>6.0120000000000005</v>
      </c>
      <c r="E494">
        <f t="shared" si="37"/>
        <v>8.016</v>
      </c>
      <c r="F494">
        <f t="shared" si="37"/>
        <v>10.02</v>
      </c>
      <c r="G494">
        <f t="shared" si="37"/>
        <v>10.02</v>
      </c>
      <c r="H494">
        <f t="shared" si="37"/>
        <v>10.02</v>
      </c>
      <c r="I494">
        <f t="shared" si="37"/>
        <v>10.02</v>
      </c>
      <c r="J494" s="14" t="s">
        <v>1056</v>
      </c>
      <c r="K494" s="14" t="s">
        <v>1060</v>
      </c>
      <c r="L494" s="29"/>
      <c r="M494" s="14" t="e">
        <f>INDEX('Pivot Analysis'!A:B,MATCH(J494,'Pivot Analysis'!B:B,0),1)</f>
        <v>#N/A</v>
      </c>
      <c r="N494" s="14">
        <f>INDEX(Cloc!E:F,MATCH(J494,Cloc!F:F,0),1)</f>
        <v>10.02</v>
      </c>
      <c r="O494" s="14">
        <f t="shared" si="35"/>
        <v>10.02</v>
      </c>
      <c r="P494" s="14">
        <f>O494/Q494</f>
        <v>2.004</v>
      </c>
      <c r="Q494">
        <f>MAX(1,SUMPRODUCT($R$1:$AD$1,R494:AD494))</f>
        <v>5</v>
      </c>
      <c r="X494">
        <v>1</v>
      </c>
      <c r="Y494" t="str">
        <f>IF(SUM(R494:X494)&gt;0,"",VLOOKUP(J494,'Apps-from-odoo'!A:A,1,0))</f>
        <v/>
      </c>
    </row>
    <row r="495" spans="1:27" x14ac:dyDescent="0.25">
      <c r="A495" s="25" t="str">
        <f t="shared" si="36"/>
        <v>project_stock_landed_costs;base.group_user;1000;1000;1000;1000;1000;1000;1000;1000</v>
      </c>
      <c r="B495">
        <f t="shared" si="37"/>
        <v>1000</v>
      </c>
      <c r="C495">
        <f t="shared" si="37"/>
        <v>1000</v>
      </c>
      <c r="D495">
        <f t="shared" si="37"/>
        <v>1000</v>
      </c>
      <c r="E495">
        <f t="shared" si="37"/>
        <v>1000</v>
      </c>
      <c r="F495">
        <f t="shared" si="37"/>
        <v>1000</v>
      </c>
      <c r="G495">
        <f t="shared" si="37"/>
        <v>1000</v>
      </c>
      <c r="H495">
        <f t="shared" si="37"/>
        <v>1000</v>
      </c>
      <c r="I495">
        <f t="shared" si="37"/>
        <v>1000</v>
      </c>
      <c r="J495" s="14" t="s">
        <v>1104</v>
      </c>
      <c r="K495" s="14" t="s">
        <v>1060</v>
      </c>
      <c r="L495" s="29"/>
      <c r="M495" s="14" t="e">
        <f>INDEX('Pivot Analysis'!A:B,MATCH(J495,'Pivot Analysis'!B:B,0),1)</f>
        <v>#N/A</v>
      </c>
      <c r="N495" s="14" t="e">
        <f>INDEX(Cloc!E:F,MATCH(J495,Cloc!F:F,0),1)</f>
        <v>#N/A</v>
      </c>
      <c r="O495" s="14">
        <f t="shared" si="35"/>
        <v>1000</v>
      </c>
      <c r="P495" s="14">
        <f>O495/Q495</f>
        <v>1000</v>
      </c>
      <c r="Q495">
        <f>MAX(1,SUMPRODUCT($R$1:$AD$1,R495:AD495))</f>
        <v>1</v>
      </c>
      <c r="AA495">
        <v>1</v>
      </c>
    </row>
    <row r="496" spans="1:27" x14ac:dyDescent="0.25">
      <c r="A496" s="25" t="str">
        <f t="shared" si="36"/>
        <v>project_tag_hierarchy;base.group_user;1000;1000;1000;1000;1000;1000;1000;1000</v>
      </c>
      <c r="B496">
        <f t="shared" si="37"/>
        <v>1000</v>
      </c>
      <c r="C496">
        <f t="shared" si="37"/>
        <v>1000</v>
      </c>
      <c r="D496">
        <f t="shared" si="37"/>
        <v>1000</v>
      </c>
      <c r="E496">
        <f t="shared" si="37"/>
        <v>1000</v>
      </c>
      <c r="F496">
        <f t="shared" si="37"/>
        <v>1000</v>
      </c>
      <c r="G496">
        <f t="shared" si="37"/>
        <v>1000</v>
      </c>
      <c r="H496">
        <f t="shared" si="37"/>
        <v>1000</v>
      </c>
      <c r="I496">
        <f t="shared" si="37"/>
        <v>1000</v>
      </c>
      <c r="J496" s="14" t="s">
        <v>1151</v>
      </c>
      <c r="K496" s="14" t="s">
        <v>1060</v>
      </c>
      <c r="L496" s="29"/>
      <c r="M496" s="14" t="e">
        <f>INDEX('Pivot Analysis'!A:B,MATCH(J496,'Pivot Analysis'!B:B,0),1)</f>
        <v>#N/A</v>
      </c>
      <c r="N496" s="14" t="e">
        <f>INDEX(Cloc!E:F,MATCH(J496,Cloc!F:F,0),1)</f>
        <v>#N/A</v>
      </c>
      <c r="O496" s="14">
        <f t="shared" si="35"/>
        <v>1000</v>
      </c>
      <c r="P496" s="14">
        <f>O496/Q496</f>
        <v>1000</v>
      </c>
      <c r="Q496">
        <f>MAX(1,SUMPRODUCT($R$1:$AD$1,R496:AD496))</f>
        <v>1</v>
      </c>
      <c r="AA496">
        <v>1</v>
      </c>
    </row>
    <row r="497" spans="1:28" x14ac:dyDescent="0.25">
      <c r="A497" s="25" t="str">
        <f t="shared" si="36"/>
        <v>project_tag_multicompany;base.group_user;1000;1000;1000;1000;1000;1000;1000;1000</v>
      </c>
      <c r="B497">
        <f t="shared" si="37"/>
        <v>1000</v>
      </c>
      <c r="C497">
        <f t="shared" si="37"/>
        <v>1000</v>
      </c>
      <c r="D497">
        <f t="shared" si="37"/>
        <v>1000</v>
      </c>
      <c r="E497">
        <f t="shared" si="37"/>
        <v>1000</v>
      </c>
      <c r="F497">
        <f t="shared" si="37"/>
        <v>1000</v>
      </c>
      <c r="G497">
        <f t="shared" si="37"/>
        <v>1000</v>
      </c>
      <c r="H497">
        <f t="shared" si="37"/>
        <v>1000</v>
      </c>
      <c r="I497">
        <f t="shared" si="37"/>
        <v>1000</v>
      </c>
      <c r="J497" s="14" t="s">
        <v>1152</v>
      </c>
      <c r="K497" s="14" t="s">
        <v>1060</v>
      </c>
      <c r="L497" s="29"/>
      <c r="M497" s="14" t="e">
        <f>INDEX('Pivot Analysis'!A:B,MATCH(J497,'Pivot Analysis'!B:B,0),1)</f>
        <v>#N/A</v>
      </c>
      <c r="N497" s="14" t="e">
        <f>INDEX(Cloc!E:F,MATCH(J497,Cloc!F:F,0),1)</f>
        <v>#N/A</v>
      </c>
      <c r="O497" s="14">
        <f t="shared" si="35"/>
        <v>1000</v>
      </c>
      <c r="P497" s="14">
        <f>O497/Q497</f>
        <v>1000</v>
      </c>
      <c r="Q497">
        <f>MAX(1,SUMPRODUCT($R$1:$AD$1,R497:AD497))</f>
        <v>1</v>
      </c>
      <c r="AA497">
        <v>1</v>
      </c>
    </row>
    <row r="498" spans="1:28" x14ac:dyDescent="0.25">
      <c r="A498" s="25" t="str">
        <f t="shared" si="36"/>
        <v>project_task_default_stage;base.group_user;1000;1000;1000;1000;1000;1000;1000;1000</v>
      </c>
      <c r="B498">
        <f t="shared" si="37"/>
        <v>1000</v>
      </c>
      <c r="C498">
        <f t="shared" si="37"/>
        <v>1000</v>
      </c>
      <c r="D498">
        <f t="shared" si="37"/>
        <v>1000</v>
      </c>
      <c r="E498">
        <f t="shared" si="37"/>
        <v>1000</v>
      </c>
      <c r="F498">
        <f t="shared" si="37"/>
        <v>1000</v>
      </c>
      <c r="G498">
        <f t="shared" si="37"/>
        <v>1000</v>
      </c>
      <c r="H498">
        <f t="shared" si="37"/>
        <v>1000</v>
      </c>
      <c r="I498">
        <f t="shared" si="37"/>
        <v>1000</v>
      </c>
      <c r="J498" s="14" t="s">
        <v>1153</v>
      </c>
      <c r="K498" s="14" t="s">
        <v>1060</v>
      </c>
      <c r="L498" s="29"/>
      <c r="M498" s="14" t="e">
        <f>INDEX('Pivot Analysis'!A:B,MATCH(J498,'Pivot Analysis'!B:B,0),1)</f>
        <v>#N/A</v>
      </c>
      <c r="N498" s="14" t="e">
        <f>INDEX(Cloc!E:F,MATCH(J498,Cloc!F:F,0),1)</f>
        <v>#N/A</v>
      </c>
      <c r="O498" s="14">
        <f t="shared" si="35"/>
        <v>1000</v>
      </c>
      <c r="P498" s="14">
        <f>O498/Q498</f>
        <v>1000</v>
      </c>
      <c r="Q498">
        <f>MAX(1,SUMPRODUCT($R$1:$AD$1,R498:AD498))</f>
        <v>1</v>
      </c>
      <c r="AA498">
        <v>1</v>
      </c>
    </row>
    <row r="499" spans="1:28" x14ac:dyDescent="0.25">
      <c r="A499" s="25" t="str">
        <f t="shared" si="36"/>
        <v>project_task_stage_state;base.group_user;1000;1000;1000;1000;1000;1000;1000;1000</v>
      </c>
      <c r="B499">
        <f t="shared" si="37"/>
        <v>1000</v>
      </c>
      <c r="C499">
        <f t="shared" si="37"/>
        <v>1000</v>
      </c>
      <c r="D499">
        <f t="shared" si="37"/>
        <v>1000</v>
      </c>
      <c r="E499">
        <f t="shared" si="37"/>
        <v>1000</v>
      </c>
      <c r="F499">
        <f t="shared" si="37"/>
        <v>1000</v>
      </c>
      <c r="G499">
        <f t="shared" si="37"/>
        <v>1000</v>
      </c>
      <c r="H499">
        <f t="shared" si="37"/>
        <v>1000</v>
      </c>
      <c r="I499">
        <f t="shared" si="37"/>
        <v>1000</v>
      </c>
      <c r="J499" s="14" t="s">
        <v>1154</v>
      </c>
      <c r="K499" s="14" t="s">
        <v>1060</v>
      </c>
      <c r="L499" s="29"/>
      <c r="M499" s="14" t="e">
        <f>INDEX('Pivot Analysis'!A:B,MATCH(J499,'Pivot Analysis'!B:B,0),1)</f>
        <v>#N/A</v>
      </c>
      <c r="N499" s="14" t="e">
        <f>INDEX(Cloc!E:F,MATCH(J499,Cloc!F:F,0),1)</f>
        <v>#N/A</v>
      </c>
      <c r="O499" s="14">
        <f t="shared" si="35"/>
        <v>1000</v>
      </c>
      <c r="P499" s="14">
        <f>O499/Q499</f>
        <v>1000</v>
      </c>
      <c r="Q499">
        <f>MAX(1,SUMPRODUCT($R$1:$AD$1,R499:AD499))</f>
        <v>1</v>
      </c>
      <c r="AA499">
        <v>1</v>
      </c>
    </row>
    <row r="500" spans="1:28" x14ac:dyDescent="0.25">
      <c r="A500" s="25" t="str">
        <f t="shared" si="36"/>
        <v>project_timesheet_holidays;base.group_user;30;30;30;30;30;30;30;30</v>
      </c>
      <c r="B500">
        <f t="shared" si="37"/>
        <v>30</v>
      </c>
      <c r="C500">
        <f t="shared" si="37"/>
        <v>30</v>
      </c>
      <c r="D500">
        <f t="shared" si="37"/>
        <v>30</v>
      </c>
      <c r="E500">
        <f t="shared" si="37"/>
        <v>30</v>
      </c>
      <c r="F500">
        <f t="shared" si="37"/>
        <v>30</v>
      </c>
      <c r="G500">
        <f t="shared" si="37"/>
        <v>30</v>
      </c>
      <c r="H500">
        <f t="shared" si="37"/>
        <v>30</v>
      </c>
      <c r="I500">
        <f t="shared" ref="C500:I563" si="38">$P500*MIN($Q500,I$3)</f>
        <v>30</v>
      </c>
      <c r="J500" s="12" t="s">
        <v>555</v>
      </c>
      <c r="K500" s="14" t="s">
        <v>1060</v>
      </c>
      <c r="L500" s="29"/>
      <c r="M500" s="14">
        <f>INDEX('Pivot Analysis'!A:B,MATCH(J500,'Pivot Analysis'!B:B,0),1)</f>
        <v>30</v>
      </c>
      <c r="N500" s="14" t="e">
        <f>INDEX(Cloc!E:F,MATCH(J500,Cloc!F:F,0),1)</f>
        <v>#N/A</v>
      </c>
      <c r="O500" s="14">
        <f t="shared" si="35"/>
        <v>30</v>
      </c>
      <c r="P500" s="14">
        <f>O500/Q500</f>
        <v>30</v>
      </c>
      <c r="Q500">
        <f>MAX(1,SUMPRODUCT($R$1:$AD$1,R500:AD500))</f>
        <v>1</v>
      </c>
    </row>
    <row r="501" spans="1:28" x14ac:dyDescent="0.25">
      <c r="A501" s="25" t="str">
        <f t="shared" si="36"/>
        <v>project_timesheet_time_control;base.group_user;1000;1000;1000;1000;1000;1000;1000;1000</v>
      </c>
      <c r="B501">
        <f t="shared" ref="B501:B564" si="39">$P501*MIN($Q501,B$3)</f>
        <v>1000</v>
      </c>
      <c r="C501">
        <f t="shared" si="38"/>
        <v>1000</v>
      </c>
      <c r="D501">
        <f t="shared" si="38"/>
        <v>1000</v>
      </c>
      <c r="E501">
        <f t="shared" si="38"/>
        <v>1000</v>
      </c>
      <c r="F501">
        <f t="shared" si="38"/>
        <v>1000</v>
      </c>
      <c r="G501">
        <f t="shared" si="38"/>
        <v>1000</v>
      </c>
      <c r="H501">
        <f t="shared" si="38"/>
        <v>1000</v>
      </c>
      <c r="I501">
        <f t="shared" si="38"/>
        <v>1000</v>
      </c>
      <c r="J501" s="14" t="s">
        <v>1155</v>
      </c>
      <c r="K501" s="14" t="s">
        <v>1060</v>
      </c>
      <c r="L501" s="29"/>
      <c r="M501" s="14" t="e">
        <f>INDEX('Pivot Analysis'!A:B,MATCH(J501,'Pivot Analysis'!B:B,0),1)</f>
        <v>#N/A</v>
      </c>
      <c r="N501" s="14" t="e">
        <f>INDEX(Cloc!E:F,MATCH(J501,Cloc!F:F,0),1)</f>
        <v>#N/A</v>
      </c>
      <c r="O501" s="14">
        <f t="shared" si="35"/>
        <v>1000</v>
      </c>
      <c r="P501" s="14">
        <f>O501/Q501</f>
        <v>1000</v>
      </c>
      <c r="Q501">
        <f>MAX(1,SUMPRODUCT($R$1:$AD$1,R501:AD501))</f>
        <v>1</v>
      </c>
      <c r="AA501">
        <v>1</v>
      </c>
    </row>
    <row r="502" spans="1:28" x14ac:dyDescent="0.25">
      <c r="A502" s="25" t="str">
        <f t="shared" si="36"/>
        <v>project_todo;base.group_user;0,9;1,8;2,7;3,6;4,5;4,5;4,5;4,5</v>
      </c>
      <c r="B502">
        <f t="shared" si="39"/>
        <v>0.9</v>
      </c>
      <c r="C502">
        <f t="shared" si="38"/>
        <v>1.8</v>
      </c>
      <c r="D502">
        <f t="shared" si="38"/>
        <v>2.7</v>
      </c>
      <c r="E502">
        <f t="shared" si="38"/>
        <v>3.6</v>
      </c>
      <c r="F502">
        <f t="shared" si="38"/>
        <v>4.5</v>
      </c>
      <c r="G502">
        <f t="shared" si="38"/>
        <v>4.5</v>
      </c>
      <c r="H502">
        <f t="shared" si="38"/>
        <v>4.5</v>
      </c>
      <c r="I502">
        <f t="shared" si="38"/>
        <v>4.5</v>
      </c>
      <c r="J502" s="12" t="s">
        <v>556</v>
      </c>
      <c r="K502" s="14" t="s">
        <v>1060</v>
      </c>
      <c r="L502" s="29"/>
      <c r="M502" s="14">
        <f>INDEX('Pivot Analysis'!A:B,MATCH(J502,'Pivot Analysis'!B:B,0),1)</f>
        <v>4.5</v>
      </c>
      <c r="N502" s="14">
        <f>INDEX(Cloc!E:F,MATCH(J502,Cloc!F:F,0),1)</f>
        <v>73.38</v>
      </c>
      <c r="O502" s="14">
        <f t="shared" si="35"/>
        <v>4.5</v>
      </c>
      <c r="P502" s="14">
        <f>O502/Q502</f>
        <v>0.9</v>
      </c>
      <c r="Q502">
        <f>MAX(1,SUMPRODUCT($R$1:$AD$1,R502:AD502))</f>
        <v>5</v>
      </c>
      <c r="X502">
        <v>1</v>
      </c>
      <c r="Y502" t="str">
        <f>IF(SUM(R502:X502)&gt;0,"",VLOOKUP(J502,'Apps-from-odoo'!A:A,1,0))</f>
        <v/>
      </c>
    </row>
    <row r="503" spans="1:28" x14ac:dyDescent="0.25">
      <c r="A503" s="25" t="str">
        <f t="shared" si="36"/>
        <v>project_type;base.group_user;1000;1000;1000;1000;1000;1000;1000;1000</v>
      </c>
      <c r="B503">
        <f t="shared" si="39"/>
        <v>1000</v>
      </c>
      <c r="C503">
        <f t="shared" si="38"/>
        <v>1000</v>
      </c>
      <c r="D503">
        <f t="shared" si="38"/>
        <v>1000</v>
      </c>
      <c r="E503">
        <f t="shared" si="38"/>
        <v>1000</v>
      </c>
      <c r="F503">
        <f t="shared" si="38"/>
        <v>1000</v>
      </c>
      <c r="G503">
        <f t="shared" si="38"/>
        <v>1000</v>
      </c>
      <c r="H503">
        <f t="shared" si="38"/>
        <v>1000</v>
      </c>
      <c r="I503">
        <f t="shared" si="38"/>
        <v>1000</v>
      </c>
      <c r="J503" s="14" t="s">
        <v>1156</v>
      </c>
      <c r="K503" s="14" t="s">
        <v>1060</v>
      </c>
      <c r="L503" s="29"/>
      <c r="M503" s="14" t="e">
        <f>INDEX('Pivot Analysis'!A:B,MATCH(J503,'Pivot Analysis'!B:B,0),1)</f>
        <v>#N/A</v>
      </c>
      <c r="N503" s="14" t="e">
        <f>INDEX(Cloc!E:F,MATCH(J503,Cloc!F:F,0),1)</f>
        <v>#N/A</v>
      </c>
      <c r="O503" s="14">
        <f t="shared" si="35"/>
        <v>1000</v>
      </c>
      <c r="P503" s="14">
        <f>O503/Q503</f>
        <v>1000</v>
      </c>
      <c r="Q503">
        <f>MAX(1,SUMPRODUCT($R$1:$AD$1,R503:AD503))</f>
        <v>1</v>
      </c>
      <c r="AA503">
        <v>1</v>
      </c>
    </row>
    <row r="504" spans="1:28" x14ac:dyDescent="0.25">
      <c r="A504" s="25" t="str">
        <f t="shared" si="36"/>
        <v>project_unique_code;base.group_user;1000;1000;1000;1000;1000;1000;1000;1000</v>
      </c>
      <c r="B504">
        <f t="shared" si="39"/>
        <v>1000</v>
      </c>
      <c r="C504">
        <f t="shared" si="38"/>
        <v>1000</v>
      </c>
      <c r="D504">
        <f t="shared" si="38"/>
        <v>1000</v>
      </c>
      <c r="E504">
        <f t="shared" si="38"/>
        <v>1000</v>
      </c>
      <c r="F504">
        <f t="shared" si="38"/>
        <v>1000</v>
      </c>
      <c r="G504">
        <f t="shared" si="38"/>
        <v>1000</v>
      </c>
      <c r="H504">
        <f t="shared" si="38"/>
        <v>1000</v>
      </c>
      <c r="I504">
        <f t="shared" si="38"/>
        <v>1000</v>
      </c>
      <c r="J504" s="14" t="s">
        <v>1157</v>
      </c>
      <c r="K504" s="14" t="s">
        <v>1060</v>
      </c>
      <c r="L504" s="29"/>
      <c r="M504" s="14" t="e">
        <f>INDEX('Pivot Analysis'!A:B,MATCH(J504,'Pivot Analysis'!B:B,0),1)</f>
        <v>#N/A</v>
      </c>
      <c r="N504" s="14" t="e">
        <f>INDEX(Cloc!E:F,MATCH(J504,Cloc!F:F,0),1)</f>
        <v>#N/A</v>
      </c>
      <c r="O504" s="14">
        <f t="shared" si="35"/>
        <v>1000</v>
      </c>
      <c r="P504" s="14">
        <f>O504/Q504</f>
        <v>1000</v>
      </c>
      <c r="Q504">
        <f>MAX(1,SUMPRODUCT($R$1:$AD$1,R504:AD504))</f>
        <v>1</v>
      </c>
      <c r="AB504">
        <v>1</v>
      </c>
    </row>
    <row r="505" spans="1:28" x14ac:dyDescent="0.25">
      <c r="A505" s="25" t="str">
        <f t="shared" si="36"/>
        <v>purchase;base.group_user;4,92;9,84;14,76;19,68;24,6;24,6;24,6;24,6</v>
      </c>
      <c r="B505">
        <f t="shared" si="39"/>
        <v>4.92</v>
      </c>
      <c r="C505">
        <f t="shared" si="38"/>
        <v>9.84</v>
      </c>
      <c r="D505">
        <f t="shared" si="38"/>
        <v>14.76</v>
      </c>
      <c r="E505">
        <f t="shared" si="38"/>
        <v>19.68</v>
      </c>
      <c r="F505">
        <f t="shared" si="38"/>
        <v>24.6</v>
      </c>
      <c r="G505">
        <f t="shared" si="38"/>
        <v>24.6</v>
      </c>
      <c r="H505">
        <f t="shared" si="38"/>
        <v>24.6</v>
      </c>
      <c r="I505">
        <f t="shared" si="38"/>
        <v>24.6</v>
      </c>
      <c r="J505" s="12" t="s">
        <v>559</v>
      </c>
      <c r="K505" s="14" t="s">
        <v>1060</v>
      </c>
      <c r="L505" s="29"/>
      <c r="M505" s="14">
        <f>INDEX('Pivot Analysis'!A:B,MATCH(J505,'Pivot Analysis'!B:B,0),1)</f>
        <v>24.599999999999998</v>
      </c>
      <c r="N505" s="14">
        <f>INDEX(Cloc!E:F,MATCH(J505,Cloc!F:F,0),1)</f>
        <v>421.91999999999996</v>
      </c>
      <c r="O505" s="14">
        <f t="shared" si="35"/>
        <v>24.599999999999998</v>
      </c>
      <c r="P505" s="14">
        <f>O505/Q505</f>
        <v>4.92</v>
      </c>
      <c r="Q505">
        <f>MAX(1,SUMPRODUCT($R$1:$AD$1,R505:AD505))</f>
        <v>5</v>
      </c>
      <c r="X505">
        <v>1</v>
      </c>
      <c r="Y505" t="str">
        <f>IF(SUM(R505:X505)&gt;0,"",VLOOKUP(J505,'Apps-from-odoo'!A:A,1,0))</f>
        <v/>
      </c>
    </row>
    <row r="506" spans="1:28" x14ac:dyDescent="0.25">
      <c r="A506" s="25" t="str">
        <f t="shared" si="36"/>
        <v>purchase_edi_ubl_bis3;base.group_user;6,048;12,096;18,144;24,192;30,24;30,24;30,24;30,24</v>
      </c>
      <c r="B506">
        <f t="shared" si="39"/>
        <v>6.048</v>
      </c>
      <c r="C506">
        <f t="shared" si="38"/>
        <v>12.096</v>
      </c>
      <c r="D506">
        <f t="shared" si="38"/>
        <v>18.143999999999998</v>
      </c>
      <c r="E506">
        <f t="shared" si="38"/>
        <v>24.192</v>
      </c>
      <c r="F506">
        <f t="shared" si="38"/>
        <v>30.240000000000002</v>
      </c>
      <c r="G506">
        <f t="shared" si="38"/>
        <v>30.240000000000002</v>
      </c>
      <c r="H506">
        <f t="shared" si="38"/>
        <v>30.240000000000002</v>
      </c>
      <c r="I506">
        <f t="shared" si="38"/>
        <v>30.240000000000002</v>
      </c>
      <c r="J506" s="14" t="s">
        <v>1057</v>
      </c>
      <c r="K506" s="14" t="s">
        <v>1060</v>
      </c>
      <c r="L506" s="29"/>
      <c r="M506" s="14" t="e">
        <f>INDEX('Pivot Analysis'!A:B,MATCH(J506,'Pivot Analysis'!B:B,0),1)</f>
        <v>#N/A</v>
      </c>
      <c r="N506" s="14">
        <f>INDEX(Cloc!E:F,MATCH(J506,Cloc!F:F,0),1)</f>
        <v>30.240000000000002</v>
      </c>
      <c r="O506" s="14">
        <f t="shared" si="35"/>
        <v>30.240000000000002</v>
      </c>
      <c r="P506" s="14">
        <f>O506/Q506</f>
        <v>6.048</v>
      </c>
      <c r="Q506">
        <f>MAX(1,SUMPRODUCT($R$1:$AD$1,R506:AD506))</f>
        <v>5</v>
      </c>
      <c r="X506">
        <v>1</v>
      </c>
      <c r="Y506" t="str">
        <f>IF(SUM(R506:X506)&gt;0,"",VLOOKUP(J506,'Apps-from-odoo'!A:A,1,0))</f>
        <v/>
      </c>
    </row>
    <row r="507" spans="1:28" x14ac:dyDescent="0.25">
      <c r="A507" s="25" t="str">
        <f t="shared" si="36"/>
        <v>purchase_mrp;base.group_user;0;0;0;0;0;0;0;0</v>
      </c>
      <c r="B507">
        <f t="shared" si="39"/>
        <v>0</v>
      </c>
      <c r="C507">
        <f t="shared" si="38"/>
        <v>0</v>
      </c>
      <c r="D507">
        <f t="shared" si="38"/>
        <v>0</v>
      </c>
      <c r="E507">
        <f t="shared" si="38"/>
        <v>0</v>
      </c>
      <c r="F507">
        <f t="shared" si="38"/>
        <v>0</v>
      </c>
      <c r="G507">
        <f t="shared" si="38"/>
        <v>0</v>
      </c>
      <c r="H507">
        <f t="shared" si="38"/>
        <v>0</v>
      </c>
      <c r="I507">
        <f t="shared" si="38"/>
        <v>0</v>
      </c>
      <c r="J507" s="12" t="s">
        <v>561</v>
      </c>
      <c r="K507" s="14" t="s">
        <v>1060</v>
      </c>
      <c r="L507" s="29"/>
      <c r="M507" s="14">
        <f>INDEX('Pivot Analysis'!A:B,MATCH(J507,'Pivot Analysis'!B:B,0),1)</f>
        <v>0</v>
      </c>
      <c r="N507" s="14">
        <f>INDEX(Cloc!E:F,MATCH(J507,Cloc!F:F,0),1)</f>
        <v>31.14</v>
      </c>
      <c r="O507" s="14">
        <f t="shared" si="35"/>
        <v>0</v>
      </c>
      <c r="P507" s="14">
        <f>O507/Q507</f>
        <v>0</v>
      </c>
      <c r="Q507">
        <f>MAX(1,SUMPRODUCT($R$1:$AD$1,R507:AD507))</f>
        <v>3</v>
      </c>
      <c r="Y507">
        <v>1</v>
      </c>
    </row>
    <row r="508" spans="1:28" x14ac:dyDescent="0.25">
      <c r="A508" s="25" t="str">
        <f t="shared" si="36"/>
        <v>purchase_price_diff;base.group_user;0;0;0;0;0;0;0;0</v>
      </c>
      <c r="B508">
        <f t="shared" si="39"/>
        <v>0</v>
      </c>
      <c r="C508">
        <f t="shared" si="38"/>
        <v>0</v>
      </c>
      <c r="D508">
        <f t="shared" si="38"/>
        <v>0</v>
      </c>
      <c r="E508">
        <f t="shared" si="38"/>
        <v>0</v>
      </c>
      <c r="F508">
        <f t="shared" si="38"/>
        <v>0</v>
      </c>
      <c r="G508">
        <f t="shared" si="38"/>
        <v>0</v>
      </c>
      <c r="H508">
        <f t="shared" si="38"/>
        <v>0</v>
      </c>
      <c r="I508">
        <f t="shared" si="38"/>
        <v>0</v>
      </c>
      <c r="J508" s="12" t="s">
        <v>562</v>
      </c>
      <c r="K508" s="14" t="s">
        <v>1060</v>
      </c>
      <c r="L508" s="29"/>
      <c r="M508" s="14">
        <f>INDEX('Pivot Analysis'!A:B,MATCH(J508,'Pivot Analysis'!B:B,0),1)</f>
        <v>0</v>
      </c>
      <c r="N508" s="14" t="e">
        <f>INDEX(Cloc!E:F,MATCH(J508,Cloc!F:F,0),1)</f>
        <v>#N/A</v>
      </c>
      <c r="O508" s="14">
        <f t="shared" si="35"/>
        <v>0</v>
      </c>
      <c r="P508" s="14">
        <f>O508/Q508</f>
        <v>0</v>
      </c>
      <c r="Q508">
        <f>MAX(1,SUMPRODUCT($R$1:$AD$1,R508:AD508))</f>
        <v>1</v>
      </c>
    </row>
    <row r="509" spans="1:28" x14ac:dyDescent="0.25">
      <c r="A509" s="25" t="str">
        <f t="shared" si="36"/>
        <v>purchase_product_matrix;base.group_user;6;6;6;6;6;6;6;6</v>
      </c>
      <c r="B509">
        <f t="shared" si="39"/>
        <v>6</v>
      </c>
      <c r="C509">
        <f t="shared" si="38"/>
        <v>6</v>
      </c>
      <c r="D509">
        <f t="shared" si="38"/>
        <v>6</v>
      </c>
      <c r="E509">
        <f t="shared" si="38"/>
        <v>6</v>
      </c>
      <c r="F509">
        <f t="shared" si="38"/>
        <v>6</v>
      </c>
      <c r="G509">
        <f t="shared" si="38"/>
        <v>6</v>
      </c>
      <c r="H509">
        <f t="shared" si="38"/>
        <v>6</v>
      </c>
      <c r="I509">
        <f t="shared" si="38"/>
        <v>6</v>
      </c>
      <c r="J509" s="12" t="s">
        <v>564</v>
      </c>
      <c r="K509" s="14" t="s">
        <v>1060</v>
      </c>
      <c r="L509" s="29"/>
      <c r="M509" s="14">
        <f>INDEX('Pivot Analysis'!A:B,MATCH(J509,'Pivot Analysis'!B:B,0),1)</f>
        <v>6</v>
      </c>
      <c r="N509" s="14" t="e">
        <f>INDEX(Cloc!E:F,MATCH(J509,Cloc!F:F,0),1)</f>
        <v>#N/A</v>
      </c>
      <c r="O509" s="14">
        <f t="shared" si="35"/>
        <v>6</v>
      </c>
      <c r="P509" s="14">
        <f>O509/Q509</f>
        <v>6</v>
      </c>
      <c r="Q509">
        <f>MAX(1,SUMPRODUCT($R$1:$AD$1,R509:AD509))</f>
        <v>1</v>
      </c>
    </row>
    <row r="510" spans="1:28" x14ac:dyDescent="0.25">
      <c r="A510" s="25" t="str">
        <f t="shared" si="36"/>
        <v>purchase_repair;base.group_user;2,1;4,2;6,3;6,3;6,3;6,3;6,3;6,3</v>
      </c>
      <c r="B510">
        <f t="shared" si="39"/>
        <v>2.1</v>
      </c>
      <c r="C510">
        <f t="shared" si="38"/>
        <v>4.2</v>
      </c>
      <c r="D510">
        <f t="shared" si="38"/>
        <v>6.3000000000000007</v>
      </c>
      <c r="E510">
        <f t="shared" si="38"/>
        <v>6.3000000000000007</v>
      </c>
      <c r="F510">
        <f t="shared" si="38"/>
        <v>6.3000000000000007</v>
      </c>
      <c r="G510">
        <f t="shared" si="38"/>
        <v>6.3000000000000007</v>
      </c>
      <c r="H510">
        <f t="shared" si="38"/>
        <v>6.3000000000000007</v>
      </c>
      <c r="I510">
        <f t="shared" si="38"/>
        <v>6.3000000000000007</v>
      </c>
      <c r="J510" s="14" t="s">
        <v>1065</v>
      </c>
      <c r="K510" s="14" t="s">
        <v>1060</v>
      </c>
      <c r="L510" s="29"/>
      <c r="M510" s="14" t="e">
        <f>INDEX('Pivot Analysis'!A:B,MATCH(J510,'Pivot Analysis'!B:B,0),1)</f>
        <v>#N/A</v>
      </c>
      <c r="N510" s="14">
        <f>INDEX(Cloc!E:F,MATCH(J510,Cloc!F:F,0),1)</f>
        <v>6.3000000000000007</v>
      </c>
      <c r="O510" s="14">
        <f t="shared" si="35"/>
        <v>6.3000000000000007</v>
      </c>
      <c r="P510" s="14">
        <f>O510/Q510</f>
        <v>2.1</v>
      </c>
      <c r="Q510">
        <f>MAX(1,SUMPRODUCT($R$1:$AD$1,R510:AD510))</f>
        <v>3</v>
      </c>
      <c r="Y510">
        <v>1</v>
      </c>
    </row>
    <row r="511" spans="1:28" x14ac:dyDescent="0.25">
      <c r="A511" s="25" t="str">
        <f t="shared" si="36"/>
        <v>purchase_requisition;base.group_user;34,8;34,8;34,8;34,8;34,8;34,8;34,8;34,8</v>
      </c>
      <c r="B511">
        <f t="shared" si="39"/>
        <v>34.800000000000004</v>
      </c>
      <c r="C511">
        <f t="shared" si="38"/>
        <v>34.800000000000004</v>
      </c>
      <c r="D511">
        <f t="shared" si="38"/>
        <v>34.800000000000004</v>
      </c>
      <c r="E511">
        <f t="shared" si="38"/>
        <v>34.800000000000004</v>
      </c>
      <c r="F511">
        <f t="shared" si="38"/>
        <v>34.800000000000004</v>
      </c>
      <c r="G511">
        <f t="shared" si="38"/>
        <v>34.800000000000004</v>
      </c>
      <c r="H511">
        <f t="shared" si="38"/>
        <v>34.800000000000004</v>
      </c>
      <c r="I511">
        <f t="shared" si="38"/>
        <v>34.800000000000004</v>
      </c>
      <c r="J511" s="12" t="s">
        <v>565</v>
      </c>
      <c r="K511" s="14" t="s">
        <v>1060</v>
      </c>
      <c r="L511" s="29"/>
      <c r="M511" s="14">
        <f>INDEX('Pivot Analysis'!A:B,MATCH(J511,'Pivot Analysis'!B:B,0),1)</f>
        <v>34.800000000000004</v>
      </c>
      <c r="N511" s="14" t="e">
        <f>INDEX(Cloc!E:F,MATCH(J511,Cloc!F:F,0),1)</f>
        <v>#N/A</v>
      </c>
      <c r="O511" s="14">
        <f t="shared" si="35"/>
        <v>34.800000000000004</v>
      </c>
      <c r="P511" s="14">
        <f>O511/Q511</f>
        <v>34.800000000000004</v>
      </c>
      <c r="Q511">
        <f>MAX(1,SUMPRODUCT($R$1:$AD$1,R511:AD511))</f>
        <v>1</v>
      </c>
    </row>
    <row r="512" spans="1:28" x14ac:dyDescent="0.25">
      <c r="A512" s="25" t="str">
        <f t="shared" si="36"/>
        <v>purchase_requisition_sale;base.group_user;30;30;30;30;30;30;30;30</v>
      </c>
      <c r="B512">
        <f t="shared" si="39"/>
        <v>30</v>
      </c>
      <c r="C512">
        <f t="shared" si="38"/>
        <v>30</v>
      </c>
      <c r="D512">
        <f t="shared" si="38"/>
        <v>30</v>
      </c>
      <c r="E512">
        <f t="shared" si="38"/>
        <v>30</v>
      </c>
      <c r="F512">
        <f t="shared" si="38"/>
        <v>30</v>
      </c>
      <c r="G512">
        <f t="shared" si="38"/>
        <v>30</v>
      </c>
      <c r="H512">
        <f t="shared" si="38"/>
        <v>30</v>
      </c>
      <c r="I512">
        <f t="shared" si="38"/>
        <v>30</v>
      </c>
      <c r="J512" s="12" t="s">
        <v>968</v>
      </c>
      <c r="K512" s="14" t="s">
        <v>1060</v>
      </c>
      <c r="L512" s="29"/>
      <c r="M512" s="14">
        <f>INDEX('Pivot Analysis'!A:B,MATCH(J512,'Pivot Analysis'!B:B,0),1)</f>
        <v>30</v>
      </c>
      <c r="N512" s="14" t="e">
        <f>INDEX(Cloc!E:F,MATCH(J512,Cloc!F:F,0),1)</f>
        <v>#N/A</v>
      </c>
      <c r="O512" s="14">
        <f t="shared" si="35"/>
        <v>30</v>
      </c>
      <c r="P512" s="14">
        <f>O512/Q512</f>
        <v>30</v>
      </c>
      <c r="Q512">
        <f>MAX(1,SUMPRODUCT($R$1:$AD$1,R512:AD512))</f>
        <v>1</v>
      </c>
    </row>
    <row r="513" spans="1:26" x14ac:dyDescent="0.25">
      <c r="A513" s="25" t="str">
        <f t="shared" si="36"/>
        <v>purchase_requisition_stock;base.group_user;0;0;0;0;0;0;0;0</v>
      </c>
      <c r="B513">
        <f t="shared" si="39"/>
        <v>0</v>
      </c>
      <c r="C513">
        <f t="shared" si="38"/>
        <v>0</v>
      </c>
      <c r="D513">
        <f t="shared" si="38"/>
        <v>0</v>
      </c>
      <c r="E513">
        <f t="shared" si="38"/>
        <v>0</v>
      </c>
      <c r="F513">
        <f t="shared" si="38"/>
        <v>0</v>
      </c>
      <c r="G513">
        <f t="shared" si="38"/>
        <v>0</v>
      </c>
      <c r="H513">
        <f t="shared" si="38"/>
        <v>0</v>
      </c>
      <c r="I513">
        <f t="shared" si="38"/>
        <v>0</v>
      </c>
      <c r="J513" s="12" t="s">
        <v>567</v>
      </c>
      <c r="K513" s="14" t="s">
        <v>1060</v>
      </c>
      <c r="L513" s="29"/>
      <c r="M513" s="14">
        <f>INDEX('Pivot Analysis'!A:B,MATCH(J513,'Pivot Analysis'!B:B,0),1)</f>
        <v>0</v>
      </c>
      <c r="N513" s="14" t="e">
        <f>INDEX(Cloc!E:F,MATCH(J513,Cloc!F:F,0),1)</f>
        <v>#N/A</v>
      </c>
      <c r="O513" s="14">
        <f t="shared" si="35"/>
        <v>0</v>
      </c>
      <c r="P513" s="14">
        <f>O513/Q513</f>
        <v>0</v>
      </c>
      <c r="Q513">
        <f>MAX(1,SUMPRODUCT($R$1:$AD$1,R513:AD513))</f>
        <v>1</v>
      </c>
    </row>
    <row r="514" spans="1:26" x14ac:dyDescent="0.25">
      <c r="A514" s="25" t="str">
        <f t="shared" si="36"/>
        <v>purchase_stock;base.group_user;2,4;4,8;7,2;9,6;12;12;12;12</v>
      </c>
      <c r="B514">
        <f t="shared" si="39"/>
        <v>2.4</v>
      </c>
      <c r="C514">
        <f t="shared" si="38"/>
        <v>4.8</v>
      </c>
      <c r="D514">
        <f t="shared" si="38"/>
        <v>7.1999999999999993</v>
      </c>
      <c r="E514">
        <f t="shared" si="38"/>
        <v>9.6</v>
      </c>
      <c r="F514">
        <f t="shared" si="38"/>
        <v>12</v>
      </c>
      <c r="G514">
        <f t="shared" si="38"/>
        <v>12</v>
      </c>
      <c r="H514">
        <f t="shared" si="38"/>
        <v>12</v>
      </c>
      <c r="I514">
        <f t="shared" si="38"/>
        <v>12</v>
      </c>
      <c r="J514" s="12" t="s">
        <v>568</v>
      </c>
      <c r="K514" s="14" t="s">
        <v>1060</v>
      </c>
      <c r="L514" s="29"/>
      <c r="M514" s="14">
        <f>INDEX('Pivot Analysis'!A:B,MATCH(J514,'Pivot Analysis'!B:B,0),1)</f>
        <v>12</v>
      </c>
      <c r="N514" s="14">
        <f>INDEX(Cloc!E:F,MATCH(J514,Cloc!F:F,0),1)</f>
        <v>209.52</v>
      </c>
      <c r="O514" s="14">
        <f t="shared" si="35"/>
        <v>12</v>
      </c>
      <c r="P514" s="14">
        <f>O514/Q514</f>
        <v>2.4</v>
      </c>
      <c r="Q514">
        <f>MAX(1,SUMPRODUCT($R$1:$AD$1,R514:AD514))</f>
        <v>5</v>
      </c>
      <c r="X514">
        <v>1</v>
      </c>
      <c r="Y514" t="str">
        <f>IF(SUM(R514:X514)&gt;0,"",VLOOKUP(J514,'Apps-from-odoo'!A:A,1,0))</f>
        <v/>
      </c>
    </row>
    <row r="515" spans="1:26" x14ac:dyDescent="0.25">
      <c r="A515" s="25" t="str">
        <f t="shared" si="36"/>
        <v>quality_control;base.group_user;1000;1000;1000;1000;1000;1000;1000;1000</v>
      </c>
      <c r="B515">
        <f t="shared" si="39"/>
        <v>1000</v>
      </c>
      <c r="C515">
        <f t="shared" si="38"/>
        <v>1000</v>
      </c>
      <c r="D515">
        <f t="shared" si="38"/>
        <v>1000</v>
      </c>
      <c r="E515">
        <f t="shared" si="38"/>
        <v>1000</v>
      </c>
      <c r="F515">
        <f t="shared" si="38"/>
        <v>1000</v>
      </c>
      <c r="G515">
        <f t="shared" si="38"/>
        <v>1000</v>
      </c>
      <c r="H515">
        <f t="shared" si="38"/>
        <v>1000</v>
      </c>
      <c r="I515">
        <f t="shared" si="38"/>
        <v>1000</v>
      </c>
      <c r="J515" s="14" t="s">
        <v>1078</v>
      </c>
      <c r="K515" s="14" t="s">
        <v>1060</v>
      </c>
      <c r="L515" s="29"/>
      <c r="M515" s="14" t="e">
        <f>INDEX('Pivot Analysis'!A:B,MATCH(J515,'Pivot Analysis'!B:B,0),1)</f>
        <v>#N/A</v>
      </c>
      <c r="N515" s="14" t="e">
        <f>INDEX(Cloc!E:F,MATCH(J515,Cloc!F:F,0),1)</f>
        <v>#N/A</v>
      </c>
      <c r="O515" s="14">
        <f t="shared" si="35"/>
        <v>1000</v>
      </c>
      <c r="P515" s="14">
        <f>O515/Q515</f>
        <v>1000</v>
      </c>
      <c r="Q515">
        <f>MAX(1,SUMPRODUCT($R$1:$AD$1,R515:AD515))</f>
        <v>1</v>
      </c>
      <c r="Z515">
        <v>1</v>
      </c>
    </row>
    <row r="516" spans="1:26" x14ac:dyDescent="0.25">
      <c r="A516" s="25" t="str">
        <f t="shared" si="36"/>
        <v>rating;base.group_user;1,5;3;4,5;6;7,5;7,5;7,5;7,5</v>
      </c>
      <c r="B516">
        <f t="shared" si="39"/>
        <v>1.5</v>
      </c>
      <c r="C516">
        <f t="shared" si="38"/>
        <v>3</v>
      </c>
      <c r="D516">
        <f t="shared" si="38"/>
        <v>4.5</v>
      </c>
      <c r="E516">
        <f t="shared" si="38"/>
        <v>6</v>
      </c>
      <c r="F516">
        <f t="shared" si="38"/>
        <v>7.5</v>
      </c>
      <c r="G516">
        <f t="shared" si="38"/>
        <v>7.5</v>
      </c>
      <c r="H516">
        <f t="shared" si="38"/>
        <v>7.5</v>
      </c>
      <c r="I516">
        <f t="shared" si="38"/>
        <v>7.5</v>
      </c>
      <c r="J516" s="12" t="s">
        <v>570</v>
      </c>
      <c r="K516" s="14" t="s">
        <v>1060</v>
      </c>
      <c r="L516" s="29"/>
      <c r="M516" s="14">
        <f>INDEX('Pivot Analysis'!A:B,MATCH(J516,'Pivot Analysis'!B:B,0),1)</f>
        <v>7.5</v>
      </c>
      <c r="N516" s="14">
        <f>INDEX(Cloc!E:F,MATCH(J516,Cloc!F:F,0),1)</f>
        <v>79.98</v>
      </c>
      <c r="O516" s="14">
        <f t="shared" si="35"/>
        <v>7.5</v>
      </c>
      <c r="P516" s="14">
        <f>O516/Q516</f>
        <v>1.5</v>
      </c>
      <c r="Q516">
        <f>MAX(1,SUMPRODUCT($R$1:$AD$1,R516:AD516))</f>
        <v>5</v>
      </c>
      <c r="X516">
        <v>1</v>
      </c>
      <c r="Y516" t="str">
        <f>IF(SUM(R516:X516)&gt;0,"",VLOOKUP(J516,'Apps-from-odoo'!A:A,1,0))</f>
        <v/>
      </c>
    </row>
    <row r="517" spans="1:26" x14ac:dyDescent="0.25">
      <c r="A517" s="25" t="str">
        <f t="shared" si="36"/>
        <v>repair;base.group_user;49;98;147;196;245;245;245;245</v>
      </c>
      <c r="B517">
        <f t="shared" si="39"/>
        <v>49</v>
      </c>
      <c r="C517">
        <f t="shared" si="38"/>
        <v>98</v>
      </c>
      <c r="D517">
        <f t="shared" si="38"/>
        <v>147</v>
      </c>
      <c r="E517">
        <f t="shared" si="38"/>
        <v>196</v>
      </c>
      <c r="F517">
        <f t="shared" si="38"/>
        <v>245</v>
      </c>
      <c r="G517">
        <f t="shared" si="38"/>
        <v>245</v>
      </c>
      <c r="H517">
        <f t="shared" si="38"/>
        <v>245</v>
      </c>
      <c r="I517">
        <f t="shared" si="38"/>
        <v>245</v>
      </c>
      <c r="J517" s="12" t="s">
        <v>572</v>
      </c>
      <c r="K517" s="14" t="s">
        <v>1060</v>
      </c>
      <c r="L517" s="29">
        <f>49*5</f>
        <v>245</v>
      </c>
      <c r="M517" s="14">
        <f>INDEX('Pivot Analysis'!A:B,MATCH(J517,'Pivot Analysis'!B:B,0),1)</f>
        <v>1314.2999999999997</v>
      </c>
      <c r="N517" s="14">
        <f>INDEX(Cloc!E:F,MATCH(J517,Cloc!F:F,0),1)</f>
        <v>155.46</v>
      </c>
      <c r="O517" s="14">
        <f t="shared" ref="O517:O580" si="40">IFERROR(IFERROR(IF(L517&lt;&gt;"",L517,M517),N517),$O$1)</f>
        <v>245</v>
      </c>
      <c r="P517" s="14">
        <f>O517/Q517</f>
        <v>49</v>
      </c>
      <c r="Q517">
        <f>MAX(1,SUMPRODUCT($R$1:$AD$1,R517:AD517))</f>
        <v>5</v>
      </c>
      <c r="X517">
        <v>1</v>
      </c>
    </row>
    <row r="518" spans="1:26" x14ac:dyDescent="0.25">
      <c r="A518" s="25" t="str">
        <f t="shared" si="36"/>
        <v>resource;base.group_user;0;0;0;0;0;0;0;0</v>
      </c>
      <c r="B518">
        <f t="shared" si="39"/>
        <v>0</v>
      </c>
      <c r="C518">
        <f t="shared" si="38"/>
        <v>0</v>
      </c>
      <c r="D518">
        <f t="shared" si="38"/>
        <v>0</v>
      </c>
      <c r="E518">
        <f t="shared" si="38"/>
        <v>0</v>
      </c>
      <c r="F518">
        <f t="shared" si="38"/>
        <v>0</v>
      </c>
      <c r="G518">
        <f t="shared" si="38"/>
        <v>0</v>
      </c>
      <c r="H518">
        <f t="shared" si="38"/>
        <v>0</v>
      </c>
      <c r="I518">
        <f t="shared" si="38"/>
        <v>0</v>
      </c>
      <c r="J518" s="12" t="s">
        <v>575</v>
      </c>
      <c r="K518" s="14" t="s">
        <v>1060</v>
      </c>
      <c r="L518" s="29"/>
      <c r="M518" s="14">
        <f>INDEX('Pivot Analysis'!A:B,MATCH(J518,'Pivot Analysis'!B:B,0),1)</f>
        <v>0</v>
      </c>
      <c r="N518" s="14">
        <f>INDEX(Cloc!E:F,MATCH(J518,Cloc!F:F,0),1)</f>
        <v>143.64000000000001</v>
      </c>
      <c r="O518" s="14">
        <f t="shared" si="40"/>
        <v>0</v>
      </c>
      <c r="P518" s="14">
        <f>O518/Q518</f>
        <v>0</v>
      </c>
      <c r="Q518">
        <f>MAX(1,SUMPRODUCT($R$1:$AD$1,R518:AD518))</f>
        <v>10</v>
      </c>
      <c r="U518">
        <v>1</v>
      </c>
      <c r="X518" t="str">
        <f>IF(SUM(R518:W518)=0,VLOOKUP(J518,#REF!,1,0),"")</f>
        <v/>
      </c>
      <c r="Y518" t="str">
        <f>IF(SUM(R518:X518)&gt;0,"",VLOOKUP(J518,'Apps-from-odoo'!A:A,1,0))</f>
        <v/>
      </c>
    </row>
    <row r="519" spans="1:26" x14ac:dyDescent="0.25">
      <c r="A519" s="25" t="str">
        <f t="shared" si="36"/>
        <v>resource_mail;base.group_user;2,07;4,14;6,21;8,28;10,35;12,42;14,49;16,56</v>
      </c>
      <c r="B519">
        <f t="shared" si="39"/>
        <v>2.0700000000000003</v>
      </c>
      <c r="C519">
        <f t="shared" si="38"/>
        <v>4.1400000000000006</v>
      </c>
      <c r="D519">
        <f t="shared" si="38"/>
        <v>6.2100000000000009</v>
      </c>
      <c r="E519">
        <f t="shared" si="38"/>
        <v>8.2800000000000011</v>
      </c>
      <c r="F519">
        <f t="shared" si="38"/>
        <v>10.350000000000001</v>
      </c>
      <c r="G519">
        <f t="shared" si="38"/>
        <v>12.420000000000002</v>
      </c>
      <c r="H519">
        <f t="shared" si="38"/>
        <v>14.490000000000002</v>
      </c>
      <c r="I519">
        <f t="shared" si="38"/>
        <v>16.560000000000002</v>
      </c>
      <c r="J519" s="12" t="s">
        <v>1043</v>
      </c>
      <c r="K519" s="14" t="s">
        <v>1060</v>
      </c>
      <c r="L519" s="29"/>
      <c r="M519" s="14" t="e">
        <f>INDEX('Pivot Analysis'!A:B,MATCH(J519,'Pivot Analysis'!B:B,0),1)</f>
        <v>#N/A</v>
      </c>
      <c r="N519" s="14">
        <f>INDEX(Cloc!E:F,MATCH(J519,Cloc!F:F,0),1)</f>
        <v>20.700000000000003</v>
      </c>
      <c r="O519" s="14">
        <f t="shared" si="40"/>
        <v>20.700000000000003</v>
      </c>
      <c r="P519" s="14">
        <f>O519/Q519</f>
        <v>2.0700000000000003</v>
      </c>
      <c r="Q519">
        <f>MAX(1,SUMPRODUCT($R$1:$AD$1,R519:AD519))</f>
        <v>10</v>
      </c>
      <c r="U519">
        <v>1</v>
      </c>
      <c r="X519" t="str">
        <f>IF(SUM(R519:W519)=0,VLOOKUP(J519,#REF!,1,0),"")</f>
        <v/>
      </c>
      <c r="Y519" t="str">
        <f>IF(SUM(R519:X519)&gt;0,"",VLOOKUP(J519,'Apps-from-odoo'!A:A,1,0))</f>
        <v/>
      </c>
    </row>
    <row r="520" spans="1:26" x14ac:dyDescent="0.25">
      <c r="A520" s="25" t="str">
        <f t="shared" si="36"/>
        <v>sale;base.group_user;5,88;11,76;17,64;23,52;29,4;29,4;29,4;29,4</v>
      </c>
      <c r="B520">
        <f t="shared" si="39"/>
        <v>5.88</v>
      </c>
      <c r="C520">
        <f t="shared" si="38"/>
        <v>11.76</v>
      </c>
      <c r="D520">
        <f t="shared" si="38"/>
        <v>17.64</v>
      </c>
      <c r="E520">
        <f t="shared" si="38"/>
        <v>23.52</v>
      </c>
      <c r="F520">
        <f t="shared" si="38"/>
        <v>29.4</v>
      </c>
      <c r="G520">
        <f t="shared" si="38"/>
        <v>29.4</v>
      </c>
      <c r="H520">
        <f t="shared" si="38"/>
        <v>29.4</v>
      </c>
      <c r="I520">
        <f t="shared" si="38"/>
        <v>29.4</v>
      </c>
      <c r="J520" s="12" t="s">
        <v>577</v>
      </c>
      <c r="K520" s="14" t="s">
        <v>1060</v>
      </c>
      <c r="L520" s="29"/>
      <c r="M520" s="14">
        <f>INDEX('Pivot Analysis'!A:B,MATCH(J520,'Pivot Analysis'!B:B,0),1)</f>
        <v>29.4</v>
      </c>
      <c r="N520" s="14">
        <f>INDEX(Cloc!E:F,MATCH(J520,Cloc!F:F,0),1)</f>
        <v>963</v>
      </c>
      <c r="O520" s="14">
        <f t="shared" si="40"/>
        <v>29.4</v>
      </c>
      <c r="P520" s="14">
        <f>O520/Q520</f>
        <v>5.88</v>
      </c>
      <c r="Q520">
        <f>MAX(1,SUMPRODUCT($R$1:$AD$1,R520:AD520))</f>
        <v>5</v>
      </c>
      <c r="W520">
        <v>1</v>
      </c>
      <c r="X520" t="str">
        <f>IF(SUM(R520:W520)=0,VLOOKUP(J520,#REF!,1,0),"")</f>
        <v/>
      </c>
      <c r="Y520" t="str">
        <f>IF(SUM(R520:X520)&gt;0,"",VLOOKUP(J520,'Apps-from-odoo'!A:A,1,0))</f>
        <v/>
      </c>
    </row>
    <row r="521" spans="1:26" x14ac:dyDescent="0.25">
      <c r="A521" s="25" t="str">
        <f t="shared" ref="A521:A584" si="41">J521&amp;";"&amp;K521&amp;";"&amp;B521&amp;";"&amp;C521&amp;";"&amp;D521&amp;";"&amp;E521&amp;";"&amp;F521&amp;";"&amp;G521&amp;";"&amp;H521&amp;";"&amp;I521</f>
        <v>sale_async_emails;base.group_user;0;0;0;0;0;0;0;0</v>
      </c>
      <c r="B521">
        <f t="shared" si="39"/>
        <v>0</v>
      </c>
      <c r="C521">
        <f t="shared" si="38"/>
        <v>0</v>
      </c>
      <c r="D521">
        <f t="shared" si="38"/>
        <v>0</v>
      </c>
      <c r="E521">
        <f t="shared" si="38"/>
        <v>0</v>
      </c>
      <c r="F521">
        <f t="shared" si="38"/>
        <v>0</v>
      </c>
      <c r="G521">
        <f t="shared" si="38"/>
        <v>0</v>
      </c>
      <c r="H521">
        <f t="shared" si="38"/>
        <v>0</v>
      </c>
      <c r="I521">
        <f t="shared" si="38"/>
        <v>0</v>
      </c>
      <c r="J521" s="12" t="s">
        <v>973</v>
      </c>
      <c r="K521" s="14" t="s">
        <v>1060</v>
      </c>
      <c r="L521" s="29"/>
      <c r="M521" s="14">
        <f>INDEX('Pivot Analysis'!A:B,MATCH(J521,'Pivot Analysis'!B:B,0),1)</f>
        <v>0</v>
      </c>
      <c r="N521" s="14">
        <f>INDEX(Cloc!E:F,MATCH(J521,Cloc!F:F,0),1)</f>
        <v>4.5</v>
      </c>
      <c r="O521" s="14">
        <f t="shared" si="40"/>
        <v>0</v>
      </c>
      <c r="P521" s="14">
        <f>O521/Q521</f>
        <v>0</v>
      </c>
      <c r="Q521">
        <f>MAX(1,SUMPRODUCT($R$1:$AD$1,R521:AD521))</f>
        <v>5</v>
      </c>
      <c r="W521">
        <v>1</v>
      </c>
      <c r="X521" t="str">
        <f>IF(SUM(R521:W521)=0,VLOOKUP(J521,#REF!,1,0),"")</f>
        <v/>
      </c>
      <c r="Y521" t="str">
        <f>IF(SUM(R521:X521)&gt;0,"",VLOOKUP(J521,'Apps-from-odoo'!A:A,1,0))</f>
        <v/>
      </c>
    </row>
    <row r="522" spans="1:26" x14ac:dyDescent="0.25">
      <c r="A522" s="25" t="str">
        <f t="shared" si="41"/>
        <v>sale_crm;base.group_user;0;0;0;0;0;0;0;0</v>
      </c>
      <c r="B522">
        <f t="shared" si="39"/>
        <v>0</v>
      </c>
      <c r="C522">
        <f t="shared" si="38"/>
        <v>0</v>
      </c>
      <c r="D522">
        <f t="shared" si="38"/>
        <v>0</v>
      </c>
      <c r="E522">
        <f t="shared" si="38"/>
        <v>0</v>
      </c>
      <c r="F522">
        <f t="shared" si="38"/>
        <v>0</v>
      </c>
      <c r="G522">
        <f t="shared" si="38"/>
        <v>0</v>
      </c>
      <c r="H522">
        <f t="shared" si="38"/>
        <v>0</v>
      </c>
      <c r="I522">
        <f t="shared" si="38"/>
        <v>0</v>
      </c>
      <c r="J522" s="12" t="s">
        <v>579</v>
      </c>
      <c r="K522" s="14" t="s">
        <v>1060</v>
      </c>
      <c r="L522" s="29"/>
      <c r="M522" s="14">
        <f>INDEX('Pivot Analysis'!A:B,MATCH(J522,'Pivot Analysis'!B:B,0),1)</f>
        <v>0</v>
      </c>
      <c r="N522" s="14">
        <f>INDEX(Cloc!E:F,MATCH(J522,Cloc!F:F,0),1)</f>
        <v>25.86</v>
      </c>
      <c r="O522" s="14">
        <f t="shared" si="40"/>
        <v>0</v>
      </c>
      <c r="P522" s="14">
        <f>O522/Q522</f>
        <v>0</v>
      </c>
      <c r="Q522">
        <f>MAX(1,SUMPRODUCT($R$1:$AD$1,R522:AD522))</f>
        <v>3</v>
      </c>
      <c r="Y522">
        <v>1</v>
      </c>
    </row>
    <row r="523" spans="1:26" x14ac:dyDescent="0.25">
      <c r="A523" s="25" t="str">
        <f t="shared" si="41"/>
        <v>sale_edi_ubl;base.group_user;3,06;6,12;9,18;12,24;15,3;15,3;15,3;15,3</v>
      </c>
      <c r="B523">
        <f t="shared" si="39"/>
        <v>3.0599999999999996</v>
      </c>
      <c r="C523">
        <f t="shared" si="38"/>
        <v>6.1199999999999992</v>
      </c>
      <c r="D523">
        <f t="shared" si="38"/>
        <v>9.18</v>
      </c>
      <c r="E523">
        <f t="shared" si="38"/>
        <v>12.239999999999998</v>
      </c>
      <c r="F523">
        <f t="shared" si="38"/>
        <v>15.299999999999997</v>
      </c>
      <c r="G523">
        <f t="shared" si="38"/>
        <v>15.299999999999997</v>
      </c>
      <c r="H523">
        <f t="shared" si="38"/>
        <v>15.299999999999997</v>
      </c>
      <c r="I523">
        <f t="shared" si="38"/>
        <v>15.299999999999997</v>
      </c>
      <c r="J523" s="12" t="s">
        <v>1046</v>
      </c>
      <c r="K523" s="14" t="s">
        <v>1060</v>
      </c>
      <c r="L523" s="29"/>
      <c r="M523" s="14" t="e">
        <f>INDEX('Pivot Analysis'!A:B,MATCH(J523,'Pivot Analysis'!B:B,0),1)</f>
        <v>#N/A</v>
      </c>
      <c r="N523" s="14">
        <f>INDEX(Cloc!E:F,MATCH(J523,Cloc!F:F,0),1)</f>
        <v>15.299999999999999</v>
      </c>
      <c r="O523" s="14">
        <f t="shared" si="40"/>
        <v>15.299999999999999</v>
      </c>
      <c r="P523" s="14">
        <f>O523/Q523</f>
        <v>3.0599999999999996</v>
      </c>
      <c r="Q523">
        <f>MAX(1,SUMPRODUCT($R$1:$AD$1,R523:AD523))</f>
        <v>5</v>
      </c>
      <c r="W523">
        <v>1</v>
      </c>
      <c r="X523" t="str">
        <f>IF(SUM(R523:W523)=0,VLOOKUP(J523,#REF!,1,0),"")</f>
        <v/>
      </c>
      <c r="Y523" t="str">
        <f>IF(SUM(R523:X523)&gt;0,"",VLOOKUP(J523,'Apps-from-odoo'!A:A,1,0))</f>
        <v/>
      </c>
    </row>
    <row r="524" spans="1:26" x14ac:dyDescent="0.25">
      <c r="A524" s="25" t="str">
        <f t="shared" si="41"/>
        <v>sale_expense;base.group_user;0;0;0;0;0;0;0;0</v>
      </c>
      <c r="B524">
        <f t="shared" si="39"/>
        <v>0</v>
      </c>
      <c r="C524">
        <f t="shared" si="38"/>
        <v>0</v>
      </c>
      <c r="D524">
        <f t="shared" si="38"/>
        <v>0</v>
      </c>
      <c r="E524">
        <f t="shared" si="38"/>
        <v>0</v>
      </c>
      <c r="F524">
        <f t="shared" si="38"/>
        <v>0</v>
      </c>
      <c r="G524">
        <f t="shared" si="38"/>
        <v>0</v>
      </c>
      <c r="H524">
        <f t="shared" si="38"/>
        <v>0</v>
      </c>
      <c r="I524">
        <f t="shared" si="38"/>
        <v>0</v>
      </c>
      <c r="J524" s="12" t="s">
        <v>580</v>
      </c>
      <c r="K524" s="14" t="s">
        <v>1060</v>
      </c>
      <c r="L524" s="29"/>
      <c r="M524" s="14">
        <f>INDEX('Pivot Analysis'!A:B,MATCH(J524,'Pivot Analysis'!B:B,0),1)</f>
        <v>0</v>
      </c>
      <c r="N524" s="14">
        <f>INDEX(Cloc!E:F,MATCH(J524,Cloc!F:F,0),1)</f>
        <v>34.26</v>
      </c>
      <c r="O524" s="14">
        <f t="shared" si="40"/>
        <v>0</v>
      </c>
      <c r="P524" s="14">
        <f>O524/Q524</f>
        <v>0</v>
      </c>
      <c r="Q524">
        <f>MAX(1,SUMPRODUCT($R$1:$AD$1,R524:AD524))</f>
        <v>5</v>
      </c>
      <c r="X524">
        <v>1</v>
      </c>
      <c r="Y524" t="str">
        <f>IF(SUM(R524:X524)&gt;0,"",VLOOKUP(J524,'Apps-from-odoo'!A:A,1,0))</f>
        <v/>
      </c>
    </row>
    <row r="525" spans="1:26" x14ac:dyDescent="0.25">
      <c r="A525" s="25" t="str">
        <f t="shared" si="41"/>
        <v>sale_expense_margin;base.group_user;0;0;0;0;0;0;0;0</v>
      </c>
      <c r="B525">
        <f t="shared" si="39"/>
        <v>0</v>
      </c>
      <c r="C525">
        <f t="shared" si="38"/>
        <v>0</v>
      </c>
      <c r="D525">
        <f t="shared" si="38"/>
        <v>0</v>
      </c>
      <c r="E525">
        <f t="shared" si="38"/>
        <v>0</v>
      </c>
      <c r="F525">
        <f t="shared" si="38"/>
        <v>0</v>
      </c>
      <c r="G525">
        <f t="shared" si="38"/>
        <v>0</v>
      </c>
      <c r="H525">
        <f t="shared" si="38"/>
        <v>0</v>
      </c>
      <c r="I525">
        <f t="shared" si="38"/>
        <v>0</v>
      </c>
      <c r="J525" s="12" t="s">
        <v>581</v>
      </c>
      <c r="K525" s="14" t="s">
        <v>1060</v>
      </c>
      <c r="L525" s="29"/>
      <c r="M525" s="14">
        <f>INDEX('Pivot Analysis'!A:B,MATCH(J525,'Pivot Analysis'!B:B,0),1)</f>
        <v>0</v>
      </c>
      <c r="N525" s="14" t="e">
        <f>INDEX(Cloc!E:F,MATCH(J525,Cloc!F:F,0),1)</f>
        <v>#N/A</v>
      </c>
      <c r="O525" s="14">
        <f t="shared" si="40"/>
        <v>0</v>
      </c>
      <c r="P525" s="14">
        <f>O525/Q525</f>
        <v>0</v>
      </c>
      <c r="Q525">
        <f>MAX(1,SUMPRODUCT($R$1:$AD$1,R525:AD525))</f>
        <v>1</v>
      </c>
    </row>
    <row r="526" spans="1:26" x14ac:dyDescent="0.25">
      <c r="A526" s="25" t="str">
        <f t="shared" si="41"/>
        <v>sale_gelato;base.group_user;1000;1000;1000;1000;1000;1000;1000;1000</v>
      </c>
      <c r="B526">
        <f t="shared" si="39"/>
        <v>1000</v>
      </c>
      <c r="C526">
        <f t="shared" si="38"/>
        <v>1000</v>
      </c>
      <c r="D526">
        <f t="shared" si="38"/>
        <v>1000</v>
      </c>
      <c r="E526">
        <f t="shared" si="38"/>
        <v>1000</v>
      </c>
      <c r="F526">
        <f t="shared" si="38"/>
        <v>1000</v>
      </c>
      <c r="G526">
        <f t="shared" si="38"/>
        <v>1000</v>
      </c>
      <c r="H526">
        <f t="shared" si="38"/>
        <v>1000</v>
      </c>
      <c r="I526">
        <f t="shared" si="38"/>
        <v>1000</v>
      </c>
      <c r="J526" s="14" t="s">
        <v>1105</v>
      </c>
      <c r="K526" s="14" t="s">
        <v>1060</v>
      </c>
      <c r="L526" s="29"/>
      <c r="M526" s="14" t="e">
        <f>INDEX('Pivot Analysis'!A:B,MATCH(J526,'Pivot Analysis'!B:B,0),1)</f>
        <v>#N/A</v>
      </c>
      <c r="N526" s="14" t="e">
        <f>INDEX(Cloc!E:F,MATCH(J526,Cloc!F:F,0),1)</f>
        <v>#N/A</v>
      </c>
      <c r="O526" s="14">
        <f t="shared" si="40"/>
        <v>1000</v>
      </c>
      <c r="P526" s="14">
        <f>O526/Q526</f>
        <v>1000</v>
      </c>
      <c r="Q526">
        <f>MAX(1,SUMPRODUCT($R$1:$AD$1,R526:AD526))</f>
        <v>1</v>
      </c>
      <c r="Z526">
        <v>1</v>
      </c>
    </row>
    <row r="527" spans="1:26" x14ac:dyDescent="0.25">
      <c r="A527" s="25" t="str">
        <f t="shared" si="41"/>
        <v>sale_gelato_stock;base.group_user;1000;1000;1000;1000;1000;1000;1000;1000</v>
      </c>
      <c r="B527">
        <f t="shared" si="39"/>
        <v>1000</v>
      </c>
      <c r="C527">
        <f t="shared" si="38"/>
        <v>1000</v>
      </c>
      <c r="D527">
        <f t="shared" si="38"/>
        <v>1000</v>
      </c>
      <c r="E527">
        <f t="shared" si="38"/>
        <v>1000</v>
      </c>
      <c r="F527">
        <f t="shared" si="38"/>
        <v>1000</v>
      </c>
      <c r="G527">
        <f t="shared" si="38"/>
        <v>1000</v>
      </c>
      <c r="H527">
        <f t="shared" si="38"/>
        <v>1000</v>
      </c>
      <c r="I527">
        <f t="shared" si="38"/>
        <v>1000</v>
      </c>
      <c r="J527" s="14" t="s">
        <v>1106</v>
      </c>
      <c r="K527" s="14" t="s">
        <v>1060</v>
      </c>
      <c r="L527" s="29"/>
      <c r="M527" s="14" t="e">
        <f>INDEX('Pivot Analysis'!A:B,MATCH(J527,'Pivot Analysis'!B:B,0),1)</f>
        <v>#N/A</v>
      </c>
      <c r="N527" s="14" t="e">
        <f>INDEX(Cloc!E:F,MATCH(J527,Cloc!F:F,0),1)</f>
        <v>#N/A</v>
      </c>
      <c r="O527" s="14">
        <f t="shared" si="40"/>
        <v>1000</v>
      </c>
      <c r="P527" s="14">
        <f>O527/Q527</f>
        <v>1000</v>
      </c>
      <c r="Q527">
        <f>MAX(1,SUMPRODUCT($R$1:$AD$1,R527:AD527))</f>
        <v>1</v>
      </c>
      <c r="Z527">
        <v>1</v>
      </c>
    </row>
    <row r="528" spans="1:26" x14ac:dyDescent="0.25">
      <c r="A528" s="25" t="str">
        <f t="shared" si="41"/>
        <v>sale_loyalty;base.group_user;33;33;33;33;33;33;33;33</v>
      </c>
      <c r="B528">
        <f t="shared" si="39"/>
        <v>33</v>
      </c>
      <c r="C528">
        <f t="shared" si="38"/>
        <v>33</v>
      </c>
      <c r="D528">
        <f t="shared" si="38"/>
        <v>33</v>
      </c>
      <c r="E528">
        <f t="shared" si="38"/>
        <v>33</v>
      </c>
      <c r="F528">
        <f t="shared" si="38"/>
        <v>33</v>
      </c>
      <c r="G528">
        <f t="shared" si="38"/>
        <v>33</v>
      </c>
      <c r="H528">
        <f t="shared" si="38"/>
        <v>33</v>
      </c>
      <c r="I528">
        <f t="shared" si="38"/>
        <v>33</v>
      </c>
      <c r="J528" s="12" t="s">
        <v>582</v>
      </c>
      <c r="K528" s="14" t="s">
        <v>1060</v>
      </c>
      <c r="L528" s="29"/>
      <c r="M528" s="14">
        <f>INDEX('Pivot Analysis'!A:B,MATCH(J528,'Pivot Analysis'!B:B,0),1)</f>
        <v>33</v>
      </c>
      <c r="N528" s="14" t="e">
        <f>INDEX(Cloc!E:F,MATCH(J528,Cloc!F:F,0),1)</f>
        <v>#N/A</v>
      </c>
      <c r="O528" s="14">
        <f t="shared" si="40"/>
        <v>33</v>
      </c>
      <c r="P528" s="14">
        <f>O528/Q528</f>
        <v>33</v>
      </c>
      <c r="Q528">
        <f>MAX(1,SUMPRODUCT($R$1:$AD$1,R528:AD528))</f>
        <v>1</v>
      </c>
    </row>
    <row r="529" spans="1:25" x14ac:dyDescent="0.25">
      <c r="A529" s="25" t="str">
        <f t="shared" si="41"/>
        <v>sale_loyalty_delivery;base.group_user;30;30;30;30;30;30;30;30</v>
      </c>
      <c r="B529">
        <f t="shared" si="39"/>
        <v>30</v>
      </c>
      <c r="C529">
        <f t="shared" si="38"/>
        <v>30</v>
      </c>
      <c r="D529">
        <f t="shared" si="38"/>
        <v>30</v>
      </c>
      <c r="E529">
        <f t="shared" si="38"/>
        <v>30</v>
      </c>
      <c r="F529">
        <f t="shared" si="38"/>
        <v>30</v>
      </c>
      <c r="G529">
        <f t="shared" si="38"/>
        <v>30</v>
      </c>
      <c r="H529">
        <f t="shared" si="38"/>
        <v>30</v>
      </c>
      <c r="I529">
        <f t="shared" si="38"/>
        <v>30</v>
      </c>
      <c r="J529" s="12" t="s">
        <v>583</v>
      </c>
      <c r="K529" s="14" t="s">
        <v>1060</v>
      </c>
      <c r="L529" s="29"/>
      <c r="M529" s="14">
        <f>INDEX('Pivot Analysis'!A:B,MATCH(J529,'Pivot Analysis'!B:B,0),1)</f>
        <v>30</v>
      </c>
      <c r="N529" s="14" t="e">
        <f>INDEX(Cloc!E:F,MATCH(J529,Cloc!F:F,0),1)</f>
        <v>#N/A</v>
      </c>
      <c r="O529" s="14">
        <f t="shared" si="40"/>
        <v>30</v>
      </c>
      <c r="P529" s="14">
        <f>O529/Q529</f>
        <v>30</v>
      </c>
      <c r="Q529">
        <f>MAX(1,SUMPRODUCT($R$1:$AD$1,R529:AD529))</f>
        <v>1</v>
      </c>
    </row>
    <row r="530" spans="1:25" x14ac:dyDescent="0.25">
      <c r="A530" s="25" t="str">
        <f t="shared" si="41"/>
        <v>sale_management;base.group_user;1,5;3;4,5;6;7,5;7,5;7,5;7,5</v>
      </c>
      <c r="B530">
        <f t="shared" si="39"/>
        <v>1.5</v>
      </c>
      <c r="C530">
        <f t="shared" si="38"/>
        <v>3</v>
      </c>
      <c r="D530">
        <f t="shared" si="38"/>
        <v>4.5</v>
      </c>
      <c r="E530">
        <f t="shared" si="38"/>
        <v>6</v>
      </c>
      <c r="F530">
        <f t="shared" si="38"/>
        <v>7.5</v>
      </c>
      <c r="G530">
        <f t="shared" si="38"/>
        <v>7.5</v>
      </c>
      <c r="H530">
        <f t="shared" si="38"/>
        <v>7.5</v>
      </c>
      <c r="I530">
        <f t="shared" si="38"/>
        <v>7.5</v>
      </c>
      <c r="J530" s="12" t="s">
        <v>585</v>
      </c>
      <c r="K530" s="14" t="s">
        <v>1060</v>
      </c>
      <c r="L530" s="29"/>
      <c r="M530" s="14">
        <f>INDEX('Pivot Analysis'!A:B,MATCH(J530,'Pivot Analysis'!B:B,0),1)</f>
        <v>7.5</v>
      </c>
      <c r="N530" s="14">
        <f>INDEX(Cloc!E:F,MATCH(J530,Cloc!F:F,0),1)</f>
        <v>94.02</v>
      </c>
      <c r="O530" s="14">
        <f t="shared" si="40"/>
        <v>7.5</v>
      </c>
      <c r="P530" s="14">
        <f>O530/Q530</f>
        <v>1.5</v>
      </c>
      <c r="Q530">
        <f>MAX(1,SUMPRODUCT($R$1:$AD$1,R530:AD530))</f>
        <v>5</v>
      </c>
      <c r="W530">
        <v>1</v>
      </c>
      <c r="X530" t="str">
        <f>IF(SUM(R530:W530)=0,VLOOKUP(J530,#REF!,1,0),"")</f>
        <v/>
      </c>
      <c r="Y530" t="str">
        <f>IF(SUM(R530:X530)&gt;0,"",VLOOKUP(J530,'Apps-from-odoo'!A:A,1,0))</f>
        <v/>
      </c>
    </row>
    <row r="531" spans="1:25" x14ac:dyDescent="0.25">
      <c r="A531" s="25" t="str">
        <f t="shared" si="41"/>
        <v>sale_margin;base.group_user;0;0;0;0;0;0;0;0</v>
      </c>
      <c r="B531">
        <f t="shared" si="39"/>
        <v>0</v>
      </c>
      <c r="C531">
        <f t="shared" si="38"/>
        <v>0</v>
      </c>
      <c r="D531">
        <f t="shared" si="38"/>
        <v>0</v>
      </c>
      <c r="E531">
        <f t="shared" si="38"/>
        <v>0</v>
      </c>
      <c r="F531">
        <f t="shared" si="38"/>
        <v>0</v>
      </c>
      <c r="G531">
        <f t="shared" si="38"/>
        <v>0</v>
      </c>
      <c r="H531">
        <f t="shared" si="38"/>
        <v>0</v>
      </c>
      <c r="I531">
        <f t="shared" si="38"/>
        <v>0</v>
      </c>
      <c r="J531" s="12" t="s">
        <v>587</v>
      </c>
      <c r="K531" s="14" t="s">
        <v>1060</v>
      </c>
      <c r="L531" s="29"/>
      <c r="M531" s="14">
        <f>INDEX('Pivot Analysis'!A:B,MATCH(J531,'Pivot Analysis'!B:B,0),1)</f>
        <v>0</v>
      </c>
      <c r="N531" s="14" t="e">
        <f>INDEX(Cloc!E:F,MATCH(J531,Cloc!F:F,0),1)</f>
        <v>#N/A</v>
      </c>
      <c r="O531" s="14">
        <f t="shared" si="40"/>
        <v>0</v>
      </c>
      <c r="P531" s="14">
        <f>O531/Q531</f>
        <v>0</v>
      </c>
      <c r="Q531">
        <f>MAX(1,SUMPRODUCT($R$1:$AD$1,R531:AD531))</f>
        <v>1</v>
      </c>
    </row>
    <row r="532" spans="1:25" x14ac:dyDescent="0.25">
      <c r="A532" s="25" t="str">
        <f t="shared" si="41"/>
        <v>sale_mrp;base.group_user;1,5;3;4,5;4,5;4,5;4,5;4,5;4,5</v>
      </c>
      <c r="B532">
        <f t="shared" si="39"/>
        <v>1.5</v>
      </c>
      <c r="C532">
        <f t="shared" si="38"/>
        <v>3</v>
      </c>
      <c r="D532">
        <f t="shared" si="38"/>
        <v>4.5</v>
      </c>
      <c r="E532">
        <f t="shared" si="38"/>
        <v>4.5</v>
      </c>
      <c r="F532">
        <f t="shared" si="38"/>
        <v>4.5</v>
      </c>
      <c r="G532">
        <f t="shared" si="38"/>
        <v>4.5</v>
      </c>
      <c r="H532">
        <f t="shared" si="38"/>
        <v>4.5</v>
      </c>
      <c r="I532">
        <f t="shared" si="38"/>
        <v>4.5</v>
      </c>
      <c r="J532" s="12" t="s">
        <v>588</v>
      </c>
      <c r="K532" s="14" t="s">
        <v>1060</v>
      </c>
      <c r="L532" s="29"/>
      <c r="M532" s="14">
        <f>INDEX('Pivot Analysis'!A:B,MATCH(J532,'Pivot Analysis'!B:B,0),1)</f>
        <v>4.5</v>
      </c>
      <c r="N532" s="14">
        <f>INDEX(Cloc!E:F,MATCH(J532,Cloc!F:F,0),1)</f>
        <v>28.98</v>
      </c>
      <c r="O532" s="14">
        <f t="shared" si="40"/>
        <v>4.5</v>
      </c>
      <c r="P532" s="14">
        <f>O532/Q532</f>
        <v>1.5</v>
      </c>
      <c r="Q532">
        <f>MAX(1,SUMPRODUCT($R$1:$AD$1,R532:AD532))</f>
        <v>3</v>
      </c>
      <c r="Y532">
        <v>1</v>
      </c>
    </row>
    <row r="533" spans="1:25" x14ac:dyDescent="0.25">
      <c r="A533" s="25" t="str">
        <f t="shared" si="41"/>
        <v>sale_mrp_margin;base.group_user;33;33;33;33;33;33;33;33</v>
      </c>
      <c r="B533">
        <f t="shared" si="39"/>
        <v>33</v>
      </c>
      <c r="C533">
        <f t="shared" si="38"/>
        <v>33</v>
      </c>
      <c r="D533">
        <f t="shared" si="38"/>
        <v>33</v>
      </c>
      <c r="E533">
        <f t="shared" si="38"/>
        <v>33</v>
      </c>
      <c r="F533">
        <f t="shared" si="38"/>
        <v>33</v>
      </c>
      <c r="G533">
        <f t="shared" si="38"/>
        <v>33</v>
      </c>
      <c r="H533">
        <f t="shared" si="38"/>
        <v>33</v>
      </c>
      <c r="I533">
        <f t="shared" si="38"/>
        <v>33</v>
      </c>
      <c r="J533" s="12" t="s">
        <v>589</v>
      </c>
      <c r="K533" s="14" t="s">
        <v>1060</v>
      </c>
      <c r="L533" s="29"/>
      <c r="M533" s="14">
        <f>INDEX('Pivot Analysis'!A:B,MATCH(J533,'Pivot Analysis'!B:B,0),1)</f>
        <v>33</v>
      </c>
      <c r="N533" s="14" t="e">
        <f>INDEX(Cloc!E:F,MATCH(J533,Cloc!F:F,0),1)</f>
        <v>#N/A</v>
      </c>
      <c r="O533" s="14">
        <f t="shared" si="40"/>
        <v>33</v>
      </c>
      <c r="P533" s="14">
        <f>O533/Q533</f>
        <v>33</v>
      </c>
      <c r="Q533">
        <f>MAX(1,SUMPRODUCT($R$1:$AD$1,R533:AD533))</f>
        <v>1</v>
      </c>
    </row>
    <row r="534" spans="1:25" x14ac:dyDescent="0.25">
      <c r="A534" s="25" t="str">
        <f t="shared" si="41"/>
        <v>sale_pdf_quote_builder;base.group_user;49;98;147;196;245;245;245;245</v>
      </c>
      <c r="B534">
        <f t="shared" si="39"/>
        <v>49</v>
      </c>
      <c r="C534">
        <f t="shared" si="38"/>
        <v>98</v>
      </c>
      <c r="D534">
        <f t="shared" si="38"/>
        <v>147</v>
      </c>
      <c r="E534">
        <f t="shared" si="38"/>
        <v>196</v>
      </c>
      <c r="F534">
        <f t="shared" si="38"/>
        <v>245</v>
      </c>
      <c r="G534">
        <f t="shared" si="38"/>
        <v>245</v>
      </c>
      <c r="H534">
        <f t="shared" si="38"/>
        <v>245</v>
      </c>
      <c r="I534">
        <f t="shared" si="38"/>
        <v>245</v>
      </c>
      <c r="J534" s="12" t="s">
        <v>590</v>
      </c>
      <c r="K534" s="14" t="s">
        <v>1060</v>
      </c>
      <c r="L534" s="29">
        <f>49*5</f>
        <v>245</v>
      </c>
      <c r="M534" s="14">
        <f>INDEX('Pivot Analysis'!A:B,MATCH(J534,'Pivot Analysis'!B:B,0),1)</f>
        <v>323.10000000000002</v>
      </c>
      <c r="N534" s="14">
        <f>INDEX(Cloc!E:F,MATCH(J534,Cloc!F:F,0),1)</f>
        <v>100.56</v>
      </c>
      <c r="O534" s="14">
        <f t="shared" si="40"/>
        <v>245</v>
      </c>
      <c r="P534" s="14">
        <f>O534/Q534</f>
        <v>49</v>
      </c>
      <c r="Q534">
        <f>MAX(1,SUMPRODUCT($R$1:$AD$1,R534:AD534))</f>
        <v>5</v>
      </c>
      <c r="W534">
        <v>1</v>
      </c>
      <c r="X534" t="str">
        <f>IF(SUM(R534:W534)=0,VLOOKUP(J534,#REF!,1,0),"")</f>
        <v/>
      </c>
      <c r="Y534" t="str">
        <f>IF(SUM(R534:X534)&gt;0,"",VLOOKUP(J534,'Apps-from-odoo'!A:A,1,0))</f>
        <v/>
      </c>
    </row>
    <row r="535" spans="1:25" x14ac:dyDescent="0.25">
      <c r="A535" s="25" t="str">
        <f t="shared" si="41"/>
        <v>sale_product_configurator;base.group_user;0;0;0;0;0;0;0;0</v>
      </c>
      <c r="B535">
        <f t="shared" si="39"/>
        <v>0</v>
      </c>
      <c r="C535">
        <f t="shared" si="38"/>
        <v>0</v>
      </c>
      <c r="D535">
        <f t="shared" si="38"/>
        <v>0</v>
      </c>
      <c r="E535">
        <f t="shared" si="38"/>
        <v>0</v>
      </c>
      <c r="F535">
        <f t="shared" si="38"/>
        <v>0</v>
      </c>
      <c r="G535">
        <f t="shared" si="38"/>
        <v>0</v>
      </c>
      <c r="H535">
        <f t="shared" si="38"/>
        <v>0</v>
      </c>
      <c r="I535">
        <f t="shared" si="38"/>
        <v>0</v>
      </c>
      <c r="J535" s="12" t="s">
        <v>593</v>
      </c>
      <c r="K535" s="14" t="s">
        <v>1060</v>
      </c>
      <c r="L535" s="29"/>
      <c r="M535" s="14">
        <f>INDEX('Pivot Analysis'!A:B,MATCH(J535,'Pivot Analysis'!B:B,0),1)</f>
        <v>0</v>
      </c>
      <c r="N535" s="14" t="e">
        <f>INDEX(Cloc!E:F,MATCH(J535,Cloc!F:F,0),1)</f>
        <v>#N/A</v>
      </c>
      <c r="O535" s="14">
        <f t="shared" si="40"/>
        <v>0</v>
      </c>
      <c r="P535" s="14">
        <f>O535/Q535</f>
        <v>0</v>
      </c>
      <c r="Q535">
        <f>MAX(1,SUMPRODUCT($R$1:$AD$1,R535:AD535))</f>
        <v>1</v>
      </c>
    </row>
    <row r="536" spans="1:25" x14ac:dyDescent="0.25">
      <c r="A536" s="25" t="str">
        <f t="shared" si="41"/>
        <v>sale_product_matrix;base.group_user;0;0;0;0;0;0;0;0</v>
      </c>
      <c r="B536">
        <f t="shared" si="39"/>
        <v>0</v>
      </c>
      <c r="C536">
        <f t="shared" si="38"/>
        <v>0</v>
      </c>
      <c r="D536">
        <f t="shared" si="38"/>
        <v>0</v>
      </c>
      <c r="E536">
        <f t="shared" si="38"/>
        <v>0</v>
      </c>
      <c r="F536">
        <f t="shared" si="38"/>
        <v>0</v>
      </c>
      <c r="G536">
        <f t="shared" si="38"/>
        <v>0</v>
      </c>
      <c r="H536">
        <f t="shared" si="38"/>
        <v>0</v>
      </c>
      <c r="I536">
        <f t="shared" si="38"/>
        <v>0</v>
      </c>
      <c r="J536" s="12" t="s">
        <v>594</v>
      </c>
      <c r="K536" s="14" t="s">
        <v>1060</v>
      </c>
      <c r="L536" s="29"/>
      <c r="M536" s="14">
        <f>INDEX('Pivot Analysis'!A:B,MATCH(J536,'Pivot Analysis'!B:B,0),1)</f>
        <v>0</v>
      </c>
      <c r="N536" s="14" t="e">
        <f>INDEX(Cloc!E:F,MATCH(J536,Cloc!F:F,0),1)</f>
        <v>#N/A</v>
      </c>
      <c r="O536" s="14">
        <f t="shared" si="40"/>
        <v>0</v>
      </c>
      <c r="P536" s="14">
        <f>O536/Q536</f>
        <v>0</v>
      </c>
      <c r="Q536">
        <f>MAX(1,SUMPRODUCT($R$1:$AD$1,R536:AD536))</f>
        <v>1</v>
      </c>
    </row>
    <row r="537" spans="1:25" x14ac:dyDescent="0.25">
      <c r="A537" s="25" t="str">
        <f t="shared" si="41"/>
        <v>sale_project;base.group_user;3,42;6,84;10,26;13,68;17,1;17,1;17,1;17,1</v>
      </c>
      <c r="B537">
        <f t="shared" si="39"/>
        <v>3.4199999999999995</v>
      </c>
      <c r="C537">
        <f t="shared" si="38"/>
        <v>6.839999999999999</v>
      </c>
      <c r="D537">
        <f t="shared" si="38"/>
        <v>10.259999999999998</v>
      </c>
      <c r="E537">
        <f t="shared" ref="C537:I600" si="42">$P537*MIN($Q537,E$3)</f>
        <v>13.679999999999998</v>
      </c>
      <c r="F537">
        <f t="shared" si="42"/>
        <v>17.099999999999998</v>
      </c>
      <c r="G537">
        <f t="shared" si="42"/>
        <v>17.099999999999998</v>
      </c>
      <c r="H537">
        <f t="shared" si="42"/>
        <v>17.099999999999998</v>
      </c>
      <c r="I537">
        <f t="shared" si="42"/>
        <v>17.099999999999998</v>
      </c>
      <c r="J537" s="12" t="s">
        <v>595</v>
      </c>
      <c r="K537" s="14" t="s">
        <v>1060</v>
      </c>
      <c r="L537" s="29"/>
      <c r="M537" s="14">
        <f>INDEX('Pivot Analysis'!A:B,MATCH(J537,'Pivot Analysis'!B:B,0),1)</f>
        <v>17.099999999999998</v>
      </c>
      <c r="N537" s="14">
        <f>INDEX(Cloc!E:F,MATCH(J537,Cloc!F:F,0),1)</f>
        <v>202.79999999999998</v>
      </c>
      <c r="O537" s="14">
        <f t="shared" si="40"/>
        <v>17.099999999999998</v>
      </c>
      <c r="P537" s="14">
        <f>O537/Q537</f>
        <v>3.4199999999999995</v>
      </c>
      <c r="Q537">
        <f>MAX(1,SUMPRODUCT($R$1:$AD$1,R537:AD537))</f>
        <v>5</v>
      </c>
      <c r="X537">
        <v>1</v>
      </c>
      <c r="Y537" t="str">
        <f>IF(SUM(R537:X537)&gt;0,"",VLOOKUP(J537,'Apps-from-odoo'!A:A,1,0))</f>
        <v/>
      </c>
    </row>
    <row r="538" spans="1:25" x14ac:dyDescent="0.25">
      <c r="A538" s="25" t="str">
        <f t="shared" si="41"/>
        <v>sale_project_stock;base.group_user;6,6;13,2;19,8;26,4;33;33;33;33</v>
      </c>
      <c r="B538">
        <f t="shared" si="39"/>
        <v>6.6</v>
      </c>
      <c r="C538">
        <f t="shared" si="42"/>
        <v>13.2</v>
      </c>
      <c r="D538">
        <f t="shared" si="42"/>
        <v>19.799999999999997</v>
      </c>
      <c r="E538">
        <f t="shared" si="42"/>
        <v>26.4</v>
      </c>
      <c r="F538">
        <f t="shared" si="42"/>
        <v>33</v>
      </c>
      <c r="G538">
        <f t="shared" si="42"/>
        <v>33</v>
      </c>
      <c r="H538">
        <f t="shared" si="42"/>
        <v>33</v>
      </c>
      <c r="I538">
        <f t="shared" si="42"/>
        <v>33</v>
      </c>
      <c r="J538" s="12" t="s">
        <v>597</v>
      </c>
      <c r="K538" s="14" t="s">
        <v>1060</v>
      </c>
      <c r="L538" s="29"/>
      <c r="M538" s="14">
        <f>INDEX('Pivot Analysis'!A:B,MATCH(J538,'Pivot Analysis'!B:B,0),1)</f>
        <v>33</v>
      </c>
      <c r="N538" s="14">
        <f>INDEX(Cloc!E:F,MATCH(J538,Cloc!F:F,0),1)</f>
        <v>12.36</v>
      </c>
      <c r="O538" s="14">
        <f t="shared" si="40"/>
        <v>33</v>
      </c>
      <c r="P538" s="14">
        <f>O538/Q538</f>
        <v>6.6</v>
      </c>
      <c r="Q538">
        <f>MAX(1,SUMPRODUCT($R$1:$AD$1,R538:AD538))</f>
        <v>5</v>
      </c>
      <c r="X538">
        <v>1</v>
      </c>
      <c r="Y538" t="str">
        <f>IF(SUM(R538:X538)&gt;0,"",VLOOKUP(J538,'Apps-from-odoo'!A:A,1,0))</f>
        <v/>
      </c>
    </row>
    <row r="539" spans="1:25" x14ac:dyDescent="0.25">
      <c r="A539" s="25" t="str">
        <f t="shared" si="41"/>
        <v>sale_project_stock_account;base.group_user;0,252;0,504;0,756;1,008;1,26;1,26;1,26;1,26</v>
      </c>
      <c r="B539">
        <f t="shared" si="39"/>
        <v>0.252</v>
      </c>
      <c r="C539">
        <f t="shared" si="42"/>
        <v>0.504</v>
      </c>
      <c r="D539">
        <f t="shared" si="42"/>
        <v>0.75600000000000001</v>
      </c>
      <c r="E539">
        <f t="shared" si="42"/>
        <v>1.008</v>
      </c>
      <c r="F539">
        <f t="shared" si="42"/>
        <v>1.26</v>
      </c>
      <c r="G539">
        <f t="shared" si="42"/>
        <v>1.26</v>
      </c>
      <c r="H539">
        <f t="shared" si="42"/>
        <v>1.26</v>
      </c>
      <c r="I539">
        <f t="shared" si="42"/>
        <v>1.26</v>
      </c>
      <c r="J539" s="14" t="s">
        <v>1058</v>
      </c>
      <c r="K539" s="14" t="s">
        <v>1060</v>
      </c>
      <c r="L539" s="29"/>
      <c r="M539" s="14" t="e">
        <f>INDEX('Pivot Analysis'!A:B,MATCH(J539,'Pivot Analysis'!B:B,0),1)</f>
        <v>#N/A</v>
      </c>
      <c r="N539" s="14">
        <f>INDEX(Cloc!E:F,MATCH(J539,Cloc!F:F,0),1)</f>
        <v>1.26</v>
      </c>
      <c r="O539" s="14">
        <f t="shared" si="40"/>
        <v>1.26</v>
      </c>
      <c r="P539" s="14">
        <f>O539/Q539</f>
        <v>0.252</v>
      </c>
      <c r="Q539">
        <f>MAX(1,SUMPRODUCT($R$1:$AD$1,R539:AD539))</f>
        <v>5</v>
      </c>
      <c r="X539">
        <v>1</v>
      </c>
      <c r="Y539" t="str">
        <f>IF(SUM(R539:X539)&gt;0,"",VLOOKUP(J539,'Apps-from-odoo'!A:A,1,0))</f>
        <v/>
      </c>
    </row>
    <row r="540" spans="1:25" x14ac:dyDescent="0.25">
      <c r="A540" s="25" t="str">
        <f t="shared" si="41"/>
        <v>sale_purchase;base.group_user;0,9;1,8;2,7;3,6;4,5;4,5;4,5;4,5</v>
      </c>
      <c r="B540">
        <f t="shared" si="39"/>
        <v>0.9</v>
      </c>
      <c r="C540">
        <f t="shared" si="42"/>
        <v>1.8</v>
      </c>
      <c r="D540">
        <f t="shared" si="42"/>
        <v>2.7</v>
      </c>
      <c r="E540">
        <f t="shared" si="42"/>
        <v>3.6</v>
      </c>
      <c r="F540">
        <f t="shared" si="42"/>
        <v>4.5</v>
      </c>
      <c r="G540">
        <f t="shared" si="42"/>
        <v>4.5</v>
      </c>
      <c r="H540">
        <f t="shared" si="42"/>
        <v>4.5</v>
      </c>
      <c r="I540">
        <f t="shared" si="42"/>
        <v>4.5</v>
      </c>
      <c r="J540" s="12" t="s">
        <v>598</v>
      </c>
      <c r="K540" s="14" t="s">
        <v>1060</v>
      </c>
      <c r="L540" s="29"/>
      <c r="M540" s="14">
        <f>INDEX('Pivot Analysis'!A:B,MATCH(J540,'Pivot Analysis'!B:B,0),1)</f>
        <v>4.5</v>
      </c>
      <c r="N540" s="14">
        <f>INDEX(Cloc!E:F,MATCH(J540,Cloc!F:F,0),1)</f>
        <v>39.06</v>
      </c>
      <c r="O540" s="14">
        <f t="shared" si="40"/>
        <v>4.5</v>
      </c>
      <c r="P540" s="14">
        <f>O540/Q540</f>
        <v>0.9</v>
      </c>
      <c r="Q540">
        <f>MAX(1,SUMPRODUCT($R$1:$AD$1,R540:AD540))</f>
        <v>5</v>
      </c>
      <c r="X540">
        <v>1</v>
      </c>
      <c r="Y540" t="str">
        <f>IF(SUM(R540:X540)&gt;0,"",VLOOKUP(J540,'Apps-from-odoo'!A:A,1,0))</f>
        <v/>
      </c>
    </row>
    <row r="541" spans="1:25" x14ac:dyDescent="0.25">
      <c r="A541" s="25" t="str">
        <f t="shared" si="41"/>
        <v>sale_purchase_project;base.group_user;0,312;0,624;0,936;1,248;1,56;1,56;1,56;1,56</v>
      </c>
      <c r="B541">
        <f t="shared" si="39"/>
        <v>0.312</v>
      </c>
      <c r="C541">
        <f t="shared" si="42"/>
        <v>0.624</v>
      </c>
      <c r="D541">
        <f t="shared" si="42"/>
        <v>0.93599999999999994</v>
      </c>
      <c r="E541">
        <f t="shared" si="42"/>
        <v>1.248</v>
      </c>
      <c r="F541">
        <f t="shared" si="42"/>
        <v>1.56</v>
      </c>
      <c r="G541">
        <f t="shared" si="42"/>
        <v>1.56</v>
      </c>
      <c r="H541">
        <f t="shared" si="42"/>
        <v>1.56</v>
      </c>
      <c r="I541">
        <f t="shared" si="42"/>
        <v>1.56</v>
      </c>
      <c r="J541" s="14" t="s">
        <v>1059</v>
      </c>
      <c r="K541" s="14" t="s">
        <v>1060</v>
      </c>
      <c r="L541" s="29"/>
      <c r="M541" s="14" t="e">
        <f>INDEX('Pivot Analysis'!A:B,MATCH(J541,'Pivot Analysis'!B:B,0),1)</f>
        <v>#N/A</v>
      </c>
      <c r="N541" s="14">
        <f>INDEX(Cloc!E:F,MATCH(J541,Cloc!F:F,0),1)</f>
        <v>1.56</v>
      </c>
      <c r="O541" s="14">
        <f t="shared" si="40"/>
        <v>1.56</v>
      </c>
      <c r="P541" s="14">
        <f>O541/Q541</f>
        <v>0.312</v>
      </c>
      <c r="Q541">
        <f>MAX(1,SUMPRODUCT($R$1:$AD$1,R541:AD541))</f>
        <v>5</v>
      </c>
      <c r="X541">
        <v>1</v>
      </c>
      <c r="Y541" t="str">
        <f>IF(SUM(R541:X541)&gt;0,"",VLOOKUP(J541,'Apps-from-odoo'!A:A,1,0))</f>
        <v/>
      </c>
    </row>
    <row r="542" spans="1:25" x14ac:dyDescent="0.25">
      <c r="A542" s="25" t="str">
        <f t="shared" si="41"/>
        <v>sale_purchase_stock;base.group_user;0,6;1,2;1,8;2,4;3;3;3;3</v>
      </c>
      <c r="B542">
        <f t="shared" si="39"/>
        <v>0.6</v>
      </c>
      <c r="C542">
        <f t="shared" si="42"/>
        <v>1.2</v>
      </c>
      <c r="D542">
        <f t="shared" si="42"/>
        <v>1.7999999999999998</v>
      </c>
      <c r="E542">
        <f t="shared" si="42"/>
        <v>2.4</v>
      </c>
      <c r="F542">
        <f t="shared" si="42"/>
        <v>3</v>
      </c>
      <c r="G542">
        <f t="shared" si="42"/>
        <v>3</v>
      </c>
      <c r="H542">
        <f t="shared" si="42"/>
        <v>3</v>
      </c>
      <c r="I542">
        <f t="shared" si="42"/>
        <v>3</v>
      </c>
      <c r="J542" s="12" t="s">
        <v>599</v>
      </c>
      <c r="K542" s="14" t="s">
        <v>1060</v>
      </c>
      <c r="L542" s="29"/>
      <c r="M542" s="14">
        <f>INDEX('Pivot Analysis'!A:B,MATCH(J542,'Pivot Analysis'!B:B,0),1)</f>
        <v>3</v>
      </c>
      <c r="N542" s="14">
        <f>INDEX(Cloc!E:F,MATCH(J542,Cloc!F:F,0),1)</f>
        <v>4.68</v>
      </c>
      <c r="O542" s="14">
        <f t="shared" si="40"/>
        <v>3</v>
      </c>
      <c r="P542" s="14">
        <f>O542/Q542</f>
        <v>0.6</v>
      </c>
      <c r="Q542">
        <f>MAX(1,SUMPRODUCT($R$1:$AD$1,R542:AD542))</f>
        <v>5</v>
      </c>
      <c r="X542">
        <v>1</v>
      </c>
      <c r="Y542" t="str">
        <f>IF(SUM(R542:X542)&gt;0,"",VLOOKUP(J542,'Apps-from-odoo'!A:A,1,0))</f>
        <v/>
      </c>
    </row>
    <row r="543" spans="1:25" x14ac:dyDescent="0.25">
      <c r="A543" s="25" t="str">
        <f t="shared" si="41"/>
        <v>sale_quotation_builder;base.group_user;0;0;0;0;0;0;0;0</v>
      </c>
      <c r="B543">
        <f t="shared" si="39"/>
        <v>0</v>
      </c>
      <c r="C543">
        <f t="shared" si="42"/>
        <v>0</v>
      </c>
      <c r="D543">
        <f t="shared" si="42"/>
        <v>0</v>
      </c>
      <c r="E543">
        <f t="shared" si="42"/>
        <v>0</v>
      </c>
      <c r="F543">
        <f t="shared" si="42"/>
        <v>0</v>
      </c>
      <c r="G543">
        <f t="shared" si="42"/>
        <v>0</v>
      </c>
      <c r="H543">
        <f t="shared" si="42"/>
        <v>0</v>
      </c>
      <c r="I543">
        <f t="shared" si="42"/>
        <v>0</v>
      </c>
      <c r="J543" s="12" t="s">
        <v>600</v>
      </c>
      <c r="K543" s="14" t="s">
        <v>1060</v>
      </c>
      <c r="L543" s="29"/>
      <c r="M543" s="14">
        <f>INDEX('Pivot Analysis'!A:B,MATCH(J543,'Pivot Analysis'!B:B,0),1)</f>
        <v>0</v>
      </c>
      <c r="N543" s="14" t="e">
        <f>INDEX(Cloc!E:F,MATCH(J543,Cloc!F:F,0),1)</f>
        <v>#N/A</v>
      </c>
      <c r="O543" s="14">
        <f t="shared" si="40"/>
        <v>0</v>
      </c>
      <c r="P543" s="14">
        <f>O543/Q543</f>
        <v>0</v>
      </c>
      <c r="Q543">
        <f>MAX(1,SUMPRODUCT($R$1:$AD$1,R543:AD543))</f>
        <v>1</v>
      </c>
    </row>
    <row r="544" spans="1:25" x14ac:dyDescent="0.25">
      <c r="A544" s="25" t="str">
        <f t="shared" si="41"/>
        <v>sale_service;base.group_user;0;0;0;0;0;0;0;0</v>
      </c>
      <c r="B544">
        <f t="shared" si="39"/>
        <v>0</v>
      </c>
      <c r="C544">
        <f t="shared" si="42"/>
        <v>0</v>
      </c>
      <c r="D544">
        <f t="shared" si="42"/>
        <v>0</v>
      </c>
      <c r="E544">
        <f t="shared" si="42"/>
        <v>0</v>
      </c>
      <c r="F544">
        <f t="shared" si="42"/>
        <v>0</v>
      </c>
      <c r="G544">
        <f t="shared" si="42"/>
        <v>0</v>
      </c>
      <c r="H544">
        <f t="shared" si="42"/>
        <v>0</v>
      </c>
      <c r="I544">
        <f t="shared" si="42"/>
        <v>0</v>
      </c>
      <c r="J544" s="12" t="s">
        <v>978</v>
      </c>
      <c r="K544" s="14" t="s">
        <v>1060</v>
      </c>
      <c r="L544" s="29"/>
      <c r="M544" s="14">
        <f>INDEX('Pivot Analysis'!A:B,MATCH(J544,'Pivot Analysis'!B:B,0),1)</f>
        <v>0</v>
      </c>
      <c r="N544" s="14">
        <f>INDEX(Cloc!E:F,MATCH(J544,Cloc!F:F,0),1)</f>
        <v>5.82</v>
      </c>
      <c r="O544" s="14">
        <f t="shared" si="40"/>
        <v>0</v>
      </c>
      <c r="P544" s="14">
        <f>O544/Q544</f>
        <v>0</v>
      </c>
      <c r="Q544">
        <f>MAX(1,SUMPRODUCT($R$1:$AD$1,R544:AD544))</f>
        <v>5</v>
      </c>
      <c r="X544">
        <v>1</v>
      </c>
      <c r="Y544" t="str">
        <f>IF(SUM(R544:X544)&gt;0,"",VLOOKUP(J544,'Apps-from-odoo'!A:A,1,0))</f>
        <v/>
      </c>
    </row>
    <row r="545" spans="1:28" x14ac:dyDescent="0.25">
      <c r="A545" s="25" t="str">
        <f t="shared" si="41"/>
        <v>sale_sms;base.group_user;6,6;13,2;19,8;26,4;33;33;33;33</v>
      </c>
      <c r="B545">
        <f t="shared" si="39"/>
        <v>6.6</v>
      </c>
      <c r="C545">
        <f t="shared" si="42"/>
        <v>13.2</v>
      </c>
      <c r="D545">
        <f t="shared" si="42"/>
        <v>19.799999999999997</v>
      </c>
      <c r="E545">
        <f t="shared" si="42"/>
        <v>26.4</v>
      </c>
      <c r="F545">
        <f t="shared" si="42"/>
        <v>33</v>
      </c>
      <c r="G545">
        <f t="shared" si="42"/>
        <v>33</v>
      </c>
      <c r="H545">
        <f t="shared" si="42"/>
        <v>33</v>
      </c>
      <c r="I545">
        <f t="shared" si="42"/>
        <v>33</v>
      </c>
      <c r="J545" s="12" t="s">
        <v>602</v>
      </c>
      <c r="K545" s="14" t="s">
        <v>1060</v>
      </c>
      <c r="L545" s="29"/>
      <c r="M545" s="14">
        <f>INDEX('Pivot Analysis'!A:B,MATCH(J545,'Pivot Analysis'!B:B,0),1)</f>
        <v>33</v>
      </c>
      <c r="N545" s="14">
        <f>INDEX(Cloc!E:F,MATCH(J545,Cloc!F:F,0),1)</f>
        <v>0.66</v>
      </c>
      <c r="O545" s="14">
        <f t="shared" si="40"/>
        <v>33</v>
      </c>
      <c r="P545" s="14">
        <f>O545/Q545</f>
        <v>6.6</v>
      </c>
      <c r="Q545">
        <f>MAX(1,SUMPRODUCT($R$1:$AD$1,R545:AD545))</f>
        <v>5</v>
      </c>
      <c r="W545">
        <v>1</v>
      </c>
      <c r="X545" t="str">
        <f>IF(SUM(R545:W545)=0,VLOOKUP(J545,#REF!,1,0),"")</f>
        <v/>
      </c>
      <c r="Y545" t="str">
        <f>IF(SUM(R545:X545)&gt;0,"",VLOOKUP(J545,'Apps-from-odoo'!A:A,1,0))</f>
        <v/>
      </c>
    </row>
    <row r="546" spans="1:28" x14ac:dyDescent="0.25">
      <c r="A546" s="25" t="str">
        <f t="shared" si="41"/>
        <v>sale_stock;base.group_user;2,4;4,8;7,2;9,6;12;12;12;12</v>
      </c>
      <c r="B546">
        <f t="shared" si="39"/>
        <v>2.4</v>
      </c>
      <c r="C546">
        <f t="shared" si="42"/>
        <v>4.8</v>
      </c>
      <c r="D546">
        <f t="shared" si="42"/>
        <v>7.1999999999999993</v>
      </c>
      <c r="E546">
        <f t="shared" si="42"/>
        <v>9.6</v>
      </c>
      <c r="F546">
        <f t="shared" si="42"/>
        <v>12</v>
      </c>
      <c r="G546">
        <f t="shared" si="42"/>
        <v>12</v>
      </c>
      <c r="H546">
        <f t="shared" si="42"/>
        <v>12</v>
      </c>
      <c r="I546">
        <f t="shared" si="42"/>
        <v>12</v>
      </c>
      <c r="J546" s="12" t="s">
        <v>603</v>
      </c>
      <c r="K546" s="14" t="s">
        <v>1060</v>
      </c>
      <c r="L546" s="29"/>
      <c r="M546" s="14">
        <f>INDEX('Pivot Analysis'!A:B,MATCH(J546,'Pivot Analysis'!B:B,0),1)</f>
        <v>12</v>
      </c>
      <c r="N546" s="14">
        <f>INDEX(Cloc!E:F,MATCH(J546,Cloc!F:F,0),1)</f>
        <v>136.26</v>
      </c>
      <c r="O546" s="14">
        <f t="shared" si="40"/>
        <v>12</v>
      </c>
      <c r="P546" s="14">
        <f>O546/Q546</f>
        <v>2.4</v>
      </c>
      <c r="Q546">
        <f>MAX(1,SUMPRODUCT($R$1:$AD$1,R546:AD546))</f>
        <v>5</v>
      </c>
      <c r="X546">
        <v>1</v>
      </c>
      <c r="Y546" t="str">
        <f>IF(SUM(R546:X546)&gt;0,"",VLOOKUP(J546,'Apps-from-odoo'!A:A,1,0))</f>
        <v/>
      </c>
    </row>
    <row r="547" spans="1:28" x14ac:dyDescent="0.25">
      <c r="A547" s="25" t="str">
        <f t="shared" si="41"/>
        <v>sale_stock_margin;base.group_user;33;33;33;33;33;33;33;33</v>
      </c>
      <c r="B547">
        <f t="shared" si="39"/>
        <v>33</v>
      </c>
      <c r="C547">
        <f t="shared" si="42"/>
        <v>33</v>
      </c>
      <c r="D547">
        <f t="shared" si="42"/>
        <v>33</v>
      </c>
      <c r="E547">
        <f t="shared" si="42"/>
        <v>33</v>
      </c>
      <c r="F547">
        <f t="shared" si="42"/>
        <v>33</v>
      </c>
      <c r="G547">
        <f t="shared" si="42"/>
        <v>33</v>
      </c>
      <c r="H547">
        <f t="shared" si="42"/>
        <v>33</v>
      </c>
      <c r="I547">
        <f t="shared" si="42"/>
        <v>33</v>
      </c>
      <c r="J547" s="12" t="s">
        <v>604</v>
      </c>
      <c r="K547" s="14" t="s">
        <v>1060</v>
      </c>
      <c r="L547" s="29"/>
      <c r="M547" s="14">
        <f>INDEX('Pivot Analysis'!A:B,MATCH(J547,'Pivot Analysis'!B:B,0),1)</f>
        <v>33</v>
      </c>
      <c r="N547" s="14" t="e">
        <f>INDEX(Cloc!E:F,MATCH(J547,Cloc!F:F,0),1)</f>
        <v>#N/A</v>
      </c>
      <c r="O547" s="14">
        <f t="shared" si="40"/>
        <v>33</v>
      </c>
      <c r="P547" s="14">
        <f>O547/Q547</f>
        <v>33</v>
      </c>
      <c r="Q547">
        <f>MAX(1,SUMPRODUCT($R$1:$AD$1,R547:AD547))</f>
        <v>1</v>
      </c>
    </row>
    <row r="548" spans="1:28" x14ac:dyDescent="0.25">
      <c r="A548" s="25" t="str">
        <f t="shared" si="41"/>
        <v>sale_subscription;base.group_user;1000;1000;1000;1000;1000;1000;1000;1000</v>
      </c>
      <c r="B548">
        <f t="shared" si="39"/>
        <v>1000</v>
      </c>
      <c r="C548">
        <f t="shared" si="42"/>
        <v>1000</v>
      </c>
      <c r="D548">
        <f t="shared" si="42"/>
        <v>1000</v>
      </c>
      <c r="E548">
        <f t="shared" si="42"/>
        <v>1000</v>
      </c>
      <c r="F548">
        <f t="shared" si="42"/>
        <v>1000</v>
      </c>
      <c r="G548">
        <f t="shared" si="42"/>
        <v>1000</v>
      </c>
      <c r="H548">
        <f t="shared" si="42"/>
        <v>1000</v>
      </c>
      <c r="I548">
        <f t="shared" si="42"/>
        <v>1000</v>
      </c>
      <c r="J548" s="14" t="s">
        <v>1077</v>
      </c>
      <c r="K548" s="14" t="s">
        <v>1060</v>
      </c>
      <c r="L548" s="29"/>
      <c r="M548" s="14" t="e">
        <f>INDEX('Pivot Analysis'!A:B,MATCH(J548,'Pivot Analysis'!B:B,0),1)</f>
        <v>#N/A</v>
      </c>
      <c r="N548" s="14" t="e">
        <f>INDEX(Cloc!E:F,MATCH(J548,Cloc!F:F,0),1)</f>
        <v>#N/A</v>
      </c>
      <c r="O548" s="14">
        <f t="shared" si="40"/>
        <v>1000</v>
      </c>
      <c r="P548" s="14">
        <f>O548/Q548</f>
        <v>1000</v>
      </c>
      <c r="Q548">
        <f>MAX(1,SUMPRODUCT($R$1:$AD$1,R548:AD548))</f>
        <v>1</v>
      </c>
      <c r="Z548">
        <v>1</v>
      </c>
    </row>
    <row r="549" spans="1:28" x14ac:dyDescent="0.25">
      <c r="A549" s="25" t="str">
        <f t="shared" si="41"/>
        <v>sale_timesheet;base.group_user;9,6;9,6;9,6;9,6;9,6;9,6;9,6;9,6</v>
      </c>
      <c r="B549">
        <f t="shared" si="39"/>
        <v>9.6</v>
      </c>
      <c r="C549">
        <f t="shared" si="42"/>
        <v>9.6</v>
      </c>
      <c r="D549">
        <f t="shared" si="42"/>
        <v>9.6</v>
      </c>
      <c r="E549">
        <f t="shared" si="42"/>
        <v>9.6</v>
      </c>
      <c r="F549">
        <f t="shared" si="42"/>
        <v>9.6</v>
      </c>
      <c r="G549">
        <f t="shared" si="42"/>
        <v>9.6</v>
      </c>
      <c r="H549">
        <f t="shared" si="42"/>
        <v>9.6</v>
      </c>
      <c r="I549">
        <f t="shared" si="42"/>
        <v>9.6</v>
      </c>
      <c r="J549" s="12" t="s">
        <v>605</v>
      </c>
      <c r="K549" s="14" t="s">
        <v>1060</v>
      </c>
      <c r="L549" s="29"/>
      <c r="M549" s="14">
        <f>INDEX('Pivot Analysis'!A:B,MATCH(J549,'Pivot Analysis'!B:B,0),1)</f>
        <v>9.6</v>
      </c>
      <c r="N549" s="14" t="e">
        <f>INDEX(Cloc!E:F,MATCH(J549,Cloc!F:F,0),1)</f>
        <v>#N/A</v>
      </c>
      <c r="O549" s="14">
        <f t="shared" si="40"/>
        <v>9.6</v>
      </c>
      <c r="P549" s="14">
        <f>O549/Q549</f>
        <v>9.6</v>
      </c>
      <c r="Q549">
        <f>MAX(1,SUMPRODUCT($R$1:$AD$1,R549:AD549))</f>
        <v>1</v>
      </c>
    </row>
    <row r="550" spans="1:28" x14ac:dyDescent="0.25">
      <c r="A550" s="25" t="str">
        <f t="shared" si="41"/>
        <v>sale_timesheet_margin;base.group_user;33;33;33;33;33;33;33;33</v>
      </c>
      <c r="B550">
        <f t="shared" si="39"/>
        <v>33</v>
      </c>
      <c r="C550">
        <f t="shared" si="42"/>
        <v>33</v>
      </c>
      <c r="D550">
        <f t="shared" si="42"/>
        <v>33</v>
      </c>
      <c r="E550">
        <f t="shared" si="42"/>
        <v>33</v>
      </c>
      <c r="F550">
        <f t="shared" si="42"/>
        <v>33</v>
      </c>
      <c r="G550">
        <f t="shared" si="42"/>
        <v>33</v>
      </c>
      <c r="H550">
        <f t="shared" si="42"/>
        <v>33</v>
      </c>
      <c r="I550">
        <f t="shared" si="42"/>
        <v>33</v>
      </c>
      <c r="J550" s="12" t="s">
        <v>607</v>
      </c>
      <c r="K550" s="14" t="s">
        <v>1060</v>
      </c>
      <c r="L550" s="29"/>
      <c r="M550" s="14">
        <f>INDEX('Pivot Analysis'!A:B,MATCH(J550,'Pivot Analysis'!B:B,0),1)</f>
        <v>33</v>
      </c>
      <c r="N550" s="14" t="e">
        <f>INDEX(Cloc!E:F,MATCH(J550,Cloc!F:F,0),1)</f>
        <v>#N/A</v>
      </c>
      <c r="O550" s="14">
        <f t="shared" si="40"/>
        <v>33</v>
      </c>
      <c r="P550" s="14">
        <f>O550/Q550</f>
        <v>33</v>
      </c>
      <c r="Q550">
        <f>MAX(1,SUMPRODUCT($R$1:$AD$1,R550:AD550))</f>
        <v>1</v>
      </c>
    </row>
    <row r="551" spans="1:28" x14ac:dyDescent="0.25">
      <c r="A551" s="25" t="str">
        <f t="shared" si="41"/>
        <v>sales_team;base.group_user;0,9;1,8;2,7;3,6;4,5;4,5;4,5;4,5</v>
      </c>
      <c r="B551">
        <f t="shared" si="39"/>
        <v>0.9</v>
      </c>
      <c r="C551">
        <f t="shared" si="42"/>
        <v>1.8</v>
      </c>
      <c r="D551">
        <f t="shared" si="42"/>
        <v>2.7</v>
      </c>
      <c r="E551">
        <f t="shared" si="42"/>
        <v>3.6</v>
      </c>
      <c r="F551">
        <f t="shared" si="42"/>
        <v>4.5</v>
      </c>
      <c r="G551">
        <f t="shared" si="42"/>
        <v>4.5</v>
      </c>
      <c r="H551">
        <f t="shared" si="42"/>
        <v>4.5</v>
      </c>
      <c r="I551">
        <f t="shared" si="42"/>
        <v>4.5</v>
      </c>
      <c r="J551" s="12" t="s">
        <v>608</v>
      </c>
      <c r="K551" s="14" t="s">
        <v>1060</v>
      </c>
      <c r="L551" s="29"/>
      <c r="M551" s="14">
        <f>INDEX('Pivot Analysis'!A:B,MATCH(J551,'Pivot Analysis'!B:B,0),1)</f>
        <v>4.5</v>
      </c>
      <c r="N551" s="14">
        <f>INDEX(Cloc!E:F,MATCH(J551,Cloc!F:F,0),1)</f>
        <v>73.14</v>
      </c>
      <c r="O551" s="14">
        <f t="shared" si="40"/>
        <v>4.5</v>
      </c>
      <c r="P551" s="14">
        <f>O551/Q551</f>
        <v>0.9</v>
      </c>
      <c r="Q551">
        <f>MAX(1,SUMPRODUCT($R$1:$AD$1,R551:AD551))</f>
        <v>5</v>
      </c>
      <c r="W551">
        <v>1</v>
      </c>
      <c r="X551" t="str">
        <f>IF(SUM(R551:W551)=0,VLOOKUP(J551,#REF!,1,0),"")</f>
        <v/>
      </c>
      <c r="Y551" t="str">
        <f>IF(SUM(R551:X551)&gt;0,"",VLOOKUP(J551,'Apps-from-odoo'!A:A,1,0))</f>
        <v/>
      </c>
    </row>
    <row r="552" spans="1:28" x14ac:dyDescent="0.25">
      <c r="A552" s="25" t="str">
        <f t="shared" si="41"/>
        <v>sequence_choice;base.group_user;1000;1000;1000;1000;1000;1000;1000;1000</v>
      </c>
      <c r="B552">
        <f t="shared" si="39"/>
        <v>1000</v>
      </c>
      <c r="C552">
        <f t="shared" si="42"/>
        <v>1000</v>
      </c>
      <c r="D552">
        <f t="shared" si="42"/>
        <v>1000</v>
      </c>
      <c r="E552">
        <f t="shared" si="42"/>
        <v>1000</v>
      </c>
      <c r="F552">
        <f t="shared" si="42"/>
        <v>1000</v>
      </c>
      <c r="G552">
        <f t="shared" si="42"/>
        <v>1000</v>
      </c>
      <c r="H552">
        <f t="shared" si="42"/>
        <v>1000</v>
      </c>
      <c r="I552">
        <f t="shared" si="42"/>
        <v>1000</v>
      </c>
      <c r="J552" s="14" t="s">
        <v>1158</v>
      </c>
      <c r="K552" s="14" t="s">
        <v>1060</v>
      </c>
      <c r="L552" s="29"/>
      <c r="M552" s="14" t="e">
        <f>INDEX('Pivot Analysis'!A:B,MATCH(J552,'Pivot Analysis'!B:B,0),1)</f>
        <v>#N/A</v>
      </c>
      <c r="N552" s="14" t="e">
        <f>INDEX(Cloc!E:F,MATCH(J552,Cloc!F:F,0),1)</f>
        <v>#N/A</v>
      </c>
      <c r="O552" s="14">
        <f t="shared" si="40"/>
        <v>1000</v>
      </c>
      <c r="P552" s="14">
        <f>O552/Q552</f>
        <v>1000</v>
      </c>
      <c r="Q552">
        <f>MAX(1,SUMPRODUCT($R$1:$AD$1,R552:AD552))</f>
        <v>1</v>
      </c>
      <c r="AB552">
        <v>1</v>
      </c>
    </row>
    <row r="553" spans="1:28" x14ac:dyDescent="0.25">
      <c r="A553" s="25" t="str">
        <f t="shared" si="41"/>
        <v>sign;base.group_user;1000;1000;1000;1000;1000;1000;1000;1000</v>
      </c>
      <c r="B553">
        <f t="shared" si="39"/>
        <v>1000</v>
      </c>
      <c r="C553">
        <f t="shared" si="42"/>
        <v>1000</v>
      </c>
      <c r="D553">
        <f t="shared" si="42"/>
        <v>1000</v>
      </c>
      <c r="E553">
        <f t="shared" si="42"/>
        <v>1000</v>
      </c>
      <c r="F553">
        <f t="shared" si="42"/>
        <v>1000</v>
      </c>
      <c r="G553">
        <f t="shared" si="42"/>
        <v>1000</v>
      </c>
      <c r="H553">
        <f t="shared" si="42"/>
        <v>1000</v>
      </c>
      <c r="I553">
        <f t="shared" si="42"/>
        <v>1000</v>
      </c>
      <c r="J553" s="14" t="s">
        <v>1075</v>
      </c>
      <c r="K553" s="14" t="s">
        <v>1060</v>
      </c>
      <c r="L553" s="29"/>
      <c r="M553" s="14" t="e">
        <f>INDEX('Pivot Analysis'!A:B,MATCH(J553,'Pivot Analysis'!B:B,0),1)</f>
        <v>#N/A</v>
      </c>
      <c r="N553" s="14" t="e">
        <f>INDEX(Cloc!E:F,MATCH(J553,Cloc!F:F,0),1)</f>
        <v>#N/A</v>
      </c>
      <c r="O553" s="14">
        <f t="shared" si="40"/>
        <v>1000</v>
      </c>
      <c r="P553" s="14">
        <f>O553/Q553</f>
        <v>1000</v>
      </c>
      <c r="Q553">
        <f>MAX(1,SUMPRODUCT($R$1:$AD$1,R553:AD553))</f>
        <v>1</v>
      </c>
      <c r="Z553">
        <v>1</v>
      </c>
    </row>
    <row r="554" spans="1:28" x14ac:dyDescent="0.25">
      <c r="A554" s="25" t="str">
        <f t="shared" si="41"/>
        <v>sms;base.group_user;1,98;3,96;5,94;7,92;9,9;11,88;13,86;15,84</v>
      </c>
      <c r="B554">
        <f t="shared" si="39"/>
        <v>1.9799999999999993</v>
      </c>
      <c r="C554">
        <f t="shared" si="42"/>
        <v>3.9599999999999986</v>
      </c>
      <c r="D554">
        <f t="shared" si="42"/>
        <v>5.9399999999999977</v>
      </c>
      <c r="E554">
        <f t="shared" si="42"/>
        <v>7.9199999999999973</v>
      </c>
      <c r="F554">
        <f t="shared" si="42"/>
        <v>9.8999999999999968</v>
      </c>
      <c r="G554">
        <f t="shared" si="42"/>
        <v>11.879999999999995</v>
      </c>
      <c r="H554">
        <f t="shared" si="42"/>
        <v>13.859999999999996</v>
      </c>
      <c r="I554">
        <f t="shared" si="42"/>
        <v>15.839999999999995</v>
      </c>
      <c r="J554" s="12" t="s">
        <v>609</v>
      </c>
      <c r="K554" s="14" t="s">
        <v>1060</v>
      </c>
      <c r="L554" s="29"/>
      <c r="M554" s="14">
        <f>INDEX('Pivot Analysis'!A:B,MATCH(J554,'Pivot Analysis'!B:B,0),1)</f>
        <v>19.799999999999994</v>
      </c>
      <c r="N554" s="14">
        <f>INDEX(Cloc!E:F,MATCH(J554,Cloc!F:F,0),1)</f>
        <v>176.64000000000001</v>
      </c>
      <c r="O554" s="14">
        <f t="shared" si="40"/>
        <v>19.799999999999994</v>
      </c>
      <c r="P554" s="14">
        <f>O554/Q554</f>
        <v>1.9799999999999993</v>
      </c>
      <c r="Q554">
        <f>MAX(1,SUMPRODUCT($R$1:$AD$1,R554:AD554))</f>
        <v>10</v>
      </c>
      <c r="S554">
        <v>1</v>
      </c>
      <c r="X554" t="str">
        <f>IF(SUM(R554:W554)=0,VLOOKUP(J554,#REF!,1,0),"")</f>
        <v/>
      </c>
      <c r="Y554" t="str">
        <f>IF(SUM(R554:X554)&gt;0,"",VLOOKUP(J554,'Apps-from-odoo'!A:A,1,0))</f>
        <v/>
      </c>
    </row>
    <row r="555" spans="1:28" x14ac:dyDescent="0.25">
      <c r="A555" s="25" t="str">
        <f t="shared" si="41"/>
        <v>snailmail;base.group_user;0,3;0,6;0,9;1,2;1,5;1,8;2,1;2,4</v>
      </c>
      <c r="B555">
        <f t="shared" si="39"/>
        <v>0.3</v>
      </c>
      <c r="C555">
        <f t="shared" si="42"/>
        <v>0.6</v>
      </c>
      <c r="D555">
        <f t="shared" si="42"/>
        <v>0.89999999999999991</v>
      </c>
      <c r="E555">
        <f t="shared" si="42"/>
        <v>1.2</v>
      </c>
      <c r="F555">
        <f t="shared" si="42"/>
        <v>1.5</v>
      </c>
      <c r="G555">
        <f t="shared" si="42"/>
        <v>1.7999999999999998</v>
      </c>
      <c r="H555">
        <f t="shared" si="42"/>
        <v>2.1</v>
      </c>
      <c r="I555">
        <f t="shared" si="42"/>
        <v>2.4</v>
      </c>
      <c r="J555" s="12" t="s">
        <v>611</v>
      </c>
      <c r="K555" s="14" t="s">
        <v>1060</v>
      </c>
      <c r="L555" s="29"/>
      <c r="M555" s="14">
        <f>INDEX('Pivot Analysis'!A:B,MATCH(J555,'Pivot Analysis'!B:B,0),1)</f>
        <v>3</v>
      </c>
      <c r="N555" s="14">
        <f>INDEX(Cloc!E:F,MATCH(J555,Cloc!F:F,0),1)</f>
        <v>92.460000000000008</v>
      </c>
      <c r="O555" s="14">
        <f t="shared" si="40"/>
        <v>3</v>
      </c>
      <c r="P555" s="14">
        <f>O555/Q555</f>
        <v>0.3</v>
      </c>
      <c r="Q555">
        <f>MAX(1,SUMPRODUCT($R$1:$AD$1,R555:AD555))</f>
        <v>10</v>
      </c>
      <c r="S555">
        <v>1</v>
      </c>
      <c r="X555" t="str">
        <f>IF(SUM(R555:W555)=0,VLOOKUP(J555,#REF!,1,0),"")</f>
        <v/>
      </c>
      <c r="Y555" t="str">
        <f>IF(SUM(R555:X555)&gt;0,"",VLOOKUP(J555,'Apps-from-odoo'!A:A,1,0))</f>
        <v/>
      </c>
    </row>
    <row r="556" spans="1:28" x14ac:dyDescent="0.25">
      <c r="A556" s="25" t="str">
        <f t="shared" si="41"/>
        <v>snailmail_account;base.group_user;0,6;1,2;1,8;2,4;3;3,6;4,2;4,8</v>
      </c>
      <c r="B556">
        <f t="shared" si="39"/>
        <v>0.6</v>
      </c>
      <c r="C556">
        <f t="shared" si="42"/>
        <v>1.2</v>
      </c>
      <c r="D556">
        <f t="shared" si="42"/>
        <v>1.7999999999999998</v>
      </c>
      <c r="E556">
        <f t="shared" si="42"/>
        <v>2.4</v>
      </c>
      <c r="F556">
        <f t="shared" si="42"/>
        <v>3</v>
      </c>
      <c r="G556">
        <f t="shared" si="42"/>
        <v>3.5999999999999996</v>
      </c>
      <c r="H556">
        <f t="shared" si="42"/>
        <v>4.2</v>
      </c>
      <c r="I556">
        <f t="shared" si="42"/>
        <v>4.8</v>
      </c>
      <c r="J556" s="12" t="s">
        <v>613</v>
      </c>
      <c r="K556" s="14" t="s">
        <v>1060</v>
      </c>
      <c r="L556" s="29"/>
      <c r="M556" s="14">
        <f>INDEX('Pivot Analysis'!A:B,MATCH(J556,'Pivot Analysis'!B:B,0),1)</f>
        <v>6</v>
      </c>
      <c r="N556" s="14">
        <f>INDEX(Cloc!E:F,MATCH(J556,Cloc!F:F,0),1)</f>
        <v>8.82</v>
      </c>
      <c r="O556" s="14">
        <f t="shared" si="40"/>
        <v>6</v>
      </c>
      <c r="P556" s="14">
        <f>O556/Q556</f>
        <v>0.6</v>
      </c>
      <c r="Q556">
        <f>MAX(1,SUMPRODUCT($R$1:$AD$1,R556:AD556))</f>
        <v>10</v>
      </c>
      <c r="U556">
        <v>1</v>
      </c>
      <c r="X556" t="str">
        <f>IF(SUM(R556:W556)=0,VLOOKUP(J556,#REF!,1,0),"")</f>
        <v/>
      </c>
      <c r="Y556" t="str">
        <f>IF(SUM(R556:X556)&gt;0,"",VLOOKUP(J556,'Apps-from-odoo'!A:A,1,0))</f>
        <v/>
      </c>
    </row>
    <row r="557" spans="1:28" x14ac:dyDescent="0.25">
      <c r="A557" s="25" t="str">
        <f t="shared" si="41"/>
        <v>social;base.group_user;1000;1000;1000;1000;1000;1000;1000;1000</v>
      </c>
      <c r="B557">
        <f t="shared" si="39"/>
        <v>1000</v>
      </c>
      <c r="C557">
        <f t="shared" si="42"/>
        <v>1000</v>
      </c>
      <c r="D557">
        <f t="shared" si="42"/>
        <v>1000</v>
      </c>
      <c r="E557">
        <f t="shared" si="42"/>
        <v>1000</v>
      </c>
      <c r="F557">
        <f t="shared" si="42"/>
        <v>1000</v>
      </c>
      <c r="G557">
        <f t="shared" si="42"/>
        <v>1000</v>
      </c>
      <c r="H557">
        <f t="shared" si="42"/>
        <v>1000</v>
      </c>
      <c r="I557">
        <f t="shared" si="42"/>
        <v>1000</v>
      </c>
      <c r="J557" s="14" t="s">
        <v>1081</v>
      </c>
      <c r="K557" s="14" t="s">
        <v>1060</v>
      </c>
      <c r="L557" s="29"/>
      <c r="M557" s="14" t="e">
        <f>INDEX('Pivot Analysis'!A:B,MATCH(J557,'Pivot Analysis'!B:B,0),1)</f>
        <v>#N/A</v>
      </c>
      <c r="N557" s="14" t="e">
        <f>INDEX(Cloc!E:F,MATCH(J557,Cloc!F:F,0),1)</f>
        <v>#N/A</v>
      </c>
      <c r="O557" s="14">
        <f t="shared" si="40"/>
        <v>1000</v>
      </c>
      <c r="P557" s="14">
        <f>O557/Q557</f>
        <v>1000</v>
      </c>
      <c r="Q557">
        <f>MAX(1,SUMPRODUCT($R$1:$AD$1,R557:AD557))</f>
        <v>1</v>
      </c>
      <c r="Z557">
        <v>1</v>
      </c>
    </row>
    <row r="558" spans="1:28" x14ac:dyDescent="0.25">
      <c r="A558" s="25" t="str">
        <f t="shared" si="41"/>
        <v>social_media;base.group_user;0;0;0;0;0;0;0;0</v>
      </c>
      <c r="B558">
        <f t="shared" si="39"/>
        <v>0</v>
      </c>
      <c r="C558">
        <f t="shared" si="42"/>
        <v>0</v>
      </c>
      <c r="D558">
        <f t="shared" si="42"/>
        <v>0</v>
      </c>
      <c r="E558">
        <f t="shared" si="42"/>
        <v>0</v>
      </c>
      <c r="F558">
        <f t="shared" si="42"/>
        <v>0</v>
      </c>
      <c r="G558">
        <f t="shared" si="42"/>
        <v>0</v>
      </c>
      <c r="H558">
        <f t="shared" si="42"/>
        <v>0</v>
      </c>
      <c r="I558">
        <f t="shared" si="42"/>
        <v>0</v>
      </c>
      <c r="J558" s="12" t="s">
        <v>615</v>
      </c>
      <c r="K558" s="14" t="s">
        <v>1060</v>
      </c>
      <c r="L558" s="29"/>
      <c r="M558" s="14">
        <f>INDEX('Pivot Analysis'!A:B,MATCH(J558,'Pivot Analysis'!B:B,0),1)</f>
        <v>0</v>
      </c>
      <c r="N558" s="14">
        <f>INDEX(Cloc!E:F,MATCH(J558,Cloc!F:F,0),1)</f>
        <v>2.7</v>
      </c>
      <c r="O558" s="14">
        <f t="shared" si="40"/>
        <v>0</v>
      </c>
      <c r="P558" s="14">
        <f>O558/Q558</f>
        <v>0</v>
      </c>
      <c r="Q558">
        <f>MAX(1,SUMPRODUCT($R$1:$AD$1,R558:AD558))</f>
        <v>5</v>
      </c>
      <c r="V558">
        <v>1</v>
      </c>
      <c r="X558" t="str">
        <f>IF(SUM(R558:W558)=0,VLOOKUP(J558,#REF!,1,0),"")</f>
        <v/>
      </c>
      <c r="Y558" t="str">
        <f>IF(SUM(R558:X558)&gt;0,"",VLOOKUP(J558,'Apps-from-odoo'!A:A,1,0))</f>
        <v/>
      </c>
    </row>
    <row r="559" spans="1:28" x14ac:dyDescent="0.25">
      <c r="A559" s="25" t="str">
        <f t="shared" si="41"/>
        <v>spreadsheet;base.group_user;0;0;0;0;0;0;0;0</v>
      </c>
      <c r="B559">
        <f t="shared" si="39"/>
        <v>0</v>
      </c>
      <c r="C559">
        <f t="shared" si="42"/>
        <v>0</v>
      </c>
      <c r="D559">
        <f t="shared" si="42"/>
        <v>0</v>
      </c>
      <c r="E559">
        <f t="shared" si="42"/>
        <v>0</v>
      </c>
      <c r="F559">
        <f t="shared" si="42"/>
        <v>0</v>
      </c>
      <c r="G559">
        <f t="shared" si="42"/>
        <v>0</v>
      </c>
      <c r="H559">
        <f t="shared" si="42"/>
        <v>0</v>
      </c>
      <c r="I559">
        <f t="shared" si="42"/>
        <v>0</v>
      </c>
      <c r="J559" s="12" t="s">
        <v>616</v>
      </c>
      <c r="K559" s="14" t="s">
        <v>1060</v>
      </c>
      <c r="L559" s="29"/>
      <c r="M559" s="14">
        <f>INDEX('Pivot Analysis'!A:B,MATCH(J559,'Pivot Analysis'!B:B,0),1)</f>
        <v>0</v>
      </c>
      <c r="N559" s="14">
        <f>INDEX(Cloc!E:F,MATCH(J559,Cloc!F:F,0),1)</f>
        <v>5403.12</v>
      </c>
      <c r="O559" s="14">
        <f t="shared" si="40"/>
        <v>0</v>
      </c>
      <c r="P559" s="14">
        <f>O559/Q559</f>
        <v>0</v>
      </c>
      <c r="Q559">
        <f>MAX(1,SUMPRODUCT($R$1:$AD$1,R559:AD559))</f>
        <v>10</v>
      </c>
      <c r="U559">
        <v>1</v>
      </c>
      <c r="X559" t="str">
        <f>IF(SUM(R559:W559)=0,VLOOKUP(J559,#REF!,1,0),"")</f>
        <v/>
      </c>
      <c r="Y559" t="str">
        <f>IF(SUM(R559:X559)&gt;0,"",VLOOKUP(J559,'Apps-from-odoo'!A:A,1,0))</f>
        <v/>
      </c>
    </row>
    <row r="560" spans="1:28" x14ac:dyDescent="0.25">
      <c r="A560" s="25" t="str">
        <f t="shared" si="41"/>
        <v>spreadsheet_account;base.group_user;0,3;0,6;0,9;1,2;1,5;1,8;2,1;2,4</v>
      </c>
      <c r="B560">
        <f t="shared" si="39"/>
        <v>0.3</v>
      </c>
      <c r="C560">
        <f t="shared" si="42"/>
        <v>0.6</v>
      </c>
      <c r="D560">
        <f t="shared" si="42"/>
        <v>0.89999999999999991</v>
      </c>
      <c r="E560">
        <f t="shared" si="42"/>
        <v>1.2</v>
      </c>
      <c r="F560">
        <f t="shared" si="42"/>
        <v>1.5</v>
      </c>
      <c r="G560">
        <f t="shared" si="42"/>
        <v>1.7999999999999998</v>
      </c>
      <c r="H560">
        <f t="shared" si="42"/>
        <v>2.1</v>
      </c>
      <c r="I560">
        <f t="shared" si="42"/>
        <v>2.4</v>
      </c>
      <c r="J560" s="12" t="s">
        <v>618</v>
      </c>
      <c r="K560" s="14" t="s">
        <v>1060</v>
      </c>
      <c r="L560" s="29"/>
      <c r="M560" s="14">
        <f>INDEX('Pivot Analysis'!A:B,MATCH(J560,'Pivot Analysis'!B:B,0),1)</f>
        <v>3</v>
      </c>
      <c r="N560" s="14">
        <f>INDEX(Cloc!E:F,MATCH(J560,Cloc!F:F,0),1)</f>
        <v>62.16</v>
      </c>
      <c r="O560" s="14">
        <f t="shared" si="40"/>
        <v>3</v>
      </c>
      <c r="P560" s="14">
        <f>O560/Q560</f>
        <v>0.3</v>
      </c>
      <c r="Q560">
        <f>MAX(1,SUMPRODUCT($R$1:$AD$1,R560:AD560))</f>
        <v>10</v>
      </c>
      <c r="U560">
        <v>1</v>
      </c>
      <c r="X560" t="str">
        <f>IF(SUM(R560:W560)=0,VLOOKUP(J560,#REF!,1,0),"")</f>
        <v/>
      </c>
      <c r="Y560" t="str">
        <f>IF(SUM(R560:X560)&gt;0,"",VLOOKUP(J560,'Apps-from-odoo'!A:A,1,0))</f>
        <v/>
      </c>
    </row>
    <row r="561" spans="1:25" x14ac:dyDescent="0.25">
      <c r="A561" s="25" t="str">
        <f t="shared" si="41"/>
        <v>spreadsheet_dashboard;base.group_user;1,05;2,1;3,15;4,2;5,25;6,3;7,35;8,4</v>
      </c>
      <c r="B561">
        <f t="shared" si="39"/>
        <v>1.05</v>
      </c>
      <c r="C561">
        <f t="shared" si="42"/>
        <v>2.1</v>
      </c>
      <c r="D561">
        <f t="shared" si="42"/>
        <v>3.1500000000000004</v>
      </c>
      <c r="E561">
        <f t="shared" si="42"/>
        <v>4.2</v>
      </c>
      <c r="F561">
        <f t="shared" si="42"/>
        <v>5.25</v>
      </c>
      <c r="G561">
        <f t="shared" si="42"/>
        <v>6.3000000000000007</v>
      </c>
      <c r="H561">
        <f t="shared" si="42"/>
        <v>7.3500000000000005</v>
      </c>
      <c r="I561">
        <f t="shared" si="42"/>
        <v>8.4</v>
      </c>
      <c r="J561" s="12" t="s">
        <v>619</v>
      </c>
      <c r="K561" s="14" t="s">
        <v>1060</v>
      </c>
      <c r="L561" s="29"/>
      <c r="M561" s="14">
        <f>INDEX('Pivot Analysis'!A:B,MATCH(J561,'Pivot Analysis'!B:B,0),1)</f>
        <v>10.5</v>
      </c>
      <c r="N561" s="14">
        <f>INDEX(Cloc!E:F,MATCH(J561,Cloc!F:F,0),1)</f>
        <v>70.260000000000005</v>
      </c>
      <c r="O561" s="14">
        <f t="shared" si="40"/>
        <v>10.5</v>
      </c>
      <c r="P561" s="14">
        <f>O561/Q561</f>
        <v>1.05</v>
      </c>
      <c r="Q561">
        <f>MAX(1,SUMPRODUCT($R$1:$AD$1,R561:AD561))</f>
        <v>10</v>
      </c>
      <c r="U561">
        <v>1</v>
      </c>
      <c r="X561" t="str">
        <f>IF(SUM(R561:W561)=0,VLOOKUP(J561,#REF!,1,0),"")</f>
        <v/>
      </c>
      <c r="Y561" t="str">
        <f>IF(SUM(R561:X561)&gt;0,"",VLOOKUP(J561,'Apps-from-odoo'!A:A,1,0))</f>
        <v/>
      </c>
    </row>
    <row r="562" spans="1:25" x14ac:dyDescent="0.25">
      <c r="A562" s="25" t="str">
        <f t="shared" si="41"/>
        <v>spreadsheet_dashboard_account;base.group_user;0,3;0,6;0,9;1,2;1,5;1,8;2,1;2,4</v>
      </c>
      <c r="B562">
        <f t="shared" si="39"/>
        <v>0.3</v>
      </c>
      <c r="C562">
        <f t="shared" si="42"/>
        <v>0.6</v>
      </c>
      <c r="D562">
        <f t="shared" si="42"/>
        <v>0.89999999999999991</v>
      </c>
      <c r="E562">
        <f t="shared" si="42"/>
        <v>1.2</v>
      </c>
      <c r="F562">
        <f t="shared" si="42"/>
        <v>1.5</v>
      </c>
      <c r="G562">
        <f t="shared" si="42"/>
        <v>1.7999999999999998</v>
      </c>
      <c r="H562">
        <f t="shared" si="42"/>
        <v>2.1</v>
      </c>
      <c r="I562">
        <f t="shared" si="42"/>
        <v>2.4</v>
      </c>
      <c r="J562" s="12" t="s">
        <v>621</v>
      </c>
      <c r="K562" s="14" t="s">
        <v>1060</v>
      </c>
      <c r="L562" s="29"/>
      <c r="M562" s="14">
        <f>INDEX('Pivot Analysis'!A:B,MATCH(J562,'Pivot Analysis'!B:B,0),1)</f>
        <v>3</v>
      </c>
      <c r="N562" s="14">
        <f>INDEX(Cloc!E:F,MATCH(J562,Cloc!F:F,0),1)</f>
        <v>0.96</v>
      </c>
      <c r="O562" s="14">
        <f t="shared" si="40"/>
        <v>3</v>
      </c>
      <c r="P562" s="14">
        <f>O562/Q562</f>
        <v>0.3</v>
      </c>
      <c r="Q562">
        <f>MAX(1,SUMPRODUCT($R$1:$AD$1,R562:AD562))</f>
        <v>10</v>
      </c>
      <c r="U562">
        <v>1</v>
      </c>
      <c r="X562" t="str">
        <f>IF(SUM(R562:W562)=0,VLOOKUP(J562,#REF!,1,0),"")</f>
        <v/>
      </c>
      <c r="Y562" t="str">
        <f>IF(SUM(R562:X562)&gt;0,"",VLOOKUP(J562,'Apps-from-odoo'!A:A,1,0))</f>
        <v/>
      </c>
    </row>
    <row r="563" spans="1:25" x14ac:dyDescent="0.25">
      <c r="A563" s="25" t="str">
        <f t="shared" si="41"/>
        <v>spreadsheet_dashboard_event_sale;base.group_user;0,6;1,2;1,8;2,4;3;3;3;3</v>
      </c>
      <c r="B563">
        <f t="shared" si="39"/>
        <v>0.6</v>
      </c>
      <c r="C563">
        <f t="shared" si="42"/>
        <v>1.2</v>
      </c>
      <c r="D563">
        <f t="shared" si="42"/>
        <v>1.7999999999999998</v>
      </c>
      <c r="E563">
        <f t="shared" si="42"/>
        <v>2.4</v>
      </c>
      <c r="F563">
        <f t="shared" si="42"/>
        <v>3</v>
      </c>
      <c r="G563">
        <f t="shared" si="42"/>
        <v>3</v>
      </c>
      <c r="H563">
        <f t="shared" si="42"/>
        <v>3</v>
      </c>
      <c r="I563">
        <f t="shared" si="42"/>
        <v>3</v>
      </c>
      <c r="J563" s="12" t="s">
        <v>622</v>
      </c>
      <c r="K563" s="14" t="s">
        <v>1060</v>
      </c>
      <c r="L563" s="29"/>
      <c r="M563" s="14">
        <f>INDEX('Pivot Analysis'!A:B,MATCH(J563,'Pivot Analysis'!B:B,0),1)</f>
        <v>3</v>
      </c>
      <c r="N563" s="14">
        <f>INDEX(Cloc!E:F,MATCH(J563,Cloc!F:F,0),1)</f>
        <v>0.96</v>
      </c>
      <c r="O563" s="14">
        <f t="shared" si="40"/>
        <v>3</v>
      </c>
      <c r="P563" s="14">
        <f>O563/Q563</f>
        <v>0.6</v>
      </c>
      <c r="Q563">
        <f>MAX(1,SUMPRODUCT($R$1:$AD$1,R563:AD563))</f>
        <v>5</v>
      </c>
      <c r="X563">
        <v>1</v>
      </c>
      <c r="Y563" t="str">
        <f>IF(SUM(R563:X563)&gt;0,"",VLOOKUP(J563,'Apps-from-odoo'!A:A,1,0))</f>
        <v/>
      </c>
    </row>
    <row r="564" spans="1:25" x14ac:dyDescent="0.25">
      <c r="A564" s="25" t="str">
        <f t="shared" si="41"/>
        <v>spreadsheet_dashboard_hr_expense;base.group_user;0,6;1,2;1,8;2,4;3;3;3;3</v>
      </c>
      <c r="B564">
        <f t="shared" si="39"/>
        <v>0.6</v>
      </c>
      <c r="C564">
        <f t="shared" si="42"/>
        <v>1.2</v>
      </c>
      <c r="D564">
        <f t="shared" si="42"/>
        <v>1.7999999999999998</v>
      </c>
      <c r="E564">
        <f t="shared" si="42"/>
        <v>2.4</v>
      </c>
      <c r="F564">
        <f t="shared" si="42"/>
        <v>3</v>
      </c>
      <c r="G564">
        <f t="shared" si="42"/>
        <v>3</v>
      </c>
      <c r="H564">
        <f t="shared" si="42"/>
        <v>3</v>
      </c>
      <c r="I564">
        <f t="shared" si="42"/>
        <v>3</v>
      </c>
      <c r="J564" s="12" t="s">
        <v>623</v>
      </c>
      <c r="K564" s="14" t="s">
        <v>1060</v>
      </c>
      <c r="L564" s="29"/>
      <c r="M564" s="14">
        <f>INDEX('Pivot Analysis'!A:B,MATCH(J564,'Pivot Analysis'!B:B,0),1)</f>
        <v>3</v>
      </c>
      <c r="N564" s="14">
        <f>INDEX(Cloc!E:F,MATCH(J564,Cloc!F:F,0),1)</f>
        <v>0.96</v>
      </c>
      <c r="O564" s="14">
        <f t="shared" si="40"/>
        <v>3</v>
      </c>
      <c r="P564" s="14">
        <f>O564/Q564</f>
        <v>0.6</v>
      </c>
      <c r="Q564">
        <f>MAX(1,SUMPRODUCT($R$1:$AD$1,R564:AD564))</f>
        <v>5</v>
      </c>
      <c r="X564">
        <v>1</v>
      </c>
      <c r="Y564" t="str">
        <f>IF(SUM(R564:X564)&gt;0,"",VLOOKUP(J564,'Apps-from-odoo'!A:A,1,0))</f>
        <v/>
      </c>
    </row>
    <row r="565" spans="1:25" x14ac:dyDescent="0.25">
      <c r="A565" s="25" t="str">
        <f t="shared" si="41"/>
        <v>spreadsheet_dashboard_hr_timesheet;base.group_user;3;3;3;3;3;3;3;3</v>
      </c>
      <c r="B565">
        <f t="shared" ref="B565:B628" si="43">$P565*MIN($Q565,B$3)</f>
        <v>3</v>
      </c>
      <c r="C565">
        <f t="shared" si="42"/>
        <v>3</v>
      </c>
      <c r="D565">
        <f t="shared" si="42"/>
        <v>3</v>
      </c>
      <c r="E565">
        <f t="shared" si="42"/>
        <v>3</v>
      </c>
      <c r="F565">
        <f t="shared" si="42"/>
        <v>3</v>
      </c>
      <c r="G565">
        <f t="shared" si="42"/>
        <v>3</v>
      </c>
      <c r="H565">
        <f t="shared" si="42"/>
        <v>3</v>
      </c>
      <c r="I565">
        <f t="shared" si="42"/>
        <v>3</v>
      </c>
      <c r="J565" s="12" t="s">
        <v>624</v>
      </c>
      <c r="K565" s="14" t="s">
        <v>1060</v>
      </c>
      <c r="L565" s="29"/>
      <c r="M565" s="14">
        <f>INDEX('Pivot Analysis'!A:B,MATCH(J565,'Pivot Analysis'!B:B,0),1)</f>
        <v>3</v>
      </c>
      <c r="N565" s="14" t="e">
        <f>INDEX(Cloc!E:F,MATCH(J565,Cloc!F:F,0),1)</f>
        <v>#N/A</v>
      </c>
      <c r="O565" s="14">
        <f t="shared" si="40"/>
        <v>3</v>
      </c>
      <c r="P565" s="14">
        <f>O565/Q565</f>
        <v>3</v>
      </c>
      <c r="Q565">
        <f>MAX(1,SUMPRODUCT($R$1:$AD$1,R565:AD565))</f>
        <v>1</v>
      </c>
    </row>
    <row r="566" spans="1:25" x14ac:dyDescent="0.25">
      <c r="A566" s="25" t="str">
        <f t="shared" si="41"/>
        <v>spreadsheet_dashboard_im_livechat;base.group_user;11;22;33;33;33;33;33;33</v>
      </c>
      <c r="B566">
        <f t="shared" si="43"/>
        <v>11</v>
      </c>
      <c r="C566">
        <f t="shared" si="42"/>
        <v>22</v>
      </c>
      <c r="D566">
        <f t="shared" si="42"/>
        <v>33</v>
      </c>
      <c r="E566">
        <f t="shared" si="42"/>
        <v>33</v>
      </c>
      <c r="F566">
        <f t="shared" si="42"/>
        <v>33</v>
      </c>
      <c r="G566">
        <f t="shared" si="42"/>
        <v>33</v>
      </c>
      <c r="H566">
        <f t="shared" si="42"/>
        <v>33</v>
      </c>
      <c r="I566">
        <f t="shared" si="42"/>
        <v>33</v>
      </c>
      <c r="J566" s="12" t="s">
        <v>625</v>
      </c>
      <c r="K566" s="14" t="s">
        <v>1060</v>
      </c>
      <c r="L566" s="29"/>
      <c r="M566" s="14">
        <f>INDEX('Pivot Analysis'!A:B,MATCH(J566,'Pivot Analysis'!B:B,0),1)</f>
        <v>33</v>
      </c>
      <c r="N566" s="14">
        <f>INDEX(Cloc!E:F,MATCH(J566,Cloc!F:F,0),1)</f>
        <v>0.96</v>
      </c>
      <c r="O566" s="14">
        <f t="shared" si="40"/>
        <v>33</v>
      </c>
      <c r="P566" s="14">
        <f>O566/Q566</f>
        <v>11</v>
      </c>
      <c r="Q566">
        <f>MAX(1,SUMPRODUCT($R$1:$AD$1,R566:AD566))</f>
        <v>3</v>
      </c>
      <c r="Y566">
        <v>1</v>
      </c>
    </row>
    <row r="567" spans="1:25" x14ac:dyDescent="0.25">
      <c r="A567" s="25" t="str">
        <f t="shared" si="41"/>
        <v>spreadsheet_dashboard_pos_hr;base.group_user;6,6;13,2;19,8;26,4;33;33;33;33</v>
      </c>
      <c r="B567">
        <f t="shared" si="43"/>
        <v>6.6</v>
      </c>
      <c r="C567">
        <f t="shared" si="42"/>
        <v>13.2</v>
      </c>
      <c r="D567">
        <f t="shared" si="42"/>
        <v>19.799999999999997</v>
      </c>
      <c r="E567">
        <f t="shared" si="42"/>
        <v>26.4</v>
      </c>
      <c r="F567">
        <f t="shared" si="42"/>
        <v>33</v>
      </c>
      <c r="G567">
        <f t="shared" si="42"/>
        <v>33</v>
      </c>
      <c r="H567">
        <f t="shared" si="42"/>
        <v>33</v>
      </c>
      <c r="I567">
        <f t="shared" si="42"/>
        <v>33</v>
      </c>
      <c r="J567" s="12" t="s">
        <v>626</v>
      </c>
      <c r="K567" s="14" t="s">
        <v>1060</v>
      </c>
      <c r="L567" s="29"/>
      <c r="M567" s="14">
        <f>INDEX('Pivot Analysis'!A:B,MATCH(J567,'Pivot Analysis'!B:B,0),1)</f>
        <v>33</v>
      </c>
      <c r="N567" s="14">
        <f>INDEX(Cloc!E:F,MATCH(J567,Cloc!F:F,0),1)</f>
        <v>0.96</v>
      </c>
      <c r="O567" s="14">
        <f t="shared" si="40"/>
        <v>33</v>
      </c>
      <c r="P567" s="14">
        <f>O567/Q567</f>
        <v>6.6</v>
      </c>
      <c r="Q567">
        <f>MAX(1,SUMPRODUCT($R$1:$AD$1,R567:AD567))</f>
        <v>5</v>
      </c>
      <c r="X567">
        <v>1</v>
      </c>
      <c r="Y567" t="str">
        <f>IF(SUM(R567:X567)&gt;0,"",VLOOKUP(J567,'Apps-from-odoo'!A:A,1,0))</f>
        <v/>
      </c>
    </row>
    <row r="568" spans="1:25" x14ac:dyDescent="0.25">
      <c r="A568" s="25" t="str">
        <f t="shared" si="41"/>
        <v>spreadsheet_dashboard_pos_restaurant;base.group_user;0,32;0,64;0,96;0,96;0,96;0,96;0,96;0,96</v>
      </c>
      <c r="B568">
        <f t="shared" si="43"/>
        <v>0.32</v>
      </c>
      <c r="C568">
        <f t="shared" si="42"/>
        <v>0.64</v>
      </c>
      <c r="D568">
        <f t="shared" si="42"/>
        <v>0.96</v>
      </c>
      <c r="E568">
        <f t="shared" si="42"/>
        <v>0.96</v>
      </c>
      <c r="F568">
        <f t="shared" si="42"/>
        <v>0.96</v>
      </c>
      <c r="G568">
        <f t="shared" si="42"/>
        <v>0.96</v>
      </c>
      <c r="H568">
        <f t="shared" si="42"/>
        <v>0.96</v>
      </c>
      <c r="I568">
        <f t="shared" si="42"/>
        <v>0.96</v>
      </c>
      <c r="J568" s="14" t="s">
        <v>1066</v>
      </c>
      <c r="K568" s="14" t="s">
        <v>1060</v>
      </c>
      <c r="L568" s="29"/>
      <c r="M568" s="14" t="e">
        <f>INDEX('Pivot Analysis'!A:B,MATCH(J568,'Pivot Analysis'!B:B,0),1)</f>
        <v>#N/A</v>
      </c>
      <c r="N568" s="14">
        <f>INDEX(Cloc!E:F,MATCH(J568,Cloc!F:F,0),1)</f>
        <v>0.96</v>
      </c>
      <c r="O568" s="14">
        <f t="shared" si="40"/>
        <v>0.96</v>
      </c>
      <c r="P568" s="14">
        <f>O568/Q568</f>
        <v>0.32</v>
      </c>
      <c r="Q568">
        <f>MAX(1,SUMPRODUCT($R$1:$AD$1,R568:AD568))</f>
        <v>3</v>
      </c>
      <c r="Y568">
        <v>1</v>
      </c>
    </row>
    <row r="569" spans="1:25" x14ac:dyDescent="0.25">
      <c r="A569" s="25" t="str">
        <f t="shared" si="41"/>
        <v>spreadsheet_dashboard_purchase;base.group_user;18;18;18;18;18;18;18;18</v>
      </c>
      <c r="B569">
        <f t="shared" si="43"/>
        <v>18</v>
      </c>
      <c r="C569">
        <f t="shared" si="42"/>
        <v>18</v>
      </c>
      <c r="D569">
        <f t="shared" si="42"/>
        <v>18</v>
      </c>
      <c r="E569">
        <f t="shared" si="42"/>
        <v>18</v>
      </c>
      <c r="F569">
        <f t="shared" si="42"/>
        <v>18</v>
      </c>
      <c r="G569">
        <f t="shared" si="42"/>
        <v>18</v>
      </c>
      <c r="H569">
        <f t="shared" si="42"/>
        <v>18</v>
      </c>
      <c r="I569">
        <f t="shared" si="42"/>
        <v>18</v>
      </c>
      <c r="J569" s="12" t="s">
        <v>627</v>
      </c>
      <c r="K569" s="14" t="s">
        <v>1060</v>
      </c>
      <c r="L569" s="29"/>
      <c r="M569" s="14">
        <f>INDEX('Pivot Analysis'!A:B,MATCH(J569,'Pivot Analysis'!B:B,0),1)</f>
        <v>18</v>
      </c>
      <c r="N569" s="14" t="e">
        <f>INDEX(Cloc!E:F,MATCH(J569,Cloc!F:F,0),1)</f>
        <v>#N/A</v>
      </c>
      <c r="O569" s="14">
        <f t="shared" si="40"/>
        <v>18</v>
      </c>
      <c r="P569" s="14">
        <f>O569/Q569</f>
        <v>18</v>
      </c>
      <c r="Q569">
        <f>MAX(1,SUMPRODUCT($R$1:$AD$1,R569:AD569))</f>
        <v>1</v>
      </c>
    </row>
    <row r="570" spans="1:25" x14ac:dyDescent="0.25">
      <c r="A570" s="25" t="str">
        <f t="shared" si="41"/>
        <v>spreadsheet_dashboard_purchase_stock;base.group_user;18;18;18;18;18;18;18;18</v>
      </c>
      <c r="B570">
        <f t="shared" si="43"/>
        <v>18</v>
      </c>
      <c r="C570">
        <f t="shared" si="42"/>
        <v>18</v>
      </c>
      <c r="D570">
        <f t="shared" si="42"/>
        <v>18</v>
      </c>
      <c r="E570">
        <f t="shared" si="42"/>
        <v>18</v>
      </c>
      <c r="F570">
        <f t="shared" si="42"/>
        <v>18</v>
      </c>
      <c r="G570">
        <f t="shared" si="42"/>
        <v>18</v>
      </c>
      <c r="H570">
        <f t="shared" si="42"/>
        <v>18</v>
      </c>
      <c r="I570">
        <f t="shared" si="42"/>
        <v>18</v>
      </c>
      <c r="J570" s="12" t="s">
        <v>628</v>
      </c>
      <c r="K570" s="14" t="s">
        <v>1060</v>
      </c>
      <c r="L570" s="29"/>
      <c r="M570" s="14">
        <f>INDEX('Pivot Analysis'!A:B,MATCH(J570,'Pivot Analysis'!B:B,0),1)</f>
        <v>18</v>
      </c>
      <c r="N570" s="14" t="e">
        <f>INDEX(Cloc!E:F,MATCH(J570,Cloc!F:F,0),1)</f>
        <v>#N/A</v>
      </c>
      <c r="O570" s="14">
        <f t="shared" si="40"/>
        <v>18</v>
      </c>
      <c r="P570" s="14">
        <f>O570/Q570</f>
        <v>18</v>
      </c>
      <c r="Q570">
        <f>MAX(1,SUMPRODUCT($R$1:$AD$1,R570:AD570))</f>
        <v>1</v>
      </c>
    </row>
    <row r="571" spans="1:25" x14ac:dyDescent="0.25">
      <c r="A571" s="25" t="str">
        <f t="shared" si="41"/>
        <v>spreadsheet_dashboard_sale;base.group_user;0,6;1,2;1,8;2,4;3;3;3;3</v>
      </c>
      <c r="B571">
        <f t="shared" si="43"/>
        <v>0.6</v>
      </c>
      <c r="C571">
        <f t="shared" si="42"/>
        <v>1.2</v>
      </c>
      <c r="D571">
        <f t="shared" si="42"/>
        <v>1.7999999999999998</v>
      </c>
      <c r="E571">
        <f t="shared" si="42"/>
        <v>2.4</v>
      </c>
      <c r="F571">
        <f t="shared" si="42"/>
        <v>3</v>
      </c>
      <c r="G571">
        <f t="shared" si="42"/>
        <v>3</v>
      </c>
      <c r="H571">
        <f t="shared" si="42"/>
        <v>3</v>
      </c>
      <c r="I571">
        <f t="shared" si="42"/>
        <v>3</v>
      </c>
      <c r="J571" s="12" t="s">
        <v>629</v>
      </c>
      <c r="K571" s="14" t="s">
        <v>1060</v>
      </c>
      <c r="L571" s="29"/>
      <c r="M571" s="14">
        <f>INDEX('Pivot Analysis'!A:B,MATCH(J571,'Pivot Analysis'!B:B,0),1)</f>
        <v>3</v>
      </c>
      <c r="N571" s="14">
        <f>INDEX(Cloc!E:F,MATCH(J571,Cloc!F:F,0),1)</f>
        <v>1.62</v>
      </c>
      <c r="O571" s="14">
        <f t="shared" si="40"/>
        <v>3</v>
      </c>
      <c r="P571" s="14">
        <f>O571/Q571</f>
        <v>0.6</v>
      </c>
      <c r="Q571">
        <f>MAX(1,SUMPRODUCT($R$1:$AD$1,R571:AD571))</f>
        <v>5</v>
      </c>
      <c r="W571">
        <v>1</v>
      </c>
      <c r="X571" t="str">
        <f>IF(SUM(R571:W571)=0,VLOOKUP(J571,#REF!,1,0),"")</f>
        <v/>
      </c>
      <c r="Y571" t="str">
        <f>IF(SUM(R571:X571)&gt;0,"",VLOOKUP(J571,'Apps-from-odoo'!A:A,1,0))</f>
        <v/>
      </c>
    </row>
    <row r="572" spans="1:25" x14ac:dyDescent="0.25">
      <c r="A572" s="25" t="str">
        <f t="shared" si="41"/>
        <v>spreadsheet_dashboard_sale_expense;base.group_user;0;0;0;0;0;0;0;0</v>
      </c>
      <c r="B572">
        <f t="shared" si="43"/>
        <v>0</v>
      </c>
      <c r="C572">
        <f t="shared" si="42"/>
        <v>0</v>
      </c>
      <c r="D572">
        <f t="shared" si="42"/>
        <v>0</v>
      </c>
      <c r="E572">
        <f t="shared" si="42"/>
        <v>0</v>
      </c>
      <c r="F572">
        <f t="shared" si="42"/>
        <v>0</v>
      </c>
      <c r="G572">
        <f t="shared" si="42"/>
        <v>0</v>
      </c>
      <c r="H572">
        <f t="shared" si="42"/>
        <v>0</v>
      </c>
      <c r="I572">
        <f t="shared" si="42"/>
        <v>0</v>
      </c>
      <c r="J572" s="12" t="s">
        <v>630</v>
      </c>
      <c r="K572" s="14" t="s">
        <v>1060</v>
      </c>
      <c r="L572" s="29"/>
      <c r="M572" s="14">
        <f>INDEX('Pivot Analysis'!A:B,MATCH(J572,'Pivot Analysis'!B:B,0),1)</f>
        <v>0</v>
      </c>
      <c r="N572" s="14" t="e">
        <f>INDEX(Cloc!E:F,MATCH(J572,Cloc!F:F,0),1)</f>
        <v>#N/A</v>
      </c>
      <c r="O572" s="14">
        <f t="shared" si="40"/>
        <v>0</v>
      </c>
      <c r="P572" s="14">
        <f>O572/Q572</f>
        <v>0</v>
      </c>
      <c r="Q572">
        <f>MAX(1,SUMPRODUCT($R$1:$AD$1,R572:AD572))</f>
        <v>1</v>
      </c>
    </row>
    <row r="573" spans="1:25" x14ac:dyDescent="0.25">
      <c r="A573" s="25" t="str">
        <f t="shared" si="41"/>
        <v>spreadsheet_dashboard_sale_timesheet;base.group_user;3;3;3;3;3;3;3;3</v>
      </c>
      <c r="B573">
        <f t="shared" si="43"/>
        <v>3</v>
      </c>
      <c r="C573">
        <f t="shared" si="42"/>
        <v>3</v>
      </c>
      <c r="D573">
        <f t="shared" si="42"/>
        <v>3</v>
      </c>
      <c r="E573">
        <f t="shared" si="42"/>
        <v>3</v>
      </c>
      <c r="F573">
        <f t="shared" si="42"/>
        <v>3</v>
      </c>
      <c r="G573">
        <f t="shared" si="42"/>
        <v>3</v>
      </c>
      <c r="H573">
        <f t="shared" ref="C573:I636" si="44">$P573*MIN($Q573,H$3)</f>
        <v>3</v>
      </c>
      <c r="I573">
        <f t="shared" si="44"/>
        <v>3</v>
      </c>
      <c r="J573" s="12" t="s">
        <v>632</v>
      </c>
      <c r="K573" s="14" t="s">
        <v>1060</v>
      </c>
      <c r="L573" s="29"/>
      <c r="M573" s="14">
        <f>INDEX('Pivot Analysis'!A:B,MATCH(J573,'Pivot Analysis'!B:B,0),1)</f>
        <v>3</v>
      </c>
      <c r="N573" s="14" t="e">
        <f>INDEX(Cloc!E:F,MATCH(J573,Cloc!F:F,0),1)</f>
        <v>#N/A</v>
      </c>
      <c r="O573" s="14">
        <f t="shared" si="40"/>
        <v>3</v>
      </c>
      <c r="P573" s="14">
        <f>O573/Q573</f>
        <v>3</v>
      </c>
      <c r="Q573">
        <f>MAX(1,SUMPRODUCT($R$1:$AD$1,R573:AD573))</f>
        <v>1</v>
      </c>
    </row>
    <row r="574" spans="1:25" x14ac:dyDescent="0.25">
      <c r="A574" s="25" t="str">
        <f t="shared" si="41"/>
        <v>spreadsheet_dashboard_stock_account;base.group_user;0,6;1,2;1,8;2,4;3;3;3;3</v>
      </c>
      <c r="B574">
        <f t="shared" si="43"/>
        <v>0.6</v>
      </c>
      <c r="C574">
        <f t="shared" si="44"/>
        <v>1.2</v>
      </c>
      <c r="D574">
        <f t="shared" si="44"/>
        <v>1.7999999999999998</v>
      </c>
      <c r="E574">
        <f t="shared" si="44"/>
        <v>2.4</v>
      </c>
      <c r="F574">
        <f t="shared" si="44"/>
        <v>3</v>
      </c>
      <c r="G574">
        <f t="shared" si="44"/>
        <v>3</v>
      </c>
      <c r="H574">
        <f t="shared" si="44"/>
        <v>3</v>
      </c>
      <c r="I574">
        <f t="shared" si="44"/>
        <v>3</v>
      </c>
      <c r="J574" s="12" t="s">
        <v>633</v>
      </c>
      <c r="K574" s="14" t="s">
        <v>1060</v>
      </c>
      <c r="L574" s="29"/>
      <c r="M574" s="14">
        <f>INDEX('Pivot Analysis'!A:B,MATCH(J574,'Pivot Analysis'!B:B,0),1)</f>
        <v>3</v>
      </c>
      <c r="N574" s="14">
        <f>INDEX(Cloc!E:F,MATCH(J574,Cloc!F:F,0),1)</f>
        <v>0.96</v>
      </c>
      <c r="O574" s="14">
        <f t="shared" si="40"/>
        <v>3</v>
      </c>
      <c r="P574" s="14">
        <f>O574/Q574</f>
        <v>0.6</v>
      </c>
      <c r="Q574">
        <f>MAX(1,SUMPRODUCT($R$1:$AD$1,R574:AD574))</f>
        <v>5</v>
      </c>
      <c r="X574">
        <v>1</v>
      </c>
      <c r="Y574" t="str">
        <f>IF(SUM(R574:X574)&gt;0,"",VLOOKUP(J574,'Apps-from-odoo'!A:A,1,0))</f>
        <v/>
      </c>
    </row>
    <row r="575" spans="1:25" x14ac:dyDescent="0.25">
      <c r="A575" s="25" t="str">
        <f t="shared" si="41"/>
        <v>spreadsheet_dashboard_website_sale;base.group_user;6;12;18;24;30;30;30;30</v>
      </c>
      <c r="B575">
        <f t="shared" si="43"/>
        <v>6</v>
      </c>
      <c r="C575">
        <f t="shared" si="44"/>
        <v>12</v>
      </c>
      <c r="D575">
        <f t="shared" si="44"/>
        <v>18</v>
      </c>
      <c r="E575">
        <f t="shared" si="44"/>
        <v>24</v>
      </c>
      <c r="F575">
        <f t="shared" si="44"/>
        <v>30</v>
      </c>
      <c r="G575">
        <f t="shared" si="44"/>
        <v>30</v>
      </c>
      <c r="H575">
        <f t="shared" si="44"/>
        <v>30</v>
      </c>
      <c r="I575">
        <f t="shared" si="44"/>
        <v>30</v>
      </c>
      <c r="J575" s="12" t="s">
        <v>981</v>
      </c>
      <c r="K575" s="14" t="s">
        <v>1060</v>
      </c>
      <c r="L575" s="29"/>
      <c r="M575" s="14">
        <f>INDEX('Pivot Analysis'!A:B,MATCH(J575,'Pivot Analysis'!B:B,0),1)</f>
        <v>30</v>
      </c>
      <c r="N575" s="14">
        <f>INDEX(Cloc!E:F,MATCH(J575,Cloc!F:F,0),1)</f>
        <v>0.96</v>
      </c>
      <c r="O575" s="14">
        <f t="shared" si="40"/>
        <v>30</v>
      </c>
      <c r="P575" s="14">
        <f>O575/Q575</f>
        <v>6</v>
      </c>
      <c r="Q575">
        <f>MAX(1,SUMPRODUCT($R$1:$AD$1,R575:AD575))</f>
        <v>5</v>
      </c>
      <c r="X575">
        <v>1</v>
      </c>
      <c r="Y575" t="str">
        <f>IF(SUM(R575:X575)&gt;0,"",VLOOKUP(J575,'Apps-from-odoo'!A:A,1,0))</f>
        <v/>
      </c>
    </row>
    <row r="576" spans="1:25" x14ac:dyDescent="0.25">
      <c r="A576" s="25" t="str">
        <f t="shared" si="41"/>
        <v>spreadsheet_dashboard_website_sale_slides;base.group_user;33;33;33;33;33;33;33;33</v>
      </c>
      <c r="B576">
        <f t="shared" si="43"/>
        <v>33</v>
      </c>
      <c r="C576">
        <f t="shared" si="44"/>
        <v>33</v>
      </c>
      <c r="D576">
        <f t="shared" si="44"/>
        <v>33</v>
      </c>
      <c r="E576">
        <f t="shared" si="44"/>
        <v>33</v>
      </c>
      <c r="F576">
        <f t="shared" si="44"/>
        <v>33</v>
      </c>
      <c r="G576">
        <f t="shared" si="44"/>
        <v>33</v>
      </c>
      <c r="H576">
        <f t="shared" si="44"/>
        <v>33</v>
      </c>
      <c r="I576">
        <f t="shared" si="44"/>
        <v>33</v>
      </c>
      <c r="J576" s="12" t="s">
        <v>634</v>
      </c>
      <c r="K576" s="14" t="s">
        <v>1060</v>
      </c>
      <c r="L576" s="29"/>
      <c r="M576" s="14">
        <f>INDEX('Pivot Analysis'!A:B,MATCH(J576,'Pivot Analysis'!B:B,0),1)</f>
        <v>33</v>
      </c>
      <c r="N576" s="14" t="e">
        <f>INDEX(Cloc!E:F,MATCH(J576,Cloc!F:F,0),1)</f>
        <v>#N/A</v>
      </c>
      <c r="O576" s="14">
        <f t="shared" si="40"/>
        <v>33</v>
      </c>
      <c r="P576" s="14">
        <f>O576/Q576</f>
        <v>33</v>
      </c>
      <c r="Q576">
        <f>MAX(1,SUMPRODUCT($R$1:$AD$1,R576:AD576))</f>
        <v>1</v>
      </c>
    </row>
    <row r="577" spans="1:26" x14ac:dyDescent="0.25">
      <c r="A577" s="25" t="str">
        <f t="shared" si="41"/>
        <v>stock;base.group_user;15,54;31,08;46,62;62,16;77,7;77,7;77,7;77,7</v>
      </c>
      <c r="B577">
        <f t="shared" si="43"/>
        <v>15.540000000000001</v>
      </c>
      <c r="C577">
        <f t="shared" si="44"/>
        <v>31.080000000000002</v>
      </c>
      <c r="D577">
        <f t="shared" si="44"/>
        <v>46.620000000000005</v>
      </c>
      <c r="E577">
        <f t="shared" si="44"/>
        <v>62.160000000000004</v>
      </c>
      <c r="F577">
        <f t="shared" si="44"/>
        <v>77.7</v>
      </c>
      <c r="G577">
        <f t="shared" si="44"/>
        <v>77.7</v>
      </c>
      <c r="H577">
        <f t="shared" si="44"/>
        <v>77.7</v>
      </c>
      <c r="I577">
        <f t="shared" si="44"/>
        <v>77.7</v>
      </c>
      <c r="J577" s="12" t="s">
        <v>635</v>
      </c>
      <c r="K577" s="14" t="s">
        <v>1060</v>
      </c>
      <c r="L577" s="29"/>
      <c r="M577" s="14">
        <f>INDEX('Pivot Analysis'!A:B,MATCH(J577,'Pivot Analysis'!B:B,0),1)</f>
        <v>77.7</v>
      </c>
      <c r="N577" s="14">
        <f>INDEX(Cloc!E:F,MATCH(J577,Cloc!F:F,0),1)</f>
        <v>1638.78</v>
      </c>
      <c r="O577" s="14">
        <f t="shared" si="40"/>
        <v>77.7</v>
      </c>
      <c r="P577" s="14">
        <f>O577/Q577</f>
        <v>15.540000000000001</v>
      </c>
      <c r="Q577">
        <f>MAX(1,SUMPRODUCT($R$1:$AD$1,R577:AD577))</f>
        <v>5</v>
      </c>
      <c r="X577">
        <v>1</v>
      </c>
      <c r="Y577" t="str">
        <f>IF(SUM(R577:X577)&gt;0,"",VLOOKUP(J577,'Apps-from-odoo'!A:A,1,0))</f>
        <v/>
      </c>
    </row>
    <row r="578" spans="1:26" x14ac:dyDescent="0.25">
      <c r="A578" s="25" t="str">
        <f t="shared" si="41"/>
        <v>stock_account;base.group_user;4,26;8,52;12,78;17,04;21,3;21,3;21,3;21,3</v>
      </c>
      <c r="B578">
        <f t="shared" si="43"/>
        <v>4.26</v>
      </c>
      <c r="C578">
        <f t="shared" si="44"/>
        <v>8.52</v>
      </c>
      <c r="D578">
        <f t="shared" si="44"/>
        <v>12.78</v>
      </c>
      <c r="E578">
        <f t="shared" si="44"/>
        <v>17.04</v>
      </c>
      <c r="F578">
        <f t="shared" si="44"/>
        <v>21.299999999999997</v>
      </c>
      <c r="G578">
        <f t="shared" si="44"/>
        <v>21.299999999999997</v>
      </c>
      <c r="H578">
        <f t="shared" si="44"/>
        <v>21.299999999999997</v>
      </c>
      <c r="I578">
        <f t="shared" si="44"/>
        <v>21.299999999999997</v>
      </c>
      <c r="J578" s="12" t="s">
        <v>637</v>
      </c>
      <c r="K578" s="14" t="s">
        <v>1060</v>
      </c>
      <c r="L578" s="29"/>
      <c r="M578" s="14">
        <f>INDEX('Pivot Analysis'!A:B,MATCH(J578,'Pivot Analysis'!B:B,0),1)</f>
        <v>21.3</v>
      </c>
      <c r="N578" s="14">
        <f>INDEX(Cloc!E:F,MATCH(J578,Cloc!F:F,0),1)</f>
        <v>254.16</v>
      </c>
      <c r="O578" s="14">
        <f t="shared" si="40"/>
        <v>21.3</v>
      </c>
      <c r="P578" s="14">
        <f>O578/Q578</f>
        <v>4.26</v>
      </c>
      <c r="Q578">
        <f>MAX(1,SUMPRODUCT($R$1:$AD$1,R578:AD578))</f>
        <v>5</v>
      </c>
      <c r="X578">
        <v>1</v>
      </c>
      <c r="Y578" t="str">
        <f>IF(SUM(R578:X578)&gt;0,"",VLOOKUP(J578,'Apps-from-odoo'!A:A,1,0))</f>
        <v/>
      </c>
    </row>
    <row r="579" spans="1:26" x14ac:dyDescent="0.25">
      <c r="A579" s="25" t="str">
        <f t="shared" si="41"/>
        <v>stock_delivery;base.group_user;18;36;54;72;90;90;90;90</v>
      </c>
      <c r="B579">
        <f t="shared" si="43"/>
        <v>18</v>
      </c>
      <c r="C579">
        <f t="shared" si="44"/>
        <v>36</v>
      </c>
      <c r="D579">
        <f t="shared" si="44"/>
        <v>54</v>
      </c>
      <c r="E579">
        <f t="shared" si="44"/>
        <v>72</v>
      </c>
      <c r="F579">
        <f t="shared" si="44"/>
        <v>90</v>
      </c>
      <c r="G579">
        <f t="shared" si="44"/>
        <v>90</v>
      </c>
      <c r="H579">
        <f t="shared" si="44"/>
        <v>90</v>
      </c>
      <c r="I579">
        <f t="shared" si="44"/>
        <v>90</v>
      </c>
      <c r="J579" s="12" t="s">
        <v>986</v>
      </c>
      <c r="K579" s="14" t="s">
        <v>1060</v>
      </c>
      <c r="L579" s="29"/>
      <c r="M579" s="14">
        <f>INDEX('Pivot Analysis'!A:B,MATCH(J579,'Pivot Analysis'!B:B,0),1)</f>
        <v>90</v>
      </c>
      <c r="N579" s="14">
        <f>INDEX(Cloc!E:F,MATCH(J579,Cloc!F:F,0),1)</f>
        <v>83.88</v>
      </c>
      <c r="O579" s="14">
        <f t="shared" si="40"/>
        <v>90</v>
      </c>
      <c r="P579" s="14">
        <f>O579/Q579</f>
        <v>18</v>
      </c>
      <c r="Q579">
        <f>MAX(1,SUMPRODUCT($R$1:$AD$1,R579:AD579))</f>
        <v>5</v>
      </c>
      <c r="X579">
        <v>1</v>
      </c>
      <c r="Y579" t="str">
        <f>IF(SUM(R579:X579)&gt;0,"",VLOOKUP(J579,'Apps-from-odoo'!A:A,1,0))</f>
        <v/>
      </c>
    </row>
    <row r="580" spans="1:26" x14ac:dyDescent="0.25">
      <c r="A580" s="25" t="str">
        <f t="shared" si="41"/>
        <v>stock_dropshipping;base.group_user;3;3;3;3;3;3;3;3</v>
      </c>
      <c r="B580">
        <f t="shared" si="43"/>
        <v>3</v>
      </c>
      <c r="C580">
        <f t="shared" si="44"/>
        <v>3</v>
      </c>
      <c r="D580">
        <f t="shared" si="44"/>
        <v>3</v>
      </c>
      <c r="E580">
        <f t="shared" si="44"/>
        <v>3</v>
      </c>
      <c r="F580">
        <f t="shared" si="44"/>
        <v>3</v>
      </c>
      <c r="G580">
        <f t="shared" si="44"/>
        <v>3</v>
      </c>
      <c r="H580">
        <f t="shared" si="44"/>
        <v>3</v>
      </c>
      <c r="I580">
        <f t="shared" si="44"/>
        <v>3</v>
      </c>
      <c r="J580" s="12" t="s">
        <v>639</v>
      </c>
      <c r="K580" s="14" t="s">
        <v>1060</v>
      </c>
      <c r="L580" s="29"/>
      <c r="M580" s="14">
        <f>INDEX('Pivot Analysis'!A:B,MATCH(J580,'Pivot Analysis'!B:B,0),1)</f>
        <v>3</v>
      </c>
      <c r="N580" s="14" t="e">
        <f>INDEX(Cloc!E:F,MATCH(J580,Cloc!F:F,0),1)</f>
        <v>#N/A</v>
      </c>
      <c r="O580" s="14">
        <f t="shared" si="40"/>
        <v>3</v>
      </c>
      <c r="P580" s="14">
        <f>O580/Q580</f>
        <v>3</v>
      </c>
      <c r="Q580">
        <f>MAX(1,SUMPRODUCT($R$1:$AD$1,R580:AD580))</f>
        <v>1</v>
      </c>
    </row>
    <row r="581" spans="1:26" x14ac:dyDescent="0.25">
      <c r="A581" s="25" t="str">
        <f t="shared" si="41"/>
        <v>stock_fleet;base.group_user;1000;1000;1000;1000;1000;1000;1000;1000</v>
      </c>
      <c r="B581">
        <f t="shared" si="43"/>
        <v>1000</v>
      </c>
      <c r="C581">
        <f t="shared" si="44"/>
        <v>1000</v>
      </c>
      <c r="D581">
        <f t="shared" si="44"/>
        <v>1000</v>
      </c>
      <c r="E581">
        <f t="shared" si="44"/>
        <v>1000</v>
      </c>
      <c r="F581">
        <f t="shared" si="44"/>
        <v>1000</v>
      </c>
      <c r="G581">
        <f t="shared" si="44"/>
        <v>1000</v>
      </c>
      <c r="H581">
        <f t="shared" si="44"/>
        <v>1000</v>
      </c>
      <c r="I581">
        <f t="shared" si="44"/>
        <v>1000</v>
      </c>
      <c r="J581" s="14" t="s">
        <v>1107</v>
      </c>
      <c r="K581" s="14" t="s">
        <v>1060</v>
      </c>
      <c r="L581" s="29"/>
      <c r="M581" s="14" t="e">
        <f>INDEX('Pivot Analysis'!A:B,MATCH(J581,'Pivot Analysis'!B:B,0),1)</f>
        <v>#N/A</v>
      </c>
      <c r="N581" s="14" t="e">
        <f>INDEX(Cloc!E:F,MATCH(J581,Cloc!F:F,0),1)</f>
        <v>#N/A</v>
      </c>
      <c r="O581" s="14">
        <f t="shared" ref="O581:O644" si="45">IFERROR(IFERROR(IF(L581&lt;&gt;"",L581,M581),N581),$O$1)</f>
        <v>1000</v>
      </c>
      <c r="P581" s="14">
        <f>O581/Q581</f>
        <v>1000</v>
      </c>
      <c r="Q581">
        <f>MAX(1,SUMPRODUCT($R$1:$AD$1,R581:AD581))</f>
        <v>1</v>
      </c>
      <c r="Z581">
        <v>1</v>
      </c>
    </row>
    <row r="582" spans="1:26" x14ac:dyDescent="0.25">
      <c r="A582" s="25" t="str">
        <f t="shared" si="41"/>
        <v>stock_landed_costs;base.group_user;9;9;9;9;9;9;9;9</v>
      </c>
      <c r="B582">
        <f t="shared" si="43"/>
        <v>9</v>
      </c>
      <c r="C582">
        <f t="shared" si="44"/>
        <v>9</v>
      </c>
      <c r="D582">
        <f t="shared" si="44"/>
        <v>9</v>
      </c>
      <c r="E582">
        <f t="shared" si="44"/>
        <v>9</v>
      </c>
      <c r="F582">
        <f t="shared" si="44"/>
        <v>9</v>
      </c>
      <c r="G582">
        <f t="shared" si="44"/>
        <v>9</v>
      </c>
      <c r="H582">
        <f t="shared" si="44"/>
        <v>9</v>
      </c>
      <c r="I582">
        <f t="shared" si="44"/>
        <v>9</v>
      </c>
      <c r="J582" s="12" t="s">
        <v>641</v>
      </c>
      <c r="K582" s="14" t="s">
        <v>1060</v>
      </c>
      <c r="L582" s="29"/>
      <c r="M582" s="14">
        <f>INDEX('Pivot Analysis'!A:B,MATCH(J582,'Pivot Analysis'!B:B,0),1)</f>
        <v>9</v>
      </c>
      <c r="N582" s="14" t="e">
        <f>INDEX(Cloc!E:F,MATCH(J582,Cloc!F:F,0),1)</f>
        <v>#N/A</v>
      </c>
      <c r="O582" s="14">
        <f t="shared" si="45"/>
        <v>9</v>
      </c>
      <c r="P582" s="14">
        <f>O582/Q582</f>
        <v>9</v>
      </c>
      <c r="Q582">
        <f>MAX(1,SUMPRODUCT($R$1:$AD$1,R582:AD582))</f>
        <v>1</v>
      </c>
    </row>
    <row r="583" spans="1:26" x14ac:dyDescent="0.25">
      <c r="A583" s="25" t="str">
        <f t="shared" si="41"/>
        <v>stock_landed_costs_company;base.group_user;0;0;0;0;0;0;0;0</v>
      </c>
      <c r="B583">
        <f t="shared" si="43"/>
        <v>0</v>
      </c>
      <c r="C583">
        <f t="shared" si="44"/>
        <v>0</v>
      </c>
      <c r="D583">
        <f t="shared" si="44"/>
        <v>0</v>
      </c>
      <c r="E583">
        <f t="shared" si="44"/>
        <v>0</v>
      </c>
      <c r="F583">
        <f t="shared" si="44"/>
        <v>0</v>
      </c>
      <c r="G583">
        <f t="shared" si="44"/>
        <v>0</v>
      </c>
      <c r="H583">
        <f t="shared" si="44"/>
        <v>0</v>
      </c>
      <c r="I583">
        <f t="shared" si="44"/>
        <v>0</v>
      </c>
      <c r="J583" s="12" t="s">
        <v>987</v>
      </c>
      <c r="K583" s="14" t="s">
        <v>1060</v>
      </c>
      <c r="L583" s="29"/>
      <c r="M583" s="14">
        <f>INDEX('Pivot Analysis'!A:B,MATCH(J583,'Pivot Analysis'!B:B,0),1)</f>
        <v>0</v>
      </c>
      <c r="N583" s="14" t="e">
        <f>INDEX(Cloc!E:F,MATCH(J583,Cloc!F:F,0),1)</f>
        <v>#N/A</v>
      </c>
      <c r="O583" s="14">
        <f t="shared" si="45"/>
        <v>0</v>
      </c>
      <c r="P583" s="14">
        <f>O583/Q583</f>
        <v>0</v>
      </c>
      <c r="Q583">
        <f>MAX(1,SUMPRODUCT($R$1:$AD$1,R583:AD583))</f>
        <v>1</v>
      </c>
    </row>
    <row r="584" spans="1:26" x14ac:dyDescent="0.25">
      <c r="A584" s="25" t="str">
        <f t="shared" si="41"/>
        <v>stock_picking_batch;base.group_user;16,8;16,8;16,8;16,8;16,8;16,8;16,8;16,8</v>
      </c>
      <c r="B584">
        <f t="shared" si="43"/>
        <v>16.8</v>
      </c>
      <c r="C584">
        <f t="shared" si="44"/>
        <v>16.8</v>
      </c>
      <c r="D584">
        <f t="shared" si="44"/>
        <v>16.8</v>
      </c>
      <c r="E584">
        <f t="shared" si="44"/>
        <v>16.8</v>
      </c>
      <c r="F584">
        <f t="shared" si="44"/>
        <v>16.8</v>
      </c>
      <c r="G584">
        <f t="shared" si="44"/>
        <v>16.8</v>
      </c>
      <c r="H584">
        <f t="shared" si="44"/>
        <v>16.8</v>
      </c>
      <c r="I584">
        <f t="shared" si="44"/>
        <v>16.8</v>
      </c>
      <c r="J584" s="12" t="s">
        <v>642</v>
      </c>
      <c r="K584" s="14" t="s">
        <v>1060</v>
      </c>
      <c r="L584" s="29"/>
      <c r="M584" s="14">
        <f>INDEX('Pivot Analysis'!A:B,MATCH(J584,'Pivot Analysis'!B:B,0),1)</f>
        <v>16.8</v>
      </c>
      <c r="N584" s="14" t="e">
        <f>INDEX(Cloc!E:F,MATCH(J584,Cloc!F:F,0),1)</f>
        <v>#N/A</v>
      </c>
      <c r="O584" s="14">
        <f t="shared" si="45"/>
        <v>16.8</v>
      </c>
      <c r="P584" s="14">
        <f>O584/Q584</f>
        <v>16.8</v>
      </c>
      <c r="Q584">
        <f>MAX(1,SUMPRODUCT($R$1:$AD$1,R584:AD584))</f>
        <v>1</v>
      </c>
    </row>
    <row r="585" spans="1:26" x14ac:dyDescent="0.25">
      <c r="A585" s="25" t="str">
        <f t="shared" ref="A585:A648" si="46">J585&amp;";"&amp;K585&amp;";"&amp;B585&amp;";"&amp;C585&amp;";"&amp;D585&amp;";"&amp;E585&amp;";"&amp;F585&amp;";"&amp;G585&amp;";"&amp;H585&amp;";"&amp;I585</f>
        <v>stock_sms;base.group_user;0;0;0;0;0;0;0;0</v>
      </c>
      <c r="B585">
        <f t="shared" si="43"/>
        <v>0</v>
      </c>
      <c r="C585">
        <f t="shared" si="44"/>
        <v>0</v>
      </c>
      <c r="D585">
        <f t="shared" si="44"/>
        <v>0</v>
      </c>
      <c r="E585">
        <f t="shared" si="44"/>
        <v>0</v>
      </c>
      <c r="F585">
        <f t="shared" si="44"/>
        <v>0</v>
      </c>
      <c r="G585">
        <f t="shared" si="44"/>
        <v>0</v>
      </c>
      <c r="H585">
        <f t="shared" si="44"/>
        <v>0</v>
      </c>
      <c r="I585">
        <f t="shared" si="44"/>
        <v>0</v>
      </c>
      <c r="J585" s="12" t="s">
        <v>644</v>
      </c>
      <c r="K585" s="14" t="s">
        <v>1060</v>
      </c>
      <c r="L585" s="29"/>
      <c r="M585" s="14">
        <f>INDEX('Pivot Analysis'!A:B,MATCH(J585,'Pivot Analysis'!B:B,0),1)</f>
        <v>0</v>
      </c>
      <c r="N585" s="14">
        <f>INDEX(Cloc!E:F,MATCH(J585,Cloc!F:F,0),1)</f>
        <v>13.200000000000001</v>
      </c>
      <c r="O585" s="14">
        <f t="shared" si="45"/>
        <v>0</v>
      </c>
      <c r="P585" s="14">
        <f>O585/Q585</f>
        <v>0</v>
      </c>
      <c r="Q585">
        <f>MAX(1,SUMPRODUCT($R$1:$AD$1,R585:AD585))</f>
        <v>5</v>
      </c>
      <c r="X585">
        <v>1</v>
      </c>
      <c r="Y585" t="str">
        <f>IF(SUM(R585:X585)&gt;0,"",VLOOKUP(J585,'Apps-from-odoo'!A:A,1,0))</f>
        <v/>
      </c>
    </row>
    <row r="586" spans="1:26" x14ac:dyDescent="0.25">
      <c r="A586" s="25" t="str">
        <f t="shared" si="46"/>
        <v>survey;base.group_user;6,7;13,4;20,1;20,1;20,1;20,1;20,1;20,1</v>
      </c>
      <c r="B586">
        <f t="shared" si="43"/>
        <v>6.6999999999999993</v>
      </c>
      <c r="C586">
        <f t="shared" si="44"/>
        <v>13.399999999999999</v>
      </c>
      <c r="D586">
        <f t="shared" si="44"/>
        <v>20.099999999999998</v>
      </c>
      <c r="E586">
        <f t="shared" si="44"/>
        <v>20.099999999999998</v>
      </c>
      <c r="F586">
        <f t="shared" si="44"/>
        <v>20.099999999999998</v>
      </c>
      <c r="G586">
        <f t="shared" si="44"/>
        <v>20.099999999999998</v>
      </c>
      <c r="H586">
        <f t="shared" si="44"/>
        <v>20.099999999999998</v>
      </c>
      <c r="I586">
        <f t="shared" si="44"/>
        <v>20.099999999999998</v>
      </c>
      <c r="J586" s="12" t="s">
        <v>645</v>
      </c>
      <c r="K586" s="14" t="s">
        <v>1060</v>
      </c>
      <c r="L586" s="29"/>
      <c r="M586" s="14">
        <f>INDEX('Pivot Analysis'!A:B,MATCH(J586,'Pivot Analysis'!B:B,0),1)</f>
        <v>20.099999999999998</v>
      </c>
      <c r="N586" s="14">
        <f>INDEX(Cloc!E:F,MATCH(J586,Cloc!F:F,0),1)</f>
        <v>944.28</v>
      </c>
      <c r="O586" s="14">
        <f t="shared" si="45"/>
        <v>20.099999999999998</v>
      </c>
      <c r="P586" s="14">
        <f>O586/Q586</f>
        <v>6.6999999999999993</v>
      </c>
      <c r="Q586">
        <f>MAX(1,SUMPRODUCT($R$1:$AD$1,R586:AD586))</f>
        <v>3</v>
      </c>
      <c r="Y586">
        <v>1</v>
      </c>
    </row>
    <row r="587" spans="1:26" x14ac:dyDescent="0.25">
      <c r="A587" s="25" t="str">
        <f t="shared" si="46"/>
        <v>test_access_rights;base.group_user;30;30;30;30;30;30;30;30</v>
      </c>
      <c r="B587">
        <f t="shared" si="43"/>
        <v>30</v>
      </c>
      <c r="C587">
        <f t="shared" si="44"/>
        <v>30</v>
      </c>
      <c r="D587">
        <f t="shared" si="44"/>
        <v>30</v>
      </c>
      <c r="E587">
        <f t="shared" si="44"/>
        <v>30</v>
      </c>
      <c r="F587">
        <f t="shared" si="44"/>
        <v>30</v>
      </c>
      <c r="G587">
        <f t="shared" si="44"/>
        <v>30</v>
      </c>
      <c r="H587">
        <f t="shared" si="44"/>
        <v>30</v>
      </c>
      <c r="I587">
        <f t="shared" si="44"/>
        <v>30</v>
      </c>
      <c r="J587" s="12" t="s">
        <v>991</v>
      </c>
      <c r="K587" s="14" t="s">
        <v>1060</v>
      </c>
      <c r="L587" s="29"/>
      <c r="M587" s="14">
        <f>INDEX('Pivot Analysis'!A:B,MATCH(J587,'Pivot Analysis'!B:B,0),1)</f>
        <v>30</v>
      </c>
      <c r="N587" s="14" t="e">
        <f>INDEX(Cloc!E:F,MATCH(J587,Cloc!F:F,0),1)</f>
        <v>#N/A</v>
      </c>
      <c r="O587" s="14">
        <f t="shared" si="45"/>
        <v>30</v>
      </c>
      <c r="P587" s="14">
        <f>O587/Q587</f>
        <v>30</v>
      </c>
      <c r="Q587">
        <f>MAX(1,SUMPRODUCT($R$1:$AD$1,R587:AD587))</f>
        <v>1</v>
      </c>
    </row>
    <row r="588" spans="1:26" x14ac:dyDescent="0.25">
      <c r="A588" s="25" t="str">
        <f t="shared" si="46"/>
        <v>test_action_bindings;base.group_user;30;30;30;30;30;30;30;30</v>
      </c>
      <c r="B588">
        <f t="shared" si="43"/>
        <v>30</v>
      </c>
      <c r="C588">
        <f t="shared" si="44"/>
        <v>30</v>
      </c>
      <c r="D588">
        <f t="shared" si="44"/>
        <v>30</v>
      </c>
      <c r="E588">
        <f t="shared" si="44"/>
        <v>30</v>
      </c>
      <c r="F588">
        <f t="shared" si="44"/>
        <v>30</v>
      </c>
      <c r="G588">
        <f t="shared" si="44"/>
        <v>30</v>
      </c>
      <c r="H588">
        <f t="shared" si="44"/>
        <v>30</v>
      </c>
      <c r="I588">
        <f t="shared" si="44"/>
        <v>30</v>
      </c>
      <c r="J588" s="12" t="s">
        <v>992</v>
      </c>
      <c r="K588" s="14" t="s">
        <v>1060</v>
      </c>
      <c r="L588" s="29"/>
      <c r="M588" s="14">
        <f>INDEX('Pivot Analysis'!A:B,MATCH(J588,'Pivot Analysis'!B:B,0),1)</f>
        <v>30</v>
      </c>
      <c r="N588" s="14" t="e">
        <f>INDEX(Cloc!E:F,MATCH(J588,Cloc!F:F,0),1)</f>
        <v>#N/A</v>
      </c>
      <c r="O588" s="14">
        <f t="shared" si="45"/>
        <v>30</v>
      </c>
      <c r="P588" s="14">
        <f>O588/Q588</f>
        <v>30</v>
      </c>
      <c r="Q588">
        <f>MAX(1,SUMPRODUCT($R$1:$AD$1,R588:AD588))</f>
        <v>1</v>
      </c>
    </row>
    <row r="589" spans="1:26" x14ac:dyDescent="0.25">
      <c r="A589" s="25" t="str">
        <f t="shared" si="46"/>
        <v>test_apikeys;base.group_user;30;30;30;30;30;30;30;30</v>
      </c>
      <c r="B589">
        <f t="shared" si="43"/>
        <v>30</v>
      </c>
      <c r="C589">
        <f t="shared" si="44"/>
        <v>30</v>
      </c>
      <c r="D589">
        <f t="shared" si="44"/>
        <v>30</v>
      </c>
      <c r="E589">
        <f t="shared" si="44"/>
        <v>30</v>
      </c>
      <c r="F589">
        <f t="shared" si="44"/>
        <v>30</v>
      </c>
      <c r="G589">
        <f t="shared" si="44"/>
        <v>30</v>
      </c>
      <c r="H589">
        <f t="shared" si="44"/>
        <v>30</v>
      </c>
      <c r="I589">
        <f t="shared" si="44"/>
        <v>30</v>
      </c>
      <c r="J589" s="12" t="s">
        <v>993</v>
      </c>
      <c r="K589" s="14" t="s">
        <v>1060</v>
      </c>
      <c r="L589" s="29"/>
      <c r="M589" s="14">
        <f>INDEX('Pivot Analysis'!A:B,MATCH(J589,'Pivot Analysis'!B:B,0),1)</f>
        <v>30</v>
      </c>
      <c r="N589" s="14" t="e">
        <f>INDEX(Cloc!E:F,MATCH(J589,Cloc!F:F,0),1)</f>
        <v>#N/A</v>
      </c>
      <c r="O589" s="14">
        <f t="shared" si="45"/>
        <v>30</v>
      </c>
      <c r="P589" s="14">
        <f>O589/Q589</f>
        <v>30</v>
      </c>
      <c r="Q589">
        <f>MAX(1,SUMPRODUCT($R$1:$AD$1,R589:AD589))</f>
        <v>1</v>
      </c>
    </row>
    <row r="590" spans="1:26" x14ac:dyDescent="0.25">
      <c r="A590" s="25" t="str">
        <f t="shared" si="46"/>
        <v>test_assetsbundle;base.group_user;30;30;30;30;30;30;30;30</v>
      </c>
      <c r="B590">
        <f t="shared" si="43"/>
        <v>30</v>
      </c>
      <c r="C590">
        <f t="shared" si="44"/>
        <v>30</v>
      </c>
      <c r="D590">
        <f t="shared" si="44"/>
        <v>30</v>
      </c>
      <c r="E590">
        <f t="shared" si="44"/>
        <v>30</v>
      </c>
      <c r="F590">
        <f t="shared" si="44"/>
        <v>30</v>
      </c>
      <c r="G590">
        <f t="shared" si="44"/>
        <v>30</v>
      </c>
      <c r="H590">
        <f t="shared" si="44"/>
        <v>30</v>
      </c>
      <c r="I590">
        <f t="shared" si="44"/>
        <v>30</v>
      </c>
      <c r="J590" s="12" t="s">
        <v>994</v>
      </c>
      <c r="K590" s="14" t="s">
        <v>1060</v>
      </c>
      <c r="L590" s="29"/>
      <c r="M590" s="14">
        <f>INDEX('Pivot Analysis'!A:B,MATCH(J590,'Pivot Analysis'!B:B,0),1)</f>
        <v>30</v>
      </c>
      <c r="N590" s="14" t="e">
        <f>INDEX(Cloc!E:F,MATCH(J590,Cloc!F:F,0),1)</f>
        <v>#N/A</v>
      </c>
      <c r="O590" s="14">
        <f t="shared" si="45"/>
        <v>30</v>
      </c>
      <c r="P590" s="14">
        <f>O590/Q590</f>
        <v>30</v>
      </c>
      <c r="Q590">
        <f>MAX(1,SUMPRODUCT($R$1:$AD$1,R590:AD590))</f>
        <v>1</v>
      </c>
    </row>
    <row r="591" spans="1:26" x14ac:dyDescent="0.25">
      <c r="A591" s="25" t="str">
        <f t="shared" si="46"/>
        <v>test_auth_custom;base.group_user;30;30;30;30;30;30;30;30</v>
      </c>
      <c r="B591">
        <f t="shared" si="43"/>
        <v>30</v>
      </c>
      <c r="C591">
        <f t="shared" si="44"/>
        <v>30</v>
      </c>
      <c r="D591">
        <f t="shared" si="44"/>
        <v>30</v>
      </c>
      <c r="E591">
        <f t="shared" si="44"/>
        <v>30</v>
      </c>
      <c r="F591">
        <f t="shared" si="44"/>
        <v>30</v>
      </c>
      <c r="G591">
        <f t="shared" si="44"/>
        <v>30</v>
      </c>
      <c r="H591">
        <f t="shared" si="44"/>
        <v>30</v>
      </c>
      <c r="I591">
        <f t="shared" si="44"/>
        <v>30</v>
      </c>
      <c r="J591" s="12" t="s">
        <v>995</v>
      </c>
      <c r="K591" s="14" t="s">
        <v>1060</v>
      </c>
      <c r="L591" s="29"/>
      <c r="M591" s="14">
        <f>INDEX('Pivot Analysis'!A:B,MATCH(J591,'Pivot Analysis'!B:B,0),1)</f>
        <v>30</v>
      </c>
      <c r="N591" s="14" t="e">
        <f>INDEX(Cloc!E:F,MATCH(J591,Cloc!F:F,0),1)</f>
        <v>#N/A</v>
      </c>
      <c r="O591" s="14">
        <f t="shared" si="45"/>
        <v>30</v>
      </c>
      <c r="P591" s="14">
        <f>O591/Q591</f>
        <v>30</v>
      </c>
      <c r="Q591">
        <f>MAX(1,SUMPRODUCT($R$1:$AD$1,R591:AD591))</f>
        <v>1</v>
      </c>
    </row>
    <row r="592" spans="1:26" x14ac:dyDescent="0.25">
      <c r="A592" s="25" t="str">
        <f t="shared" si="46"/>
        <v>test_base_automation;base.group_user;33;33;33;33;33;33;33;33</v>
      </c>
      <c r="B592">
        <f t="shared" si="43"/>
        <v>33</v>
      </c>
      <c r="C592">
        <f t="shared" si="44"/>
        <v>33</v>
      </c>
      <c r="D592">
        <f t="shared" si="44"/>
        <v>33</v>
      </c>
      <c r="E592">
        <f t="shared" si="44"/>
        <v>33</v>
      </c>
      <c r="F592">
        <f t="shared" si="44"/>
        <v>33</v>
      </c>
      <c r="G592">
        <f t="shared" si="44"/>
        <v>33</v>
      </c>
      <c r="H592">
        <f t="shared" si="44"/>
        <v>33</v>
      </c>
      <c r="I592">
        <f t="shared" si="44"/>
        <v>33</v>
      </c>
      <c r="J592" s="12" t="s">
        <v>647</v>
      </c>
      <c r="K592" s="14" t="s">
        <v>1060</v>
      </c>
      <c r="L592" s="29"/>
      <c r="M592" s="14">
        <f>INDEX('Pivot Analysis'!A:B,MATCH(J592,'Pivot Analysis'!B:B,0),1)</f>
        <v>33</v>
      </c>
      <c r="N592" s="14" t="e">
        <f>INDEX(Cloc!E:F,MATCH(J592,Cloc!F:F,0),1)</f>
        <v>#N/A</v>
      </c>
      <c r="O592" s="14">
        <f t="shared" si="45"/>
        <v>33</v>
      </c>
      <c r="P592" s="14">
        <f>O592/Q592</f>
        <v>33</v>
      </c>
      <c r="Q592">
        <f>MAX(1,SUMPRODUCT($R$1:$AD$1,R592:AD592))</f>
        <v>1</v>
      </c>
    </row>
    <row r="593" spans="1:26" x14ac:dyDescent="0.25">
      <c r="A593" s="25" t="str">
        <f t="shared" si="46"/>
        <v>test_base_import;base.group_user;180;180;180;180;180;180;180;180</v>
      </c>
      <c r="B593">
        <f t="shared" si="43"/>
        <v>180</v>
      </c>
      <c r="C593">
        <f t="shared" si="44"/>
        <v>180</v>
      </c>
      <c r="D593">
        <f t="shared" si="44"/>
        <v>180</v>
      </c>
      <c r="E593">
        <f t="shared" si="44"/>
        <v>180</v>
      </c>
      <c r="F593">
        <f t="shared" si="44"/>
        <v>180</v>
      </c>
      <c r="G593">
        <f t="shared" si="44"/>
        <v>180</v>
      </c>
      <c r="H593">
        <f t="shared" si="44"/>
        <v>180</v>
      </c>
      <c r="I593">
        <f t="shared" si="44"/>
        <v>180</v>
      </c>
      <c r="J593" s="12" t="s">
        <v>996</v>
      </c>
      <c r="K593" s="14" t="s">
        <v>1060</v>
      </c>
      <c r="L593" s="29"/>
      <c r="M593" s="14">
        <f>INDEX('Pivot Analysis'!A:B,MATCH(J593,'Pivot Analysis'!B:B,0),1)</f>
        <v>180</v>
      </c>
      <c r="N593" s="14" t="e">
        <f>INDEX(Cloc!E:F,MATCH(J593,Cloc!F:F,0),1)</f>
        <v>#N/A</v>
      </c>
      <c r="O593" s="14">
        <f t="shared" si="45"/>
        <v>180</v>
      </c>
      <c r="P593" s="14">
        <f>O593/Q593</f>
        <v>180</v>
      </c>
      <c r="Q593">
        <f>MAX(1,SUMPRODUCT($R$1:$AD$1,R593:AD593))</f>
        <v>1</v>
      </c>
    </row>
    <row r="594" spans="1:26" x14ac:dyDescent="0.25">
      <c r="A594" s="25" t="str">
        <f t="shared" si="46"/>
        <v>test_convert;base.group_user;30;30;30;30;30;30;30;30</v>
      </c>
      <c r="B594">
        <f t="shared" si="43"/>
        <v>30</v>
      </c>
      <c r="C594">
        <f t="shared" si="44"/>
        <v>30</v>
      </c>
      <c r="D594">
        <f t="shared" si="44"/>
        <v>30</v>
      </c>
      <c r="E594">
        <f t="shared" si="44"/>
        <v>30</v>
      </c>
      <c r="F594">
        <f t="shared" si="44"/>
        <v>30</v>
      </c>
      <c r="G594">
        <f t="shared" si="44"/>
        <v>30</v>
      </c>
      <c r="H594">
        <f t="shared" si="44"/>
        <v>30</v>
      </c>
      <c r="I594">
        <f t="shared" si="44"/>
        <v>30</v>
      </c>
      <c r="J594" s="12" t="s">
        <v>997</v>
      </c>
      <c r="K594" s="14" t="s">
        <v>1060</v>
      </c>
      <c r="L594" s="29"/>
      <c r="M594" s="14">
        <f>INDEX('Pivot Analysis'!A:B,MATCH(J594,'Pivot Analysis'!B:B,0),1)</f>
        <v>30</v>
      </c>
      <c r="N594" s="14" t="e">
        <f>INDEX(Cloc!E:F,MATCH(J594,Cloc!F:F,0),1)</f>
        <v>#N/A</v>
      </c>
      <c r="O594" s="14">
        <f t="shared" si="45"/>
        <v>30</v>
      </c>
      <c r="P594" s="14">
        <f>O594/Q594</f>
        <v>30</v>
      </c>
      <c r="Q594">
        <f>MAX(1,SUMPRODUCT($R$1:$AD$1,R594:AD594))</f>
        <v>1</v>
      </c>
    </row>
    <row r="595" spans="1:26" x14ac:dyDescent="0.25">
      <c r="A595" s="25" t="str">
        <f t="shared" si="46"/>
        <v>test_converter;base.group_user;30;30;30;30;30;30;30;30</v>
      </c>
      <c r="B595">
        <f t="shared" si="43"/>
        <v>30</v>
      </c>
      <c r="C595">
        <f t="shared" si="44"/>
        <v>30</v>
      </c>
      <c r="D595">
        <f t="shared" si="44"/>
        <v>30</v>
      </c>
      <c r="E595">
        <f t="shared" si="44"/>
        <v>30</v>
      </c>
      <c r="F595">
        <f t="shared" si="44"/>
        <v>30</v>
      </c>
      <c r="G595">
        <f t="shared" si="44"/>
        <v>30</v>
      </c>
      <c r="H595">
        <f t="shared" si="44"/>
        <v>30</v>
      </c>
      <c r="I595">
        <f t="shared" si="44"/>
        <v>30</v>
      </c>
      <c r="J595" s="12" t="s">
        <v>998</v>
      </c>
      <c r="K595" s="14" t="s">
        <v>1060</v>
      </c>
      <c r="L595" s="29"/>
      <c r="M595" s="14">
        <f>INDEX('Pivot Analysis'!A:B,MATCH(J595,'Pivot Analysis'!B:B,0),1)</f>
        <v>30</v>
      </c>
      <c r="N595" s="14" t="e">
        <f>INDEX(Cloc!E:F,MATCH(J595,Cloc!F:F,0),1)</f>
        <v>#N/A</v>
      </c>
      <c r="O595" s="14">
        <f t="shared" si="45"/>
        <v>30</v>
      </c>
      <c r="P595" s="14">
        <f>O595/Q595</f>
        <v>30</v>
      </c>
      <c r="Q595">
        <f>MAX(1,SUMPRODUCT($R$1:$AD$1,R595:AD595))</f>
        <v>1</v>
      </c>
    </row>
    <row r="596" spans="1:26" x14ac:dyDescent="0.25">
      <c r="A596" s="25" t="str">
        <f t="shared" si="46"/>
        <v>test_crm_full;base.group_user;33;33;33;33;33;33;33;33</v>
      </c>
      <c r="B596">
        <f t="shared" si="43"/>
        <v>33</v>
      </c>
      <c r="C596">
        <f t="shared" si="44"/>
        <v>33</v>
      </c>
      <c r="D596">
        <f t="shared" si="44"/>
        <v>33</v>
      </c>
      <c r="E596">
        <f t="shared" si="44"/>
        <v>33</v>
      </c>
      <c r="F596">
        <f t="shared" si="44"/>
        <v>33</v>
      </c>
      <c r="G596">
        <f t="shared" si="44"/>
        <v>33</v>
      </c>
      <c r="H596">
        <f t="shared" si="44"/>
        <v>33</v>
      </c>
      <c r="I596">
        <f t="shared" si="44"/>
        <v>33</v>
      </c>
      <c r="J596" s="12" t="s">
        <v>648</v>
      </c>
      <c r="K596" s="14" t="s">
        <v>1060</v>
      </c>
      <c r="L596" s="29"/>
      <c r="M596" s="14">
        <f>INDEX('Pivot Analysis'!A:B,MATCH(J596,'Pivot Analysis'!B:B,0),1)</f>
        <v>33</v>
      </c>
      <c r="N596" s="14" t="e">
        <f>INDEX(Cloc!E:F,MATCH(J596,Cloc!F:F,0),1)</f>
        <v>#N/A</v>
      </c>
      <c r="O596" s="14">
        <f t="shared" si="45"/>
        <v>33</v>
      </c>
      <c r="P596" s="14">
        <f>O596/Q596</f>
        <v>33</v>
      </c>
      <c r="Q596">
        <f>MAX(1,SUMPRODUCT($R$1:$AD$1,R596:AD596))</f>
        <v>1</v>
      </c>
    </row>
    <row r="597" spans="1:26" x14ac:dyDescent="0.25">
      <c r="A597" s="25" t="str">
        <f t="shared" si="46"/>
        <v>test_data_module;base.group_user;30;30;30;30;30;30;30;30</v>
      </c>
      <c r="B597">
        <f t="shared" si="43"/>
        <v>30</v>
      </c>
      <c r="C597">
        <f t="shared" si="44"/>
        <v>30</v>
      </c>
      <c r="D597">
        <f t="shared" si="44"/>
        <v>30</v>
      </c>
      <c r="E597">
        <f t="shared" si="44"/>
        <v>30</v>
      </c>
      <c r="F597">
        <f t="shared" si="44"/>
        <v>30</v>
      </c>
      <c r="G597">
        <f t="shared" si="44"/>
        <v>30</v>
      </c>
      <c r="H597">
        <f t="shared" si="44"/>
        <v>30</v>
      </c>
      <c r="I597">
        <f t="shared" si="44"/>
        <v>30</v>
      </c>
      <c r="J597" s="12" t="s">
        <v>999</v>
      </c>
      <c r="K597" s="14" t="s">
        <v>1060</v>
      </c>
      <c r="L597" s="29"/>
      <c r="M597" s="14">
        <f>INDEX('Pivot Analysis'!A:B,MATCH(J597,'Pivot Analysis'!B:B,0),1)</f>
        <v>30</v>
      </c>
      <c r="N597" s="14" t="e">
        <f>INDEX(Cloc!E:F,MATCH(J597,Cloc!F:F,0),1)</f>
        <v>#N/A</v>
      </c>
      <c r="O597" s="14">
        <f t="shared" si="45"/>
        <v>30</v>
      </c>
      <c r="P597" s="14">
        <f>O597/Q597</f>
        <v>30</v>
      </c>
      <c r="Q597">
        <f>MAX(1,SUMPRODUCT($R$1:$AD$1,R597:AD597))</f>
        <v>1</v>
      </c>
    </row>
    <row r="598" spans="1:26" x14ac:dyDescent="0.25">
      <c r="A598" s="25" t="str">
        <f t="shared" si="46"/>
        <v>test_data_module_install;base.group_user;30;30;30;30;30;30;30;30</v>
      </c>
      <c r="B598">
        <f t="shared" si="43"/>
        <v>30</v>
      </c>
      <c r="C598">
        <f t="shared" si="44"/>
        <v>30</v>
      </c>
      <c r="D598">
        <f t="shared" si="44"/>
        <v>30</v>
      </c>
      <c r="E598">
        <f t="shared" si="44"/>
        <v>30</v>
      </c>
      <c r="F598">
        <f t="shared" si="44"/>
        <v>30</v>
      </c>
      <c r="G598">
        <f t="shared" si="44"/>
        <v>30</v>
      </c>
      <c r="H598">
        <f t="shared" si="44"/>
        <v>30</v>
      </c>
      <c r="I598">
        <f t="shared" si="44"/>
        <v>30</v>
      </c>
      <c r="J598" s="12" t="s">
        <v>1000</v>
      </c>
      <c r="K598" s="14" t="s">
        <v>1060</v>
      </c>
      <c r="L598" s="29"/>
      <c r="M598" s="14">
        <f>INDEX('Pivot Analysis'!A:B,MATCH(J598,'Pivot Analysis'!B:B,0),1)</f>
        <v>30</v>
      </c>
      <c r="N598" s="14" t="e">
        <f>INDEX(Cloc!E:F,MATCH(J598,Cloc!F:F,0),1)</f>
        <v>#N/A</v>
      </c>
      <c r="O598" s="14">
        <f t="shared" si="45"/>
        <v>30</v>
      </c>
      <c r="P598" s="14">
        <f>O598/Q598</f>
        <v>30</v>
      </c>
      <c r="Q598">
        <f>MAX(1,SUMPRODUCT($R$1:$AD$1,R598:AD598))</f>
        <v>1</v>
      </c>
    </row>
    <row r="599" spans="1:26" x14ac:dyDescent="0.25">
      <c r="A599" s="25" t="str">
        <f t="shared" si="46"/>
        <v>test_discuss_full;base.group_user;33;33;33;33;33;33;33;33</v>
      </c>
      <c r="B599">
        <f t="shared" si="43"/>
        <v>33</v>
      </c>
      <c r="C599">
        <f t="shared" si="44"/>
        <v>33</v>
      </c>
      <c r="D599">
        <f t="shared" si="44"/>
        <v>33</v>
      </c>
      <c r="E599">
        <f t="shared" si="44"/>
        <v>33</v>
      </c>
      <c r="F599">
        <f t="shared" si="44"/>
        <v>33</v>
      </c>
      <c r="G599">
        <f t="shared" si="44"/>
        <v>33</v>
      </c>
      <c r="H599">
        <f t="shared" si="44"/>
        <v>33</v>
      </c>
      <c r="I599">
        <f t="shared" si="44"/>
        <v>33</v>
      </c>
      <c r="J599" s="12" t="s">
        <v>649</v>
      </c>
      <c r="K599" s="14" t="s">
        <v>1060</v>
      </c>
      <c r="L599" s="29"/>
      <c r="M599" s="14">
        <f>INDEX('Pivot Analysis'!A:B,MATCH(J599,'Pivot Analysis'!B:B,0),1)</f>
        <v>33</v>
      </c>
      <c r="N599" s="14" t="e">
        <f>INDEX(Cloc!E:F,MATCH(J599,Cloc!F:F,0),1)</f>
        <v>#N/A</v>
      </c>
      <c r="O599" s="14">
        <f t="shared" si="45"/>
        <v>33</v>
      </c>
      <c r="P599" s="14">
        <f>O599/Q599</f>
        <v>33</v>
      </c>
      <c r="Q599">
        <f>MAX(1,SUMPRODUCT($R$1:$AD$1,R599:AD599))</f>
        <v>1</v>
      </c>
    </row>
    <row r="600" spans="1:26" x14ac:dyDescent="0.25">
      <c r="A600" s="25" t="str">
        <f t="shared" si="46"/>
        <v>test_event_full;base.group_user;33;33;33;33;33;33;33;33</v>
      </c>
      <c r="B600">
        <f t="shared" si="43"/>
        <v>33</v>
      </c>
      <c r="C600">
        <f t="shared" si="44"/>
        <v>33</v>
      </c>
      <c r="D600">
        <f t="shared" si="44"/>
        <v>33</v>
      </c>
      <c r="E600">
        <f t="shared" si="44"/>
        <v>33</v>
      </c>
      <c r="F600">
        <f t="shared" si="44"/>
        <v>33</v>
      </c>
      <c r="G600">
        <f t="shared" si="44"/>
        <v>33</v>
      </c>
      <c r="H600">
        <f t="shared" si="44"/>
        <v>33</v>
      </c>
      <c r="I600">
        <f t="shared" si="44"/>
        <v>33</v>
      </c>
      <c r="J600" s="12" t="s">
        <v>650</v>
      </c>
      <c r="K600" s="14" t="s">
        <v>1060</v>
      </c>
      <c r="L600" s="29"/>
      <c r="M600" s="14">
        <f>INDEX('Pivot Analysis'!A:B,MATCH(J600,'Pivot Analysis'!B:B,0),1)</f>
        <v>33</v>
      </c>
      <c r="N600" s="14" t="e">
        <f>INDEX(Cloc!E:F,MATCH(J600,Cloc!F:F,0),1)</f>
        <v>#N/A</v>
      </c>
      <c r="O600" s="14">
        <f t="shared" si="45"/>
        <v>33</v>
      </c>
      <c r="P600" s="14">
        <f>O600/Q600</f>
        <v>33</v>
      </c>
      <c r="Q600">
        <f>MAX(1,SUMPRODUCT($R$1:$AD$1,R600:AD600))</f>
        <v>1</v>
      </c>
    </row>
    <row r="601" spans="1:26" x14ac:dyDescent="0.25">
      <c r="A601" s="25" t="str">
        <f t="shared" si="46"/>
        <v>test_exceptions;base.group_user;30;30;30;30;30;30;30;30</v>
      </c>
      <c r="B601">
        <f t="shared" si="43"/>
        <v>30</v>
      </c>
      <c r="C601">
        <f t="shared" si="44"/>
        <v>30</v>
      </c>
      <c r="D601">
        <f t="shared" si="44"/>
        <v>30</v>
      </c>
      <c r="E601">
        <f t="shared" si="44"/>
        <v>30</v>
      </c>
      <c r="F601">
        <f t="shared" si="44"/>
        <v>30</v>
      </c>
      <c r="G601">
        <f t="shared" si="44"/>
        <v>30</v>
      </c>
      <c r="H601">
        <f t="shared" si="44"/>
        <v>30</v>
      </c>
      <c r="I601">
        <f t="shared" si="44"/>
        <v>30</v>
      </c>
      <c r="J601" s="12" t="s">
        <v>1001</v>
      </c>
      <c r="K601" s="14" t="s">
        <v>1060</v>
      </c>
      <c r="L601" s="29"/>
      <c r="M601" s="14">
        <f>INDEX('Pivot Analysis'!A:B,MATCH(J601,'Pivot Analysis'!B:B,0),1)</f>
        <v>30</v>
      </c>
      <c r="N601" s="14" t="e">
        <f>INDEX(Cloc!E:F,MATCH(J601,Cloc!F:F,0),1)</f>
        <v>#N/A</v>
      </c>
      <c r="O601" s="14">
        <f t="shared" si="45"/>
        <v>30</v>
      </c>
      <c r="P601" s="14">
        <f>O601/Q601</f>
        <v>30</v>
      </c>
      <c r="Q601">
        <f>MAX(1,SUMPRODUCT($R$1:$AD$1,R601:AD601))</f>
        <v>1</v>
      </c>
    </row>
    <row r="602" spans="1:26" x14ac:dyDescent="0.25">
      <c r="A602" s="25" t="str">
        <f t="shared" si="46"/>
        <v>test_hr_contract_calendar;base.group_user;1000;1000;1000;1000;1000;1000;1000;1000</v>
      </c>
      <c r="B602">
        <f t="shared" si="43"/>
        <v>1000</v>
      </c>
      <c r="C602">
        <f t="shared" si="44"/>
        <v>1000</v>
      </c>
      <c r="D602">
        <f t="shared" si="44"/>
        <v>1000</v>
      </c>
      <c r="E602">
        <f t="shared" si="44"/>
        <v>1000</v>
      </c>
      <c r="F602">
        <f t="shared" si="44"/>
        <v>1000</v>
      </c>
      <c r="G602">
        <f t="shared" si="44"/>
        <v>1000</v>
      </c>
      <c r="H602">
        <f t="shared" si="44"/>
        <v>1000</v>
      </c>
      <c r="I602">
        <f t="shared" si="44"/>
        <v>1000</v>
      </c>
      <c r="J602" s="14" t="s">
        <v>1108</v>
      </c>
      <c r="K602" s="14" t="s">
        <v>1060</v>
      </c>
      <c r="L602" s="29"/>
      <c r="M602" s="14" t="e">
        <f>INDEX('Pivot Analysis'!A:B,MATCH(J602,'Pivot Analysis'!B:B,0),1)</f>
        <v>#N/A</v>
      </c>
      <c r="N602" s="14" t="e">
        <f>INDEX(Cloc!E:F,MATCH(J602,Cloc!F:F,0),1)</f>
        <v>#N/A</v>
      </c>
      <c r="O602" s="14">
        <f t="shared" si="45"/>
        <v>1000</v>
      </c>
      <c r="P602" s="14">
        <f>O602/Q602</f>
        <v>1000</v>
      </c>
      <c r="Q602">
        <f>MAX(1,SUMPRODUCT($R$1:$AD$1,R602:AD602))</f>
        <v>1</v>
      </c>
      <c r="Z602">
        <v>1</v>
      </c>
    </row>
    <row r="603" spans="1:26" x14ac:dyDescent="0.25">
      <c r="A603" s="25" t="str">
        <f t="shared" si="46"/>
        <v>test_html_field_history;base.group_user;30;30;30;30;30;30;30;30</v>
      </c>
      <c r="B603">
        <f t="shared" si="43"/>
        <v>30</v>
      </c>
      <c r="C603">
        <f t="shared" si="44"/>
        <v>30</v>
      </c>
      <c r="D603">
        <f t="shared" si="44"/>
        <v>30</v>
      </c>
      <c r="E603">
        <f t="shared" si="44"/>
        <v>30</v>
      </c>
      <c r="F603">
        <f t="shared" si="44"/>
        <v>30</v>
      </c>
      <c r="G603">
        <f t="shared" si="44"/>
        <v>30</v>
      </c>
      <c r="H603">
        <f t="shared" si="44"/>
        <v>30</v>
      </c>
      <c r="I603">
        <f t="shared" si="44"/>
        <v>30</v>
      </c>
      <c r="J603" s="12" t="s">
        <v>1002</v>
      </c>
      <c r="K603" s="14" t="s">
        <v>1060</v>
      </c>
      <c r="L603" s="29"/>
      <c r="M603" s="14">
        <f>INDEX('Pivot Analysis'!A:B,MATCH(J603,'Pivot Analysis'!B:B,0),1)</f>
        <v>30</v>
      </c>
      <c r="N603" s="14" t="e">
        <f>INDEX(Cloc!E:F,MATCH(J603,Cloc!F:F,0),1)</f>
        <v>#N/A</v>
      </c>
      <c r="O603" s="14">
        <f t="shared" si="45"/>
        <v>30</v>
      </c>
      <c r="P603" s="14">
        <f>O603/Q603</f>
        <v>30</v>
      </c>
      <c r="Q603">
        <f>MAX(1,SUMPRODUCT($R$1:$AD$1,R603:AD603))</f>
        <v>1</v>
      </c>
    </row>
    <row r="604" spans="1:26" x14ac:dyDescent="0.25">
      <c r="A604" s="25" t="str">
        <f t="shared" si="46"/>
        <v>test_http;base.group_user;30;30;30;30;30;30;30;30</v>
      </c>
      <c r="B604">
        <f t="shared" si="43"/>
        <v>30</v>
      </c>
      <c r="C604">
        <f t="shared" si="44"/>
        <v>30</v>
      </c>
      <c r="D604">
        <f t="shared" si="44"/>
        <v>30</v>
      </c>
      <c r="E604">
        <f t="shared" si="44"/>
        <v>30</v>
      </c>
      <c r="F604">
        <f t="shared" si="44"/>
        <v>30</v>
      </c>
      <c r="G604">
        <f t="shared" si="44"/>
        <v>30</v>
      </c>
      <c r="H604">
        <f t="shared" si="44"/>
        <v>30</v>
      </c>
      <c r="I604">
        <f t="shared" si="44"/>
        <v>30</v>
      </c>
      <c r="J604" s="12" t="s">
        <v>1003</v>
      </c>
      <c r="K604" s="14" t="s">
        <v>1060</v>
      </c>
      <c r="L604" s="29"/>
      <c r="M604" s="14">
        <f>INDEX('Pivot Analysis'!A:B,MATCH(J604,'Pivot Analysis'!B:B,0),1)</f>
        <v>30</v>
      </c>
      <c r="N604" s="14" t="e">
        <f>INDEX(Cloc!E:F,MATCH(J604,Cloc!F:F,0),1)</f>
        <v>#N/A</v>
      </c>
      <c r="O604" s="14">
        <f t="shared" si="45"/>
        <v>30</v>
      </c>
      <c r="P604" s="14">
        <f>O604/Q604</f>
        <v>30</v>
      </c>
      <c r="Q604">
        <f>MAX(1,SUMPRODUCT($R$1:$AD$1,R604:AD604))</f>
        <v>1</v>
      </c>
    </row>
    <row r="605" spans="1:26" x14ac:dyDescent="0.25">
      <c r="A605" s="25" t="str">
        <f t="shared" si="46"/>
        <v>test_impex;base.group_user;180;180;180;180;180;180;180;180</v>
      </c>
      <c r="B605">
        <f t="shared" si="43"/>
        <v>180</v>
      </c>
      <c r="C605">
        <f t="shared" si="44"/>
        <v>180</v>
      </c>
      <c r="D605">
        <f t="shared" si="44"/>
        <v>180</v>
      </c>
      <c r="E605">
        <f t="shared" si="44"/>
        <v>180</v>
      </c>
      <c r="F605">
        <f t="shared" si="44"/>
        <v>180</v>
      </c>
      <c r="G605">
        <f t="shared" si="44"/>
        <v>180</v>
      </c>
      <c r="H605">
        <f t="shared" si="44"/>
        <v>180</v>
      </c>
      <c r="I605">
        <f t="shared" si="44"/>
        <v>180</v>
      </c>
      <c r="J605" s="12" t="s">
        <v>1004</v>
      </c>
      <c r="K605" s="14" t="s">
        <v>1060</v>
      </c>
      <c r="L605" s="29"/>
      <c r="M605" s="14">
        <f>INDEX('Pivot Analysis'!A:B,MATCH(J605,'Pivot Analysis'!B:B,0),1)</f>
        <v>180</v>
      </c>
      <c r="N605" s="14" t="e">
        <f>INDEX(Cloc!E:F,MATCH(J605,Cloc!F:F,0),1)</f>
        <v>#N/A</v>
      </c>
      <c r="O605" s="14">
        <f t="shared" si="45"/>
        <v>180</v>
      </c>
      <c r="P605" s="14">
        <f>O605/Q605</f>
        <v>180</v>
      </c>
      <c r="Q605">
        <f>MAX(1,SUMPRODUCT($R$1:$AD$1,R605:AD605))</f>
        <v>1</v>
      </c>
    </row>
    <row r="606" spans="1:26" x14ac:dyDescent="0.25">
      <c r="A606" s="25" t="str">
        <f t="shared" si="46"/>
        <v>test_import_export;base.group_user;1000;1000;1000;1000;1000;1000;1000;1000</v>
      </c>
      <c r="B606">
        <f t="shared" si="43"/>
        <v>1000</v>
      </c>
      <c r="C606">
        <f t="shared" si="44"/>
        <v>1000</v>
      </c>
      <c r="D606">
        <f t="shared" si="44"/>
        <v>1000</v>
      </c>
      <c r="E606">
        <f t="shared" si="44"/>
        <v>1000</v>
      </c>
      <c r="F606">
        <f t="shared" si="44"/>
        <v>1000</v>
      </c>
      <c r="G606">
        <f t="shared" si="44"/>
        <v>1000</v>
      </c>
      <c r="H606">
        <f t="shared" si="44"/>
        <v>1000</v>
      </c>
      <c r="I606">
        <f t="shared" si="44"/>
        <v>1000</v>
      </c>
      <c r="J606" s="14" t="s">
        <v>1112</v>
      </c>
      <c r="K606" s="14" t="s">
        <v>1060</v>
      </c>
      <c r="L606" s="29"/>
      <c r="M606" s="14" t="e">
        <f>INDEX('Pivot Analysis'!A:B,MATCH(J606,'Pivot Analysis'!B:B,0),1)</f>
        <v>#N/A</v>
      </c>
      <c r="N606" s="14" t="e">
        <f>INDEX(Cloc!E:F,MATCH(J606,Cloc!F:F,0),1)</f>
        <v>#N/A</v>
      </c>
      <c r="O606" s="14">
        <f t="shared" si="45"/>
        <v>1000</v>
      </c>
      <c r="P606" s="14">
        <f>O606/Q606</f>
        <v>1000</v>
      </c>
      <c r="Q606">
        <f>MAX(1,SUMPRODUCT($R$1:$AD$1,R606:AD606))</f>
        <v>1</v>
      </c>
      <c r="Z606">
        <v>1</v>
      </c>
    </row>
    <row r="607" spans="1:26" x14ac:dyDescent="0.25">
      <c r="A607" s="25" t="str">
        <f t="shared" si="46"/>
        <v>test_inherit;base.group_user;30;30;30;30;30;30;30;30</v>
      </c>
      <c r="B607">
        <f t="shared" si="43"/>
        <v>30</v>
      </c>
      <c r="C607">
        <f t="shared" si="44"/>
        <v>30</v>
      </c>
      <c r="D607">
        <f t="shared" si="44"/>
        <v>30</v>
      </c>
      <c r="E607">
        <f t="shared" si="44"/>
        <v>30</v>
      </c>
      <c r="F607">
        <f t="shared" si="44"/>
        <v>30</v>
      </c>
      <c r="G607">
        <f t="shared" si="44"/>
        <v>30</v>
      </c>
      <c r="H607">
        <f t="shared" si="44"/>
        <v>30</v>
      </c>
      <c r="I607">
        <f t="shared" si="44"/>
        <v>30</v>
      </c>
      <c r="J607" s="12" t="s">
        <v>1005</v>
      </c>
      <c r="K607" s="14" t="s">
        <v>1060</v>
      </c>
      <c r="L607" s="29"/>
      <c r="M607" s="14">
        <f>INDEX('Pivot Analysis'!A:B,MATCH(J607,'Pivot Analysis'!B:B,0),1)</f>
        <v>30</v>
      </c>
      <c r="N607" s="14" t="e">
        <f>INDEX(Cloc!E:F,MATCH(J607,Cloc!F:F,0),1)</f>
        <v>#N/A</v>
      </c>
      <c r="O607" s="14">
        <f t="shared" si="45"/>
        <v>30</v>
      </c>
      <c r="P607" s="14">
        <f>O607/Q607</f>
        <v>30</v>
      </c>
      <c r="Q607">
        <f>MAX(1,SUMPRODUCT($R$1:$AD$1,R607:AD607))</f>
        <v>1</v>
      </c>
    </row>
    <row r="608" spans="1:26" x14ac:dyDescent="0.25">
      <c r="A608" s="25" t="str">
        <f t="shared" si="46"/>
        <v>test_inherit_depends;base.group_user;30;30;30;30;30;30;30;30</v>
      </c>
      <c r="B608">
        <f t="shared" si="43"/>
        <v>30</v>
      </c>
      <c r="C608">
        <f t="shared" si="44"/>
        <v>30</v>
      </c>
      <c r="D608">
        <f t="shared" si="44"/>
        <v>30</v>
      </c>
      <c r="E608">
        <f t="shared" si="44"/>
        <v>30</v>
      </c>
      <c r="F608">
        <f t="shared" si="44"/>
        <v>30</v>
      </c>
      <c r="G608">
        <f t="shared" si="44"/>
        <v>30</v>
      </c>
      <c r="H608">
        <f t="shared" si="44"/>
        <v>30</v>
      </c>
      <c r="I608">
        <f t="shared" si="44"/>
        <v>30</v>
      </c>
      <c r="J608" s="12" t="s">
        <v>1006</v>
      </c>
      <c r="K608" s="14" t="s">
        <v>1060</v>
      </c>
      <c r="L608" s="29"/>
      <c r="M608" s="14">
        <f>INDEX('Pivot Analysis'!A:B,MATCH(J608,'Pivot Analysis'!B:B,0),1)</f>
        <v>30</v>
      </c>
      <c r="N608" s="14" t="e">
        <f>INDEX(Cloc!E:F,MATCH(J608,Cloc!F:F,0),1)</f>
        <v>#N/A</v>
      </c>
      <c r="O608" s="14">
        <f t="shared" si="45"/>
        <v>30</v>
      </c>
      <c r="P608" s="14">
        <f>O608/Q608</f>
        <v>30</v>
      </c>
      <c r="Q608">
        <f>MAX(1,SUMPRODUCT($R$1:$AD$1,R608:AD608))</f>
        <v>1</v>
      </c>
    </row>
    <row r="609" spans="1:17" x14ac:dyDescent="0.25">
      <c r="A609" s="25" t="str">
        <f t="shared" si="46"/>
        <v>test_inherits;base.group_user;30;30;30;30;30;30;30;30</v>
      </c>
      <c r="B609">
        <f t="shared" si="43"/>
        <v>30</v>
      </c>
      <c r="C609">
        <f t="shared" si="44"/>
        <v>30</v>
      </c>
      <c r="D609">
        <f t="shared" si="44"/>
        <v>30</v>
      </c>
      <c r="E609">
        <f t="shared" si="44"/>
        <v>30</v>
      </c>
      <c r="F609">
        <f t="shared" si="44"/>
        <v>30</v>
      </c>
      <c r="G609">
        <f t="shared" si="44"/>
        <v>30</v>
      </c>
      <c r="H609">
        <f t="shared" si="44"/>
        <v>30</v>
      </c>
      <c r="I609">
        <f t="shared" si="44"/>
        <v>30</v>
      </c>
      <c r="J609" s="12" t="s">
        <v>1007</v>
      </c>
      <c r="K609" s="14" t="s">
        <v>1060</v>
      </c>
      <c r="L609" s="29"/>
      <c r="M609" s="14">
        <f>INDEX('Pivot Analysis'!A:B,MATCH(J609,'Pivot Analysis'!B:B,0),1)</f>
        <v>30</v>
      </c>
      <c r="N609" s="14" t="e">
        <f>INDEX(Cloc!E:F,MATCH(J609,Cloc!F:F,0),1)</f>
        <v>#N/A</v>
      </c>
      <c r="O609" s="14">
        <f t="shared" si="45"/>
        <v>30</v>
      </c>
      <c r="P609" s="14">
        <f>O609/Q609</f>
        <v>30</v>
      </c>
      <c r="Q609">
        <f>MAX(1,SUMPRODUCT($R$1:$AD$1,R609:AD609))</f>
        <v>1</v>
      </c>
    </row>
    <row r="610" spans="1:17" x14ac:dyDescent="0.25">
      <c r="A610" s="25" t="str">
        <f t="shared" si="46"/>
        <v>test_inherits_depends;base.group_user;30;30;30;30;30;30;30;30</v>
      </c>
      <c r="B610">
        <f t="shared" si="43"/>
        <v>30</v>
      </c>
      <c r="C610">
        <f t="shared" si="44"/>
        <v>30</v>
      </c>
      <c r="D610">
        <f t="shared" ref="C610:I673" si="47">$P610*MIN($Q610,D$3)</f>
        <v>30</v>
      </c>
      <c r="E610">
        <f t="shared" si="47"/>
        <v>30</v>
      </c>
      <c r="F610">
        <f t="shared" si="47"/>
        <v>30</v>
      </c>
      <c r="G610">
        <f t="shared" si="47"/>
        <v>30</v>
      </c>
      <c r="H610">
        <f t="shared" si="47"/>
        <v>30</v>
      </c>
      <c r="I610">
        <f t="shared" si="47"/>
        <v>30</v>
      </c>
      <c r="J610" s="12" t="s">
        <v>1008</v>
      </c>
      <c r="K610" s="14" t="s">
        <v>1060</v>
      </c>
      <c r="L610" s="29"/>
      <c r="M610" s="14">
        <f>INDEX('Pivot Analysis'!A:B,MATCH(J610,'Pivot Analysis'!B:B,0),1)</f>
        <v>30</v>
      </c>
      <c r="N610" s="14" t="e">
        <f>INDEX(Cloc!E:F,MATCH(J610,Cloc!F:F,0),1)</f>
        <v>#N/A</v>
      </c>
      <c r="O610" s="14">
        <f t="shared" si="45"/>
        <v>30</v>
      </c>
      <c r="P610" s="14">
        <f>O610/Q610</f>
        <v>30</v>
      </c>
      <c r="Q610">
        <f>MAX(1,SUMPRODUCT($R$1:$AD$1,R610:AD610))</f>
        <v>1</v>
      </c>
    </row>
    <row r="611" spans="1:17" x14ac:dyDescent="0.25">
      <c r="A611" s="25" t="str">
        <f t="shared" si="46"/>
        <v>test_limits;base.group_user;30;30;30;30;30;30;30;30</v>
      </c>
      <c r="B611">
        <f t="shared" si="43"/>
        <v>30</v>
      </c>
      <c r="C611">
        <f t="shared" si="47"/>
        <v>30</v>
      </c>
      <c r="D611">
        <f t="shared" si="47"/>
        <v>30</v>
      </c>
      <c r="E611">
        <f t="shared" si="47"/>
        <v>30</v>
      </c>
      <c r="F611">
        <f t="shared" si="47"/>
        <v>30</v>
      </c>
      <c r="G611">
        <f t="shared" si="47"/>
        <v>30</v>
      </c>
      <c r="H611">
        <f t="shared" si="47"/>
        <v>30</v>
      </c>
      <c r="I611">
        <f t="shared" si="47"/>
        <v>30</v>
      </c>
      <c r="J611" s="12" t="s">
        <v>1009</v>
      </c>
      <c r="K611" s="14" t="s">
        <v>1060</v>
      </c>
      <c r="L611" s="29"/>
      <c r="M611" s="14">
        <f>INDEX('Pivot Analysis'!A:B,MATCH(J611,'Pivot Analysis'!B:B,0),1)</f>
        <v>30</v>
      </c>
      <c r="N611" s="14" t="e">
        <f>INDEX(Cloc!E:F,MATCH(J611,Cloc!F:F,0),1)</f>
        <v>#N/A</v>
      </c>
      <c r="O611" s="14">
        <f t="shared" si="45"/>
        <v>30</v>
      </c>
      <c r="P611" s="14">
        <f>O611/Q611</f>
        <v>30</v>
      </c>
      <c r="Q611">
        <f>MAX(1,SUMPRODUCT($R$1:$AD$1,R611:AD611))</f>
        <v>1</v>
      </c>
    </row>
    <row r="612" spans="1:17" x14ac:dyDescent="0.25">
      <c r="A612" s="25" t="str">
        <f t="shared" si="46"/>
        <v>test_lint;base.group_user;30;30;30;30;30;30;30;30</v>
      </c>
      <c r="B612">
        <f t="shared" si="43"/>
        <v>30</v>
      </c>
      <c r="C612">
        <f t="shared" si="47"/>
        <v>30</v>
      </c>
      <c r="D612">
        <f t="shared" si="47"/>
        <v>30</v>
      </c>
      <c r="E612">
        <f t="shared" si="47"/>
        <v>30</v>
      </c>
      <c r="F612">
        <f t="shared" si="47"/>
        <v>30</v>
      </c>
      <c r="G612">
        <f t="shared" si="47"/>
        <v>30</v>
      </c>
      <c r="H612">
        <f t="shared" si="47"/>
        <v>30</v>
      </c>
      <c r="I612">
        <f t="shared" si="47"/>
        <v>30</v>
      </c>
      <c r="J612" s="12" t="s">
        <v>1010</v>
      </c>
      <c r="K612" s="14" t="s">
        <v>1060</v>
      </c>
      <c r="L612" s="29"/>
      <c r="M612" s="14">
        <f>INDEX('Pivot Analysis'!A:B,MATCH(J612,'Pivot Analysis'!B:B,0),1)</f>
        <v>30</v>
      </c>
      <c r="N612" s="14" t="e">
        <f>INDEX(Cloc!E:F,MATCH(J612,Cloc!F:F,0),1)</f>
        <v>#N/A</v>
      </c>
      <c r="O612" s="14">
        <f t="shared" si="45"/>
        <v>30</v>
      </c>
      <c r="P612" s="14">
        <f>O612/Q612</f>
        <v>30</v>
      </c>
      <c r="Q612">
        <f>MAX(1,SUMPRODUCT($R$1:$AD$1,R612:AD612))</f>
        <v>1</v>
      </c>
    </row>
    <row r="613" spans="1:17" x14ac:dyDescent="0.25">
      <c r="A613" s="25" t="str">
        <f t="shared" si="46"/>
        <v>test_mail;base.group_user;33;33;33;33;33;33;33;33</v>
      </c>
      <c r="B613">
        <f t="shared" si="43"/>
        <v>33</v>
      </c>
      <c r="C613">
        <f t="shared" si="47"/>
        <v>33</v>
      </c>
      <c r="D613">
        <f t="shared" si="47"/>
        <v>33</v>
      </c>
      <c r="E613">
        <f t="shared" si="47"/>
        <v>33</v>
      </c>
      <c r="F613">
        <f t="shared" si="47"/>
        <v>33</v>
      </c>
      <c r="G613">
        <f t="shared" si="47"/>
        <v>33</v>
      </c>
      <c r="H613">
        <f t="shared" si="47"/>
        <v>33</v>
      </c>
      <c r="I613">
        <f t="shared" si="47"/>
        <v>33</v>
      </c>
      <c r="J613" s="12" t="s">
        <v>651</v>
      </c>
      <c r="K613" s="14" t="s">
        <v>1060</v>
      </c>
      <c r="L613" s="29"/>
      <c r="M613" s="14">
        <f>INDEX('Pivot Analysis'!A:B,MATCH(J613,'Pivot Analysis'!B:B,0),1)</f>
        <v>33</v>
      </c>
      <c r="N613" s="14" t="e">
        <f>INDEX(Cloc!E:F,MATCH(J613,Cloc!F:F,0),1)</f>
        <v>#N/A</v>
      </c>
      <c r="O613" s="14">
        <f t="shared" si="45"/>
        <v>33</v>
      </c>
      <c r="P613" s="14">
        <f>O613/Q613</f>
        <v>33</v>
      </c>
      <c r="Q613">
        <f>MAX(1,SUMPRODUCT($R$1:$AD$1,R613:AD613))</f>
        <v>1</v>
      </c>
    </row>
    <row r="614" spans="1:17" x14ac:dyDescent="0.25">
      <c r="A614" s="25" t="str">
        <f t="shared" si="46"/>
        <v>test_mail_full;base.group_user;33;33;33;33;33;33;33;33</v>
      </c>
      <c r="B614">
        <f t="shared" si="43"/>
        <v>33</v>
      </c>
      <c r="C614">
        <f t="shared" si="47"/>
        <v>33</v>
      </c>
      <c r="D614">
        <f t="shared" si="47"/>
        <v>33</v>
      </c>
      <c r="E614">
        <f t="shared" si="47"/>
        <v>33</v>
      </c>
      <c r="F614">
        <f t="shared" si="47"/>
        <v>33</v>
      </c>
      <c r="G614">
        <f t="shared" si="47"/>
        <v>33</v>
      </c>
      <c r="H614">
        <f t="shared" si="47"/>
        <v>33</v>
      </c>
      <c r="I614">
        <f t="shared" si="47"/>
        <v>33</v>
      </c>
      <c r="J614" s="12" t="s">
        <v>652</v>
      </c>
      <c r="K614" s="14" t="s">
        <v>1060</v>
      </c>
      <c r="L614" s="29"/>
      <c r="M614" s="14">
        <f>INDEX('Pivot Analysis'!A:B,MATCH(J614,'Pivot Analysis'!B:B,0),1)</f>
        <v>33</v>
      </c>
      <c r="N614" s="14" t="e">
        <f>INDEX(Cloc!E:F,MATCH(J614,Cloc!F:F,0),1)</f>
        <v>#N/A</v>
      </c>
      <c r="O614" s="14">
        <f t="shared" si="45"/>
        <v>33</v>
      </c>
      <c r="P614" s="14">
        <f>O614/Q614</f>
        <v>33</v>
      </c>
      <c r="Q614">
        <f>MAX(1,SUMPRODUCT($R$1:$AD$1,R614:AD614))</f>
        <v>1</v>
      </c>
    </row>
    <row r="615" spans="1:17" x14ac:dyDescent="0.25">
      <c r="A615" s="25" t="str">
        <f t="shared" si="46"/>
        <v>test_mail_sms;base.group_user;33;33;33;33;33;33;33;33</v>
      </c>
      <c r="B615">
        <f t="shared" si="43"/>
        <v>33</v>
      </c>
      <c r="C615">
        <f t="shared" si="47"/>
        <v>33</v>
      </c>
      <c r="D615">
        <f t="shared" si="47"/>
        <v>33</v>
      </c>
      <c r="E615">
        <f t="shared" si="47"/>
        <v>33</v>
      </c>
      <c r="F615">
        <f t="shared" si="47"/>
        <v>33</v>
      </c>
      <c r="G615">
        <f t="shared" si="47"/>
        <v>33</v>
      </c>
      <c r="H615">
        <f t="shared" si="47"/>
        <v>33</v>
      </c>
      <c r="I615">
        <f t="shared" si="47"/>
        <v>33</v>
      </c>
      <c r="J615" s="12" t="s">
        <v>653</v>
      </c>
      <c r="K615" s="14" t="s">
        <v>1060</v>
      </c>
      <c r="L615" s="29"/>
      <c r="M615" s="14">
        <f>INDEX('Pivot Analysis'!A:B,MATCH(J615,'Pivot Analysis'!B:B,0),1)</f>
        <v>33</v>
      </c>
      <c r="N615" s="14" t="e">
        <f>INDEX(Cloc!E:F,MATCH(J615,Cloc!F:F,0),1)</f>
        <v>#N/A</v>
      </c>
      <c r="O615" s="14">
        <f t="shared" si="45"/>
        <v>33</v>
      </c>
      <c r="P615" s="14">
        <f>O615/Q615</f>
        <v>33</v>
      </c>
      <c r="Q615">
        <f>MAX(1,SUMPRODUCT($R$1:$AD$1,R615:AD615))</f>
        <v>1</v>
      </c>
    </row>
    <row r="616" spans="1:17" x14ac:dyDescent="0.25">
      <c r="A616" s="25" t="str">
        <f t="shared" si="46"/>
        <v>test_main_flows;base.group_user;30;30;30;30;30;30;30;30</v>
      </c>
      <c r="B616">
        <f t="shared" si="43"/>
        <v>30</v>
      </c>
      <c r="C616">
        <f t="shared" si="47"/>
        <v>30</v>
      </c>
      <c r="D616">
        <f t="shared" si="47"/>
        <v>30</v>
      </c>
      <c r="E616">
        <f t="shared" si="47"/>
        <v>30</v>
      </c>
      <c r="F616">
        <f t="shared" si="47"/>
        <v>30</v>
      </c>
      <c r="G616">
        <f t="shared" si="47"/>
        <v>30</v>
      </c>
      <c r="H616">
        <f t="shared" si="47"/>
        <v>30</v>
      </c>
      <c r="I616">
        <f t="shared" si="47"/>
        <v>30</v>
      </c>
      <c r="J616" s="12" t="s">
        <v>1011</v>
      </c>
      <c r="K616" s="14" t="s">
        <v>1060</v>
      </c>
      <c r="L616" s="29"/>
      <c r="M616" s="14">
        <f>INDEX('Pivot Analysis'!A:B,MATCH(J616,'Pivot Analysis'!B:B,0),1)</f>
        <v>30</v>
      </c>
      <c r="N616" s="14" t="e">
        <f>INDEX(Cloc!E:F,MATCH(J616,Cloc!F:F,0),1)</f>
        <v>#N/A</v>
      </c>
      <c r="O616" s="14">
        <f t="shared" si="45"/>
        <v>30</v>
      </c>
      <c r="P616" s="14">
        <f>O616/Q616</f>
        <v>30</v>
      </c>
      <c r="Q616">
        <f>MAX(1,SUMPRODUCT($R$1:$AD$1,R616:AD616))</f>
        <v>1</v>
      </c>
    </row>
    <row r="617" spans="1:17" x14ac:dyDescent="0.25">
      <c r="A617" s="25" t="str">
        <f t="shared" si="46"/>
        <v>test_mass_mailing;base.group_user;33;33;33;33;33;33;33;33</v>
      </c>
      <c r="B617">
        <f t="shared" si="43"/>
        <v>33</v>
      </c>
      <c r="C617">
        <f t="shared" si="47"/>
        <v>33</v>
      </c>
      <c r="D617">
        <f t="shared" si="47"/>
        <v>33</v>
      </c>
      <c r="E617">
        <f t="shared" si="47"/>
        <v>33</v>
      </c>
      <c r="F617">
        <f t="shared" si="47"/>
        <v>33</v>
      </c>
      <c r="G617">
        <f t="shared" si="47"/>
        <v>33</v>
      </c>
      <c r="H617">
        <f t="shared" si="47"/>
        <v>33</v>
      </c>
      <c r="I617">
        <f t="shared" si="47"/>
        <v>33</v>
      </c>
      <c r="J617" s="12" t="s">
        <v>654</v>
      </c>
      <c r="K617" s="14" t="s">
        <v>1060</v>
      </c>
      <c r="L617" s="29"/>
      <c r="M617" s="14">
        <f>INDEX('Pivot Analysis'!A:B,MATCH(J617,'Pivot Analysis'!B:B,0),1)</f>
        <v>33</v>
      </c>
      <c r="N617" s="14" t="e">
        <f>INDEX(Cloc!E:F,MATCH(J617,Cloc!F:F,0),1)</f>
        <v>#N/A</v>
      </c>
      <c r="O617" s="14">
        <f t="shared" si="45"/>
        <v>33</v>
      </c>
      <c r="P617" s="14">
        <f>O617/Q617</f>
        <v>33</v>
      </c>
      <c r="Q617">
        <f>MAX(1,SUMPRODUCT($R$1:$AD$1,R617:AD617))</f>
        <v>1</v>
      </c>
    </row>
    <row r="618" spans="1:17" x14ac:dyDescent="0.25">
      <c r="A618" s="25" t="str">
        <f t="shared" si="46"/>
        <v>test_mimetypes;base.group_user;30;30;30;30;30;30;30;30</v>
      </c>
      <c r="B618">
        <f t="shared" si="43"/>
        <v>30</v>
      </c>
      <c r="C618">
        <f t="shared" si="47"/>
        <v>30</v>
      </c>
      <c r="D618">
        <f t="shared" si="47"/>
        <v>30</v>
      </c>
      <c r="E618">
        <f t="shared" si="47"/>
        <v>30</v>
      </c>
      <c r="F618">
        <f t="shared" si="47"/>
        <v>30</v>
      </c>
      <c r="G618">
        <f t="shared" si="47"/>
        <v>30</v>
      </c>
      <c r="H618">
        <f t="shared" si="47"/>
        <v>30</v>
      </c>
      <c r="I618">
        <f t="shared" si="47"/>
        <v>30</v>
      </c>
      <c r="J618" s="12" t="s">
        <v>1012</v>
      </c>
      <c r="K618" s="14" t="s">
        <v>1060</v>
      </c>
      <c r="L618" s="29"/>
      <c r="M618" s="14">
        <f>INDEX('Pivot Analysis'!A:B,MATCH(J618,'Pivot Analysis'!B:B,0),1)</f>
        <v>30</v>
      </c>
      <c r="N618" s="14" t="e">
        <f>INDEX(Cloc!E:F,MATCH(J618,Cloc!F:F,0),1)</f>
        <v>#N/A</v>
      </c>
      <c r="O618" s="14">
        <f t="shared" si="45"/>
        <v>30</v>
      </c>
      <c r="P618" s="14">
        <f>O618/Q618</f>
        <v>30</v>
      </c>
      <c r="Q618">
        <f>MAX(1,SUMPRODUCT($R$1:$AD$1,R618:AD618))</f>
        <v>1</v>
      </c>
    </row>
    <row r="619" spans="1:17" x14ac:dyDescent="0.25">
      <c r="A619" s="25" t="str">
        <f t="shared" si="46"/>
        <v>test_new_api;base.group_user;30;30;30;30;30;30;30;30</v>
      </c>
      <c r="B619">
        <f t="shared" si="43"/>
        <v>30</v>
      </c>
      <c r="C619">
        <f t="shared" si="47"/>
        <v>30</v>
      </c>
      <c r="D619">
        <f t="shared" si="47"/>
        <v>30</v>
      </c>
      <c r="E619">
        <f t="shared" si="47"/>
        <v>30</v>
      </c>
      <c r="F619">
        <f t="shared" si="47"/>
        <v>30</v>
      </c>
      <c r="G619">
        <f t="shared" si="47"/>
        <v>30</v>
      </c>
      <c r="H619">
        <f t="shared" si="47"/>
        <v>30</v>
      </c>
      <c r="I619">
        <f t="shared" si="47"/>
        <v>30</v>
      </c>
      <c r="J619" s="12" t="s">
        <v>1013</v>
      </c>
      <c r="K619" s="14" t="s">
        <v>1060</v>
      </c>
      <c r="L619" s="29"/>
      <c r="M619" s="14">
        <f>INDEX('Pivot Analysis'!A:B,MATCH(J619,'Pivot Analysis'!B:B,0),1)</f>
        <v>30</v>
      </c>
      <c r="N619" s="14" t="e">
        <f>INDEX(Cloc!E:F,MATCH(J619,Cloc!F:F,0),1)</f>
        <v>#N/A</v>
      </c>
      <c r="O619" s="14">
        <f t="shared" si="45"/>
        <v>30</v>
      </c>
      <c r="P619" s="14">
        <f>O619/Q619</f>
        <v>30</v>
      </c>
      <c r="Q619">
        <f>MAX(1,SUMPRODUCT($R$1:$AD$1,R619:AD619))</f>
        <v>1</v>
      </c>
    </row>
    <row r="620" spans="1:17" x14ac:dyDescent="0.25">
      <c r="A620" s="25" t="str">
        <f t="shared" si="46"/>
        <v>test_performance;base.group_user;30;30;30;30;30;30;30;30</v>
      </c>
      <c r="B620">
        <f t="shared" si="43"/>
        <v>30</v>
      </c>
      <c r="C620">
        <f t="shared" si="47"/>
        <v>30</v>
      </c>
      <c r="D620">
        <f t="shared" si="47"/>
        <v>30</v>
      </c>
      <c r="E620">
        <f t="shared" si="47"/>
        <v>30</v>
      </c>
      <c r="F620">
        <f t="shared" si="47"/>
        <v>30</v>
      </c>
      <c r="G620">
        <f t="shared" si="47"/>
        <v>30</v>
      </c>
      <c r="H620">
        <f t="shared" si="47"/>
        <v>30</v>
      </c>
      <c r="I620">
        <f t="shared" si="47"/>
        <v>30</v>
      </c>
      <c r="J620" s="12" t="s">
        <v>1014</v>
      </c>
      <c r="K620" s="14" t="s">
        <v>1060</v>
      </c>
      <c r="L620" s="29"/>
      <c r="M620" s="14">
        <f>INDEX('Pivot Analysis'!A:B,MATCH(J620,'Pivot Analysis'!B:B,0),1)</f>
        <v>30</v>
      </c>
      <c r="N620" s="14" t="e">
        <f>INDEX(Cloc!E:F,MATCH(J620,Cloc!F:F,0),1)</f>
        <v>#N/A</v>
      </c>
      <c r="O620" s="14">
        <f t="shared" si="45"/>
        <v>30</v>
      </c>
      <c r="P620" s="14">
        <f>O620/Q620</f>
        <v>30</v>
      </c>
      <c r="Q620">
        <f>MAX(1,SUMPRODUCT($R$1:$AD$1,R620:AD620))</f>
        <v>1</v>
      </c>
    </row>
    <row r="621" spans="1:17" x14ac:dyDescent="0.25">
      <c r="A621" s="25" t="str">
        <f t="shared" si="46"/>
        <v>test_populate;base.group_user;180;180;180;180;180;180;180;180</v>
      </c>
      <c r="B621">
        <f t="shared" si="43"/>
        <v>180</v>
      </c>
      <c r="C621">
        <f t="shared" si="47"/>
        <v>180</v>
      </c>
      <c r="D621">
        <f t="shared" si="47"/>
        <v>180</v>
      </c>
      <c r="E621">
        <f t="shared" si="47"/>
        <v>180</v>
      </c>
      <c r="F621">
        <f t="shared" si="47"/>
        <v>180</v>
      </c>
      <c r="G621">
        <f t="shared" si="47"/>
        <v>180</v>
      </c>
      <c r="H621">
        <f t="shared" si="47"/>
        <v>180</v>
      </c>
      <c r="I621">
        <f t="shared" si="47"/>
        <v>180</v>
      </c>
      <c r="J621" s="12" t="s">
        <v>1015</v>
      </c>
      <c r="K621" s="14" t="s">
        <v>1060</v>
      </c>
      <c r="L621" s="29"/>
      <c r="M621" s="14">
        <f>INDEX('Pivot Analysis'!A:B,MATCH(J621,'Pivot Analysis'!B:B,0),1)</f>
        <v>180</v>
      </c>
      <c r="N621" s="14" t="e">
        <f>INDEX(Cloc!E:F,MATCH(J621,Cloc!F:F,0),1)</f>
        <v>#N/A</v>
      </c>
      <c r="O621" s="14">
        <f t="shared" si="45"/>
        <v>180</v>
      </c>
      <c r="P621" s="14">
        <f>O621/Q621</f>
        <v>180</v>
      </c>
      <c r="Q621">
        <f>MAX(1,SUMPRODUCT($R$1:$AD$1,R621:AD621))</f>
        <v>1</v>
      </c>
    </row>
    <row r="622" spans="1:17" x14ac:dyDescent="0.25">
      <c r="A622" s="25" t="str">
        <f t="shared" si="46"/>
        <v>test_read_group;base.group_user;30;30;30;30;30;30;30;30</v>
      </c>
      <c r="B622">
        <f t="shared" si="43"/>
        <v>30</v>
      </c>
      <c r="C622">
        <f t="shared" si="47"/>
        <v>30</v>
      </c>
      <c r="D622">
        <f t="shared" si="47"/>
        <v>30</v>
      </c>
      <c r="E622">
        <f t="shared" si="47"/>
        <v>30</v>
      </c>
      <c r="F622">
        <f t="shared" si="47"/>
        <v>30</v>
      </c>
      <c r="G622">
        <f t="shared" si="47"/>
        <v>30</v>
      </c>
      <c r="H622">
        <f t="shared" si="47"/>
        <v>30</v>
      </c>
      <c r="I622">
        <f t="shared" si="47"/>
        <v>30</v>
      </c>
      <c r="J622" s="12" t="s">
        <v>1016</v>
      </c>
      <c r="K622" s="14" t="s">
        <v>1060</v>
      </c>
      <c r="L622" s="29"/>
      <c r="M622" s="14">
        <f>INDEX('Pivot Analysis'!A:B,MATCH(J622,'Pivot Analysis'!B:B,0),1)</f>
        <v>30</v>
      </c>
      <c r="N622" s="14" t="e">
        <f>INDEX(Cloc!E:F,MATCH(J622,Cloc!F:F,0),1)</f>
        <v>#N/A</v>
      </c>
      <c r="O622" s="14">
        <f t="shared" si="45"/>
        <v>30</v>
      </c>
      <c r="P622" s="14">
        <f>O622/Q622</f>
        <v>30</v>
      </c>
      <c r="Q622">
        <f>MAX(1,SUMPRODUCT($R$1:$AD$1,R622:AD622))</f>
        <v>1</v>
      </c>
    </row>
    <row r="623" spans="1:17" x14ac:dyDescent="0.25">
      <c r="A623" s="25" t="str">
        <f t="shared" si="46"/>
        <v>test_resource;base.group_user;33;33;33;33;33;33;33;33</v>
      </c>
      <c r="B623">
        <f t="shared" si="43"/>
        <v>33</v>
      </c>
      <c r="C623">
        <f t="shared" si="47"/>
        <v>33</v>
      </c>
      <c r="D623">
        <f t="shared" si="47"/>
        <v>33</v>
      </c>
      <c r="E623">
        <f t="shared" si="47"/>
        <v>33</v>
      </c>
      <c r="F623">
        <f t="shared" si="47"/>
        <v>33</v>
      </c>
      <c r="G623">
        <f t="shared" si="47"/>
        <v>33</v>
      </c>
      <c r="H623">
        <f t="shared" si="47"/>
        <v>33</v>
      </c>
      <c r="I623">
        <f t="shared" si="47"/>
        <v>33</v>
      </c>
      <c r="J623" s="12" t="s">
        <v>655</v>
      </c>
      <c r="K623" s="14" t="s">
        <v>1060</v>
      </c>
      <c r="L623" s="29"/>
      <c r="M623" s="14">
        <f>INDEX('Pivot Analysis'!A:B,MATCH(J623,'Pivot Analysis'!B:B,0),1)</f>
        <v>33</v>
      </c>
      <c r="N623" s="14" t="e">
        <f>INDEX(Cloc!E:F,MATCH(J623,Cloc!F:F,0),1)</f>
        <v>#N/A</v>
      </c>
      <c r="O623" s="14">
        <f t="shared" si="45"/>
        <v>33</v>
      </c>
      <c r="P623" s="14">
        <f>O623/Q623</f>
        <v>33</v>
      </c>
      <c r="Q623">
        <f>MAX(1,SUMPRODUCT($R$1:$AD$1,R623:AD623))</f>
        <v>1</v>
      </c>
    </row>
    <row r="624" spans="1:17" x14ac:dyDescent="0.25">
      <c r="A624" s="25" t="str">
        <f t="shared" si="46"/>
        <v>test_rpc;base.group_user;30;30;30;30;30;30;30;30</v>
      </c>
      <c r="B624">
        <f t="shared" si="43"/>
        <v>30</v>
      </c>
      <c r="C624">
        <f t="shared" si="47"/>
        <v>30</v>
      </c>
      <c r="D624">
        <f t="shared" si="47"/>
        <v>30</v>
      </c>
      <c r="E624">
        <f t="shared" si="47"/>
        <v>30</v>
      </c>
      <c r="F624">
        <f t="shared" si="47"/>
        <v>30</v>
      </c>
      <c r="G624">
        <f t="shared" si="47"/>
        <v>30</v>
      </c>
      <c r="H624">
        <f t="shared" si="47"/>
        <v>30</v>
      </c>
      <c r="I624">
        <f t="shared" si="47"/>
        <v>30</v>
      </c>
      <c r="J624" s="12" t="s">
        <v>1017</v>
      </c>
      <c r="K624" s="14" t="s">
        <v>1060</v>
      </c>
      <c r="L624" s="29"/>
      <c r="M624" s="14">
        <f>INDEX('Pivot Analysis'!A:B,MATCH(J624,'Pivot Analysis'!B:B,0),1)</f>
        <v>30</v>
      </c>
      <c r="N624" s="14" t="e">
        <f>INDEX(Cloc!E:F,MATCH(J624,Cloc!F:F,0),1)</f>
        <v>#N/A</v>
      </c>
      <c r="O624" s="14">
        <f t="shared" si="45"/>
        <v>30</v>
      </c>
      <c r="P624" s="14">
        <f>O624/Q624</f>
        <v>30</v>
      </c>
      <c r="Q624">
        <f>MAX(1,SUMPRODUCT($R$1:$AD$1,R624:AD624))</f>
        <v>1</v>
      </c>
    </row>
    <row r="625" spans="1:26" x14ac:dyDescent="0.25">
      <c r="A625" s="25" t="str">
        <f t="shared" si="46"/>
        <v>test_sale_product_configurators;base.group_user;33;33;33;33;33;33;33;33</v>
      </c>
      <c r="B625">
        <f t="shared" si="43"/>
        <v>33</v>
      </c>
      <c r="C625">
        <f t="shared" si="47"/>
        <v>33</v>
      </c>
      <c r="D625">
        <f t="shared" si="47"/>
        <v>33</v>
      </c>
      <c r="E625">
        <f t="shared" si="47"/>
        <v>33</v>
      </c>
      <c r="F625">
        <f t="shared" si="47"/>
        <v>33</v>
      </c>
      <c r="G625">
        <f t="shared" si="47"/>
        <v>33</v>
      </c>
      <c r="H625">
        <f t="shared" si="47"/>
        <v>33</v>
      </c>
      <c r="I625">
        <f t="shared" si="47"/>
        <v>33</v>
      </c>
      <c r="J625" s="12" t="s">
        <v>656</v>
      </c>
      <c r="K625" s="14" t="s">
        <v>1060</v>
      </c>
      <c r="L625" s="29"/>
      <c r="M625" s="14">
        <f>INDEX('Pivot Analysis'!A:B,MATCH(J625,'Pivot Analysis'!B:B,0),1)</f>
        <v>33</v>
      </c>
      <c r="N625" s="14" t="e">
        <f>INDEX(Cloc!E:F,MATCH(J625,Cloc!F:F,0),1)</f>
        <v>#N/A</v>
      </c>
      <c r="O625" s="14">
        <f t="shared" si="45"/>
        <v>33</v>
      </c>
      <c r="P625" s="14">
        <f>O625/Q625</f>
        <v>33</v>
      </c>
      <c r="Q625">
        <f>MAX(1,SUMPRODUCT($R$1:$AD$1,R625:AD625))</f>
        <v>1</v>
      </c>
    </row>
    <row r="626" spans="1:26" x14ac:dyDescent="0.25">
      <c r="A626" s="25" t="str">
        <f t="shared" si="46"/>
        <v>test_sale_purchase_edi_ubl;base.group_user;1000;1000;1000;1000;1000;1000;1000;1000</v>
      </c>
      <c r="B626">
        <f t="shared" si="43"/>
        <v>1000</v>
      </c>
      <c r="C626">
        <f t="shared" si="47"/>
        <v>1000</v>
      </c>
      <c r="D626">
        <f t="shared" si="47"/>
        <v>1000</v>
      </c>
      <c r="E626">
        <f t="shared" si="47"/>
        <v>1000</v>
      </c>
      <c r="F626">
        <f t="shared" si="47"/>
        <v>1000</v>
      </c>
      <c r="G626">
        <f t="shared" si="47"/>
        <v>1000</v>
      </c>
      <c r="H626">
        <f t="shared" si="47"/>
        <v>1000</v>
      </c>
      <c r="I626">
        <f t="shared" si="47"/>
        <v>1000</v>
      </c>
      <c r="J626" s="14" t="s">
        <v>1109</v>
      </c>
      <c r="K626" s="14" t="s">
        <v>1060</v>
      </c>
      <c r="L626" s="29"/>
      <c r="M626" s="14" t="e">
        <f>INDEX('Pivot Analysis'!A:B,MATCH(J626,'Pivot Analysis'!B:B,0),1)</f>
        <v>#N/A</v>
      </c>
      <c r="N626" s="14" t="e">
        <f>INDEX(Cloc!E:F,MATCH(J626,Cloc!F:F,0),1)</f>
        <v>#N/A</v>
      </c>
      <c r="O626" s="14">
        <f t="shared" si="45"/>
        <v>1000</v>
      </c>
      <c r="P626" s="14">
        <f>O626/Q626</f>
        <v>1000</v>
      </c>
      <c r="Q626">
        <f>MAX(1,SUMPRODUCT($R$1:$AD$1,R626:AD626))</f>
        <v>1</v>
      </c>
      <c r="Z626">
        <v>1</v>
      </c>
    </row>
    <row r="627" spans="1:26" x14ac:dyDescent="0.25">
      <c r="A627" s="25" t="str">
        <f t="shared" si="46"/>
        <v>test_search_panel;base.group_user;30;30;30;30;30;30;30;30</v>
      </c>
      <c r="B627">
        <f t="shared" si="43"/>
        <v>30</v>
      </c>
      <c r="C627">
        <f t="shared" si="47"/>
        <v>30</v>
      </c>
      <c r="D627">
        <f t="shared" si="47"/>
        <v>30</v>
      </c>
      <c r="E627">
        <f t="shared" si="47"/>
        <v>30</v>
      </c>
      <c r="F627">
        <f t="shared" si="47"/>
        <v>30</v>
      </c>
      <c r="G627">
        <f t="shared" si="47"/>
        <v>30</v>
      </c>
      <c r="H627">
        <f t="shared" si="47"/>
        <v>30</v>
      </c>
      <c r="I627">
        <f t="shared" si="47"/>
        <v>30</v>
      </c>
      <c r="J627" s="12" t="s">
        <v>1018</v>
      </c>
      <c r="K627" s="14" t="s">
        <v>1060</v>
      </c>
      <c r="L627" s="29"/>
      <c r="M627" s="14">
        <f>INDEX('Pivot Analysis'!A:B,MATCH(J627,'Pivot Analysis'!B:B,0),1)</f>
        <v>30</v>
      </c>
      <c r="N627" s="14" t="e">
        <f>INDEX(Cloc!E:F,MATCH(J627,Cloc!F:F,0),1)</f>
        <v>#N/A</v>
      </c>
      <c r="O627" s="14">
        <f t="shared" si="45"/>
        <v>30</v>
      </c>
      <c r="P627" s="14">
        <f>O627/Q627</f>
        <v>30</v>
      </c>
      <c r="Q627">
        <f>MAX(1,SUMPRODUCT($R$1:$AD$1,R627:AD627))</f>
        <v>1</v>
      </c>
    </row>
    <row r="628" spans="1:26" x14ac:dyDescent="0.25">
      <c r="A628" s="25" t="str">
        <f t="shared" si="46"/>
        <v>test_spreadsheet;base.group_user;30;30;30;30;30;30;30;30</v>
      </c>
      <c r="B628">
        <f t="shared" si="43"/>
        <v>30</v>
      </c>
      <c r="C628">
        <f t="shared" si="47"/>
        <v>30</v>
      </c>
      <c r="D628">
        <f t="shared" si="47"/>
        <v>30</v>
      </c>
      <c r="E628">
        <f t="shared" si="47"/>
        <v>30</v>
      </c>
      <c r="F628">
        <f t="shared" si="47"/>
        <v>30</v>
      </c>
      <c r="G628">
        <f t="shared" si="47"/>
        <v>30</v>
      </c>
      <c r="H628">
        <f t="shared" si="47"/>
        <v>30</v>
      </c>
      <c r="I628">
        <f t="shared" si="47"/>
        <v>30</v>
      </c>
      <c r="J628" s="12" t="s">
        <v>1019</v>
      </c>
      <c r="K628" s="14" t="s">
        <v>1060</v>
      </c>
      <c r="L628" s="29"/>
      <c r="M628" s="14">
        <f>INDEX('Pivot Analysis'!A:B,MATCH(J628,'Pivot Analysis'!B:B,0),1)</f>
        <v>30</v>
      </c>
      <c r="N628" s="14" t="e">
        <f>INDEX(Cloc!E:F,MATCH(J628,Cloc!F:F,0),1)</f>
        <v>#N/A</v>
      </c>
      <c r="O628" s="14">
        <f t="shared" si="45"/>
        <v>30</v>
      </c>
      <c r="P628" s="14">
        <f>O628/Q628</f>
        <v>30</v>
      </c>
      <c r="Q628">
        <f>MAX(1,SUMPRODUCT($R$1:$AD$1,R628:AD628))</f>
        <v>1</v>
      </c>
    </row>
    <row r="629" spans="1:26" x14ac:dyDescent="0.25">
      <c r="A629" s="25" t="str">
        <f t="shared" si="46"/>
        <v>test_testing_utilities;base.group_user;30;30;30;30;30;30;30;30</v>
      </c>
      <c r="B629">
        <f t="shared" ref="B629:I692" si="48">$P629*MIN($Q629,B$3)</f>
        <v>30</v>
      </c>
      <c r="C629">
        <f t="shared" si="47"/>
        <v>30</v>
      </c>
      <c r="D629">
        <f t="shared" si="47"/>
        <v>30</v>
      </c>
      <c r="E629">
        <f t="shared" si="47"/>
        <v>30</v>
      </c>
      <c r="F629">
        <f t="shared" si="47"/>
        <v>30</v>
      </c>
      <c r="G629">
        <f t="shared" si="47"/>
        <v>30</v>
      </c>
      <c r="H629">
        <f t="shared" si="47"/>
        <v>30</v>
      </c>
      <c r="I629">
        <f t="shared" si="47"/>
        <v>30</v>
      </c>
      <c r="J629" s="12" t="s">
        <v>1020</v>
      </c>
      <c r="K629" s="14" t="s">
        <v>1060</v>
      </c>
      <c r="L629" s="29"/>
      <c r="M629" s="14">
        <f>INDEX('Pivot Analysis'!A:B,MATCH(J629,'Pivot Analysis'!B:B,0),1)</f>
        <v>30</v>
      </c>
      <c r="N629" s="14" t="e">
        <f>INDEX(Cloc!E:F,MATCH(J629,Cloc!F:F,0),1)</f>
        <v>#N/A</v>
      </c>
      <c r="O629" s="14">
        <f t="shared" si="45"/>
        <v>30</v>
      </c>
      <c r="P629" s="14">
        <f>O629/Q629</f>
        <v>30</v>
      </c>
      <c r="Q629">
        <f>MAX(1,SUMPRODUCT($R$1:$AD$1,R629:AD629))</f>
        <v>1</v>
      </c>
    </row>
    <row r="630" spans="1:26" x14ac:dyDescent="0.25">
      <c r="A630" s="25" t="str">
        <f t="shared" si="46"/>
        <v>test_translation_import;base.group_user;30;30;30;30;30;30;30;30</v>
      </c>
      <c r="B630">
        <f t="shared" si="48"/>
        <v>30</v>
      </c>
      <c r="C630">
        <f t="shared" si="47"/>
        <v>30</v>
      </c>
      <c r="D630">
        <f t="shared" si="47"/>
        <v>30</v>
      </c>
      <c r="E630">
        <f t="shared" si="47"/>
        <v>30</v>
      </c>
      <c r="F630">
        <f t="shared" si="47"/>
        <v>30</v>
      </c>
      <c r="G630">
        <f t="shared" si="47"/>
        <v>30</v>
      </c>
      <c r="H630">
        <f t="shared" si="47"/>
        <v>30</v>
      </c>
      <c r="I630">
        <f t="shared" si="47"/>
        <v>30</v>
      </c>
      <c r="J630" s="12" t="s">
        <v>1021</v>
      </c>
      <c r="K630" s="14" t="s">
        <v>1060</v>
      </c>
      <c r="L630" s="29"/>
      <c r="M630" s="14">
        <f>INDEX('Pivot Analysis'!A:B,MATCH(J630,'Pivot Analysis'!B:B,0),1)</f>
        <v>30</v>
      </c>
      <c r="N630" s="14" t="e">
        <f>INDEX(Cloc!E:F,MATCH(J630,Cloc!F:F,0),1)</f>
        <v>#N/A</v>
      </c>
      <c r="O630" s="14">
        <f t="shared" si="45"/>
        <v>30</v>
      </c>
      <c r="P630" s="14">
        <f>O630/Q630</f>
        <v>30</v>
      </c>
      <c r="Q630">
        <f>MAX(1,SUMPRODUCT($R$1:$AD$1,R630:AD630))</f>
        <v>1</v>
      </c>
    </row>
    <row r="631" spans="1:26" x14ac:dyDescent="0.25">
      <c r="A631" s="25" t="str">
        <f t="shared" si="46"/>
        <v>test_uninstall;base.group_user;30;30;30;30;30;30;30;30</v>
      </c>
      <c r="B631">
        <f t="shared" si="48"/>
        <v>30</v>
      </c>
      <c r="C631">
        <f t="shared" si="47"/>
        <v>30</v>
      </c>
      <c r="D631">
        <f t="shared" si="47"/>
        <v>30</v>
      </c>
      <c r="E631">
        <f t="shared" si="47"/>
        <v>30</v>
      </c>
      <c r="F631">
        <f t="shared" si="47"/>
        <v>30</v>
      </c>
      <c r="G631">
        <f t="shared" si="47"/>
        <v>30</v>
      </c>
      <c r="H631">
        <f t="shared" si="47"/>
        <v>30</v>
      </c>
      <c r="I631">
        <f t="shared" si="47"/>
        <v>30</v>
      </c>
      <c r="J631" s="12" t="s">
        <v>1022</v>
      </c>
      <c r="K631" s="14" t="s">
        <v>1060</v>
      </c>
      <c r="L631" s="29"/>
      <c r="M631" s="14">
        <f>INDEX('Pivot Analysis'!A:B,MATCH(J631,'Pivot Analysis'!B:B,0),1)</f>
        <v>30</v>
      </c>
      <c r="N631" s="14" t="e">
        <f>INDEX(Cloc!E:F,MATCH(J631,Cloc!F:F,0),1)</f>
        <v>#N/A</v>
      </c>
      <c r="O631" s="14">
        <f t="shared" si="45"/>
        <v>30</v>
      </c>
      <c r="P631" s="14">
        <f>O631/Q631</f>
        <v>30</v>
      </c>
      <c r="Q631">
        <f>MAX(1,SUMPRODUCT($R$1:$AD$1,R631:AD631))</f>
        <v>1</v>
      </c>
    </row>
    <row r="632" spans="1:26" x14ac:dyDescent="0.25">
      <c r="A632" s="25" t="str">
        <f t="shared" si="46"/>
        <v>test_website;base.group_user;33;33;33;33;33;33;33;33</v>
      </c>
      <c r="B632">
        <f t="shared" si="48"/>
        <v>33</v>
      </c>
      <c r="C632">
        <f t="shared" si="47"/>
        <v>33</v>
      </c>
      <c r="D632">
        <f t="shared" si="47"/>
        <v>33</v>
      </c>
      <c r="E632">
        <f t="shared" si="47"/>
        <v>33</v>
      </c>
      <c r="F632">
        <f t="shared" si="47"/>
        <v>33</v>
      </c>
      <c r="G632">
        <f t="shared" si="47"/>
        <v>33</v>
      </c>
      <c r="H632">
        <f t="shared" si="47"/>
        <v>33</v>
      </c>
      <c r="I632">
        <f t="shared" si="47"/>
        <v>33</v>
      </c>
      <c r="J632" s="12" t="s">
        <v>657</v>
      </c>
      <c r="K632" s="14" t="s">
        <v>1060</v>
      </c>
      <c r="L632" s="29"/>
      <c r="M632" s="14">
        <f>INDEX('Pivot Analysis'!A:B,MATCH(J632,'Pivot Analysis'!B:B,0),1)</f>
        <v>33</v>
      </c>
      <c r="N632" s="14" t="e">
        <f>INDEX(Cloc!E:F,MATCH(J632,Cloc!F:F,0),1)</f>
        <v>#N/A</v>
      </c>
      <c r="O632" s="14">
        <f t="shared" si="45"/>
        <v>33</v>
      </c>
      <c r="P632" s="14">
        <f>O632/Q632</f>
        <v>33</v>
      </c>
      <c r="Q632">
        <f>MAX(1,SUMPRODUCT($R$1:$AD$1,R632:AD632))</f>
        <v>1</v>
      </c>
    </row>
    <row r="633" spans="1:26" x14ac:dyDescent="0.25">
      <c r="A633" s="25" t="str">
        <f t="shared" si="46"/>
        <v>test_website_modules;base.group_user;33;33;33;33;33;33;33;33</v>
      </c>
      <c r="B633">
        <f t="shared" si="48"/>
        <v>33</v>
      </c>
      <c r="C633">
        <f t="shared" si="47"/>
        <v>33</v>
      </c>
      <c r="D633">
        <f t="shared" si="47"/>
        <v>33</v>
      </c>
      <c r="E633">
        <f t="shared" si="47"/>
        <v>33</v>
      </c>
      <c r="F633">
        <f t="shared" si="47"/>
        <v>33</v>
      </c>
      <c r="G633">
        <f t="shared" si="47"/>
        <v>33</v>
      </c>
      <c r="H633">
        <f t="shared" si="47"/>
        <v>33</v>
      </c>
      <c r="I633">
        <f t="shared" si="47"/>
        <v>33</v>
      </c>
      <c r="J633" s="12" t="s">
        <v>658</v>
      </c>
      <c r="K633" s="14" t="s">
        <v>1060</v>
      </c>
      <c r="L633" s="29"/>
      <c r="M633" s="14">
        <f>INDEX('Pivot Analysis'!A:B,MATCH(J633,'Pivot Analysis'!B:B,0),1)</f>
        <v>33</v>
      </c>
      <c r="N633" s="14" t="e">
        <f>INDEX(Cloc!E:F,MATCH(J633,Cloc!F:F,0),1)</f>
        <v>#N/A</v>
      </c>
      <c r="O633" s="14">
        <f t="shared" si="45"/>
        <v>33</v>
      </c>
      <c r="P633" s="14">
        <f>O633/Q633</f>
        <v>33</v>
      </c>
      <c r="Q633">
        <f>MAX(1,SUMPRODUCT($R$1:$AD$1,R633:AD633))</f>
        <v>1</v>
      </c>
    </row>
    <row r="634" spans="1:26" x14ac:dyDescent="0.25">
      <c r="A634" s="25" t="str">
        <f t="shared" si="46"/>
        <v>test_website_slides_full;base.group_user;33;33;33;33;33;33;33;33</v>
      </c>
      <c r="B634">
        <f t="shared" si="48"/>
        <v>33</v>
      </c>
      <c r="C634">
        <f t="shared" si="47"/>
        <v>33</v>
      </c>
      <c r="D634">
        <f t="shared" si="47"/>
        <v>33</v>
      </c>
      <c r="E634">
        <f t="shared" si="47"/>
        <v>33</v>
      </c>
      <c r="F634">
        <f t="shared" si="47"/>
        <v>33</v>
      </c>
      <c r="G634">
        <f t="shared" si="47"/>
        <v>33</v>
      </c>
      <c r="H634">
        <f t="shared" si="47"/>
        <v>33</v>
      </c>
      <c r="I634">
        <f t="shared" si="47"/>
        <v>33</v>
      </c>
      <c r="J634" s="12" t="s">
        <v>659</v>
      </c>
      <c r="K634" s="14" t="s">
        <v>1060</v>
      </c>
      <c r="L634" s="29"/>
      <c r="M634" s="14">
        <f>INDEX('Pivot Analysis'!A:B,MATCH(J634,'Pivot Analysis'!B:B,0),1)</f>
        <v>33</v>
      </c>
      <c r="N634" s="14" t="e">
        <f>INDEX(Cloc!E:F,MATCH(J634,Cloc!F:F,0),1)</f>
        <v>#N/A</v>
      </c>
      <c r="O634" s="14">
        <f t="shared" si="45"/>
        <v>33</v>
      </c>
      <c r="P634" s="14">
        <f>O634/Q634</f>
        <v>33</v>
      </c>
      <c r="Q634">
        <f>MAX(1,SUMPRODUCT($R$1:$AD$1,R634:AD634))</f>
        <v>1</v>
      </c>
    </row>
    <row r="635" spans="1:26" x14ac:dyDescent="0.25">
      <c r="A635" s="25" t="str">
        <f t="shared" si="46"/>
        <v>test_xlsx_export;base.group_user;48;48;48;48;48;48;48;48</v>
      </c>
      <c r="B635">
        <f t="shared" si="48"/>
        <v>48</v>
      </c>
      <c r="C635">
        <f t="shared" si="47"/>
        <v>48</v>
      </c>
      <c r="D635">
        <f t="shared" si="47"/>
        <v>48</v>
      </c>
      <c r="E635">
        <f t="shared" si="47"/>
        <v>48</v>
      </c>
      <c r="F635">
        <f t="shared" si="47"/>
        <v>48</v>
      </c>
      <c r="G635">
        <f t="shared" si="47"/>
        <v>48</v>
      </c>
      <c r="H635">
        <f t="shared" si="47"/>
        <v>48</v>
      </c>
      <c r="I635">
        <f t="shared" si="47"/>
        <v>48</v>
      </c>
      <c r="J635" s="12" t="s">
        <v>660</v>
      </c>
      <c r="K635" s="14" t="s">
        <v>1060</v>
      </c>
      <c r="L635" s="29"/>
      <c r="M635" s="14">
        <f>INDEX('Pivot Analysis'!A:B,MATCH(J635,'Pivot Analysis'!B:B,0),1)</f>
        <v>48</v>
      </c>
      <c r="N635" s="14" t="e">
        <f>INDEX(Cloc!E:F,MATCH(J635,Cloc!F:F,0),1)</f>
        <v>#N/A</v>
      </c>
      <c r="O635" s="14">
        <f t="shared" si="45"/>
        <v>48</v>
      </c>
      <c r="P635" s="14">
        <f>O635/Q635</f>
        <v>48</v>
      </c>
      <c r="Q635">
        <f>MAX(1,SUMPRODUCT($R$1:$AD$1,R635:AD635))</f>
        <v>1</v>
      </c>
    </row>
    <row r="636" spans="1:26" x14ac:dyDescent="0.25">
      <c r="A636" s="25" t="str">
        <f t="shared" si="46"/>
        <v>theme_default;base.group_user;33;33;33;33;33;33;33;33</v>
      </c>
      <c r="B636">
        <f t="shared" si="48"/>
        <v>33</v>
      </c>
      <c r="C636">
        <f t="shared" si="47"/>
        <v>33</v>
      </c>
      <c r="D636">
        <f t="shared" si="47"/>
        <v>33</v>
      </c>
      <c r="E636">
        <f t="shared" si="47"/>
        <v>33</v>
      </c>
      <c r="F636">
        <f t="shared" si="47"/>
        <v>33</v>
      </c>
      <c r="G636">
        <f t="shared" si="47"/>
        <v>33</v>
      </c>
      <c r="H636">
        <f t="shared" si="47"/>
        <v>33</v>
      </c>
      <c r="I636">
        <f t="shared" si="47"/>
        <v>33</v>
      </c>
      <c r="J636" s="12" t="s">
        <v>661</v>
      </c>
      <c r="K636" s="14" t="s">
        <v>1060</v>
      </c>
      <c r="L636" s="29"/>
      <c r="M636" s="14">
        <f>INDEX('Pivot Analysis'!A:B,MATCH(J636,'Pivot Analysis'!B:B,0),1)</f>
        <v>33</v>
      </c>
      <c r="N636" s="14" t="e">
        <f>INDEX(Cloc!E:F,MATCH(J636,Cloc!F:F,0),1)</f>
        <v>#N/A</v>
      </c>
      <c r="O636" s="14">
        <f t="shared" si="45"/>
        <v>33</v>
      </c>
      <c r="P636" s="14">
        <f>O636/Q636</f>
        <v>33</v>
      </c>
      <c r="Q636">
        <f>MAX(1,SUMPRODUCT($R$1:$AD$1,R636:AD636))</f>
        <v>1</v>
      </c>
    </row>
    <row r="637" spans="1:26" x14ac:dyDescent="0.25">
      <c r="A637" s="25" t="str">
        <f t="shared" si="46"/>
        <v>timesheet_grid;base.group_user;1000;1000;1000;1000;1000;1000;1000;1000</v>
      </c>
      <c r="B637">
        <f t="shared" si="48"/>
        <v>1000</v>
      </c>
      <c r="C637">
        <f t="shared" si="47"/>
        <v>1000</v>
      </c>
      <c r="D637">
        <f t="shared" si="47"/>
        <v>1000</v>
      </c>
      <c r="E637">
        <f t="shared" si="47"/>
        <v>1000</v>
      </c>
      <c r="F637">
        <f t="shared" si="47"/>
        <v>1000</v>
      </c>
      <c r="G637">
        <f t="shared" si="47"/>
        <v>1000</v>
      </c>
      <c r="H637">
        <f t="shared" si="47"/>
        <v>1000</v>
      </c>
      <c r="I637">
        <f t="shared" si="47"/>
        <v>1000</v>
      </c>
      <c r="J637" s="14" t="s">
        <v>1072</v>
      </c>
      <c r="K637" s="14" t="s">
        <v>1060</v>
      </c>
      <c r="L637" s="29"/>
      <c r="M637" s="14" t="e">
        <f>INDEX('Pivot Analysis'!A:B,MATCH(J637,'Pivot Analysis'!B:B,0),1)</f>
        <v>#N/A</v>
      </c>
      <c r="N637" s="14" t="e">
        <f>INDEX(Cloc!E:F,MATCH(J637,Cloc!F:F,0),1)</f>
        <v>#N/A</v>
      </c>
      <c r="O637" s="14">
        <f t="shared" si="45"/>
        <v>1000</v>
      </c>
      <c r="P637" s="14">
        <f>O637/Q637</f>
        <v>1000</v>
      </c>
      <c r="Q637">
        <f>MAX(1,SUMPRODUCT($R$1:$AD$1,R637:AD637))</f>
        <v>1</v>
      </c>
      <c r="Z637">
        <v>1</v>
      </c>
    </row>
    <row r="638" spans="1:26" x14ac:dyDescent="0.25">
      <c r="A638" s="25" t="str">
        <f t="shared" si="46"/>
        <v>transifex;base.group_user;0;0;0;0;0;0;0;0</v>
      </c>
      <c r="B638">
        <f t="shared" si="48"/>
        <v>0</v>
      </c>
      <c r="C638">
        <f t="shared" si="47"/>
        <v>0</v>
      </c>
      <c r="D638">
        <f t="shared" si="47"/>
        <v>0</v>
      </c>
      <c r="E638">
        <f t="shared" si="47"/>
        <v>0</v>
      </c>
      <c r="F638">
        <f t="shared" si="47"/>
        <v>0</v>
      </c>
      <c r="G638">
        <f t="shared" si="47"/>
        <v>0</v>
      </c>
      <c r="H638">
        <f t="shared" si="47"/>
        <v>0</v>
      </c>
      <c r="I638">
        <f t="shared" si="47"/>
        <v>0</v>
      </c>
      <c r="J638" s="12" t="s">
        <v>662</v>
      </c>
      <c r="K638" s="14" t="s">
        <v>1060</v>
      </c>
      <c r="L638" s="29"/>
      <c r="M638" s="14">
        <f>INDEX('Pivot Analysis'!A:B,MATCH(J638,'Pivot Analysis'!B:B,0),1)</f>
        <v>0</v>
      </c>
      <c r="N638" s="14" t="e">
        <f>INDEX(Cloc!E:F,MATCH(J638,Cloc!F:F,0),1)</f>
        <v>#N/A</v>
      </c>
      <c r="O638" s="14">
        <f t="shared" si="45"/>
        <v>0</v>
      </c>
      <c r="P638" s="14">
        <f>O638/Q638</f>
        <v>0</v>
      </c>
      <c r="Q638">
        <f>MAX(1,SUMPRODUCT($R$1:$AD$1,R638:AD638))</f>
        <v>1</v>
      </c>
    </row>
    <row r="639" spans="1:26" x14ac:dyDescent="0.25">
      <c r="A639" s="25" t="str">
        <f t="shared" si="46"/>
        <v>uom;base.group_user;0;0;0;0;0;0;0;0</v>
      </c>
      <c r="B639">
        <f t="shared" si="48"/>
        <v>0</v>
      </c>
      <c r="C639">
        <f t="shared" si="47"/>
        <v>0</v>
      </c>
      <c r="D639">
        <f t="shared" si="47"/>
        <v>0</v>
      </c>
      <c r="E639">
        <f t="shared" si="47"/>
        <v>0</v>
      </c>
      <c r="F639">
        <f t="shared" si="47"/>
        <v>0</v>
      </c>
      <c r="G639">
        <f t="shared" si="47"/>
        <v>0</v>
      </c>
      <c r="H639">
        <f t="shared" si="47"/>
        <v>0</v>
      </c>
      <c r="I639">
        <f t="shared" si="47"/>
        <v>0</v>
      </c>
      <c r="J639" s="12" t="s">
        <v>663</v>
      </c>
      <c r="K639" s="14" t="s">
        <v>1060</v>
      </c>
      <c r="L639" s="29"/>
      <c r="M639" s="14">
        <f>INDEX('Pivot Analysis'!A:B,MATCH(J639,'Pivot Analysis'!B:B,0),1)</f>
        <v>0</v>
      </c>
      <c r="N639" s="14">
        <f>INDEX(Cloc!E:F,MATCH(J639,Cloc!F:F,0),1)</f>
        <v>38.519999999999996</v>
      </c>
      <c r="O639" s="14">
        <f t="shared" si="45"/>
        <v>0</v>
      </c>
      <c r="P639" s="14">
        <f>O639/Q639</f>
        <v>0</v>
      </c>
      <c r="Q639">
        <f>MAX(1,SUMPRODUCT($R$1:$AD$1,R639:AD639))</f>
        <v>10</v>
      </c>
      <c r="T639">
        <v>1</v>
      </c>
      <c r="X639" t="str">
        <f>IF(SUM(R639:W639)=0,VLOOKUP(J639,#REF!,1,0),"")</f>
        <v/>
      </c>
      <c r="Y639" t="str">
        <f>IF(SUM(R639:X639)&gt;0,"",VLOOKUP(J639,'Apps-from-odoo'!A:A,1,0))</f>
        <v/>
      </c>
    </row>
    <row r="640" spans="1:26" x14ac:dyDescent="0.25">
      <c r="A640" s="25" t="str">
        <f t="shared" si="46"/>
        <v>utm;base.group_user;0;0;0;0;0;0;0;0</v>
      </c>
      <c r="B640">
        <f t="shared" si="48"/>
        <v>0</v>
      </c>
      <c r="C640">
        <f t="shared" si="47"/>
        <v>0</v>
      </c>
      <c r="D640">
        <f t="shared" si="47"/>
        <v>0</v>
      </c>
      <c r="E640">
        <f t="shared" si="47"/>
        <v>0</v>
      </c>
      <c r="F640">
        <f t="shared" si="47"/>
        <v>0</v>
      </c>
      <c r="G640">
        <f t="shared" si="47"/>
        <v>0</v>
      </c>
      <c r="H640">
        <f t="shared" si="47"/>
        <v>0</v>
      </c>
      <c r="I640">
        <f t="shared" si="47"/>
        <v>0</v>
      </c>
      <c r="J640" s="12" t="s">
        <v>664</v>
      </c>
      <c r="K640" s="14" t="s">
        <v>1060</v>
      </c>
      <c r="L640" s="29"/>
      <c r="M640" s="14">
        <f>INDEX('Pivot Analysis'!A:B,MATCH(J640,'Pivot Analysis'!B:B,0),1)</f>
        <v>0</v>
      </c>
      <c r="N640" s="14">
        <f>INDEX(Cloc!E:F,MATCH(J640,Cloc!F:F,0),1)</f>
        <v>56.58</v>
      </c>
      <c r="O640" s="14">
        <f t="shared" si="45"/>
        <v>0</v>
      </c>
      <c r="P640" s="14">
        <f>O640/Q640</f>
        <v>0</v>
      </c>
      <c r="Q640">
        <f>MAX(1,SUMPRODUCT($R$1:$AD$1,R640:AD640))</f>
        <v>5</v>
      </c>
      <c r="V640">
        <v>1</v>
      </c>
      <c r="X640" t="str">
        <f>IF(SUM(R640:W640)=0,VLOOKUP(J640,#REF!,1,0),"")</f>
        <v/>
      </c>
      <c r="Y640" t="str">
        <f>IF(SUM(R640:X640)&gt;0,"",VLOOKUP(J640,'Apps-from-odoo'!A:A,1,0))</f>
        <v/>
      </c>
    </row>
    <row r="641" spans="1:26" x14ac:dyDescent="0.25">
      <c r="A641" s="25" t="str">
        <f t="shared" si="46"/>
        <v>web;base.group_user;0;0;0;0;0;0;0;0</v>
      </c>
      <c r="B641">
        <f t="shared" si="48"/>
        <v>0</v>
      </c>
      <c r="C641">
        <f t="shared" si="47"/>
        <v>0</v>
      </c>
      <c r="D641">
        <f t="shared" si="47"/>
        <v>0</v>
      </c>
      <c r="E641">
        <f t="shared" si="47"/>
        <v>0</v>
      </c>
      <c r="F641">
        <f t="shared" si="47"/>
        <v>0</v>
      </c>
      <c r="G641">
        <f t="shared" si="47"/>
        <v>0</v>
      </c>
      <c r="H641">
        <f t="shared" si="47"/>
        <v>0</v>
      </c>
      <c r="I641">
        <f t="shared" si="47"/>
        <v>0</v>
      </c>
      <c r="J641" s="12" t="s">
        <v>665</v>
      </c>
      <c r="K641" s="14" t="s">
        <v>1060</v>
      </c>
      <c r="L641" s="29"/>
      <c r="M641" s="14">
        <f>INDEX('Pivot Analysis'!A:B,MATCH(J641,'Pivot Analysis'!B:B,0),1)</f>
        <v>0</v>
      </c>
      <c r="N641" s="14">
        <f>INDEX(Cloc!E:F,MATCH(J641,Cloc!F:F,0),1)</f>
        <v>8258.7000000000007</v>
      </c>
      <c r="O641" s="14">
        <f t="shared" si="45"/>
        <v>0</v>
      </c>
      <c r="P641" s="14">
        <f>O641/Q641</f>
        <v>0</v>
      </c>
      <c r="Q641">
        <f>MAX(1,SUMPRODUCT($R$1:$AD$1,R641:AD641))</f>
        <v>1000</v>
      </c>
      <c r="R641">
        <v>1</v>
      </c>
      <c r="X641" t="str">
        <f>IF(SUM(R641:W641)=0,VLOOKUP(J641,#REF!,1,0),"")</f>
        <v/>
      </c>
      <c r="Y641" t="str">
        <f>IF(SUM(R641:X641)&gt;0,"",VLOOKUP(J641,'Apps-from-odoo'!A:A,1,0))</f>
        <v/>
      </c>
    </row>
    <row r="642" spans="1:26" x14ac:dyDescent="0.25">
      <c r="A642" s="25" t="str">
        <f t="shared" si="46"/>
        <v>web_editor;base.group_user;0;0;0;0;0;0;0;0</v>
      </c>
      <c r="B642">
        <f t="shared" si="48"/>
        <v>0</v>
      </c>
      <c r="C642">
        <f t="shared" si="47"/>
        <v>0</v>
      </c>
      <c r="D642">
        <f t="shared" si="47"/>
        <v>0</v>
      </c>
      <c r="E642">
        <f t="shared" si="47"/>
        <v>0</v>
      </c>
      <c r="F642">
        <f t="shared" si="47"/>
        <v>0</v>
      </c>
      <c r="G642">
        <f t="shared" si="47"/>
        <v>0</v>
      </c>
      <c r="H642">
        <f t="shared" si="47"/>
        <v>0</v>
      </c>
      <c r="I642">
        <f t="shared" si="47"/>
        <v>0</v>
      </c>
      <c r="J642" s="12" t="s">
        <v>666</v>
      </c>
      <c r="K642" s="14" t="s">
        <v>1060</v>
      </c>
      <c r="L642" s="29"/>
      <c r="M642" s="14">
        <f>INDEX('Pivot Analysis'!A:B,MATCH(J642,'Pivot Analysis'!B:B,0),1)</f>
        <v>0</v>
      </c>
      <c r="N642" s="14">
        <f>INDEX(Cloc!E:F,MATCH(J642,Cloc!F:F,0),1)</f>
        <v>7771.98</v>
      </c>
      <c r="O642" s="14">
        <f t="shared" si="45"/>
        <v>0</v>
      </c>
      <c r="P642" s="14">
        <f>O642/Q642</f>
        <v>0</v>
      </c>
      <c r="Q642">
        <f>MAX(1,SUMPRODUCT($R$1:$AD$1,R642:AD642))</f>
        <v>1000</v>
      </c>
      <c r="R642">
        <v>1</v>
      </c>
      <c r="X642" t="str">
        <f>IF(SUM(R642:W642)=0,VLOOKUP(J642,#REF!,1,0),"")</f>
        <v/>
      </c>
      <c r="Y642" t="str">
        <f>IF(SUM(R642:X642)&gt;0,"",VLOOKUP(J642,'Apps-from-odoo'!A:A,1,0))</f>
        <v/>
      </c>
    </row>
    <row r="643" spans="1:26" x14ac:dyDescent="0.25">
      <c r="A643" s="25" t="str">
        <f t="shared" si="46"/>
        <v>web_hierarchy;base.group_user;12;24;36;48;60;60;60;60</v>
      </c>
      <c r="B643">
        <f t="shared" si="48"/>
        <v>12</v>
      </c>
      <c r="C643">
        <f t="shared" si="47"/>
        <v>24</v>
      </c>
      <c r="D643">
        <f t="shared" si="47"/>
        <v>36</v>
      </c>
      <c r="E643">
        <f t="shared" si="47"/>
        <v>48</v>
      </c>
      <c r="F643">
        <f t="shared" si="47"/>
        <v>60</v>
      </c>
      <c r="G643">
        <f t="shared" si="47"/>
        <v>60</v>
      </c>
      <c r="H643">
        <f t="shared" si="47"/>
        <v>60</v>
      </c>
      <c r="I643">
        <f t="shared" si="47"/>
        <v>60</v>
      </c>
      <c r="J643" s="12" t="s">
        <v>1024</v>
      </c>
      <c r="K643" s="14" t="s">
        <v>1060</v>
      </c>
      <c r="L643" s="29"/>
      <c r="M643" s="14">
        <f>INDEX('Pivot Analysis'!A:B,MATCH(J643,'Pivot Analysis'!B:B,0),1)</f>
        <v>60</v>
      </c>
      <c r="N643" s="14">
        <f>INDEX(Cloc!E:F,MATCH(J643,Cloc!F:F,0),1)</f>
        <v>127.02000000000001</v>
      </c>
      <c r="O643" s="14">
        <f t="shared" si="45"/>
        <v>60</v>
      </c>
      <c r="P643" s="14">
        <f>O643/Q643</f>
        <v>12</v>
      </c>
      <c r="Q643">
        <f>MAX(1,SUMPRODUCT($R$1:$AD$1,R643:AD643))</f>
        <v>5</v>
      </c>
      <c r="X643">
        <v>1</v>
      </c>
      <c r="Y643" t="str">
        <f>IF(SUM(R643:X643)&gt;0,"",VLOOKUP(J643,'Apps-from-odoo'!A:A,1,0))</f>
        <v/>
      </c>
    </row>
    <row r="644" spans="1:26" x14ac:dyDescent="0.25">
      <c r="A644" s="25" t="str">
        <f t="shared" si="46"/>
        <v>web_kanban_gauge;base.group_user;0;0;0;0;0;0;0;0</v>
      </c>
      <c r="B644">
        <f t="shared" si="48"/>
        <v>0</v>
      </c>
      <c r="C644">
        <f t="shared" si="47"/>
        <v>0</v>
      </c>
      <c r="D644">
        <f t="shared" si="47"/>
        <v>0</v>
      </c>
      <c r="E644">
        <f t="shared" si="47"/>
        <v>0</v>
      </c>
      <c r="F644">
        <f t="shared" si="47"/>
        <v>0</v>
      </c>
      <c r="G644">
        <f t="shared" si="47"/>
        <v>0</v>
      </c>
      <c r="H644">
        <f t="shared" si="47"/>
        <v>0</v>
      </c>
      <c r="I644">
        <f t="shared" si="47"/>
        <v>0</v>
      </c>
      <c r="J644" s="12" t="s">
        <v>668</v>
      </c>
      <c r="K644" s="14" t="s">
        <v>1060</v>
      </c>
      <c r="L644" s="29"/>
      <c r="M644" s="14">
        <f>INDEX('Pivot Analysis'!A:B,MATCH(J644,'Pivot Analysis'!B:B,0),1)</f>
        <v>0</v>
      </c>
      <c r="N644" s="14" t="e">
        <f>INDEX(Cloc!E:F,MATCH(J644,Cloc!F:F,0),1)</f>
        <v>#N/A</v>
      </c>
      <c r="O644" s="14">
        <f t="shared" si="45"/>
        <v>0</v>
      </c>
      <c r="P644" s="14">
        <f>O644/Q644</f>
        <v>0</v>
      </c>
      <c r="Q644">
        <f>MAX(1,SUMPRODUCT($R$1:$AD$1,R644:AD644))</f>
        <v>1</v>
      </c>
    </row>
    <row r="645" spans="1:26" x14ac:dyDescent="0.25">
      <c r="A645" s="25" t="str">
        <f t="shared" si="46"/>
        <v>web_studio;base.group_user;1000;1000;1000;1000;1000;1000;1000;1000</v>
      </c>
      <c r="B645">
        <f t="shared" si="48"/>
        <v>1000</v>
      </c>
      <c r="C645">
        <f t="shared" si="47"/>
        <v>1000</v>
      </c>
      <c r="D645">
        <f t="shared" si="47"/>
        <v>1000</v>
      </c>
      <c r="E645">
        <f t="shared" si="47"/>
        <v>1000</v>
      </c>
      <c r="F645">
        <f t="shared" si="47"/>
        <v>1000</v>
      </c>
      <c r="G645">
        <f t="shared" si="47"/>
        <v>1000</v>
      </c>
      <c r="H645">
        <f t="shared" si="47"/>
        <v>1000</v>
      </c>
      <c r="I645">
        <f t="shared" si="47"/>
        <v>1000</v>
      </c>
      <c r="J645" s="14" t="s">
        <v>1073</v>
      </c>
      <c r="K645" s="14" t="s">
        <v>1060</v>
      </c>
      <c r="L645" s="29"/>
      <c r="M645" s="14" t="e">
        <f>INDEX('Pivot Analysis'!A:B,MATCH(J645,'Pivot Analysis'!B:B,0),1)</f>
        <v>#N/A</v>
      </c>
      <c r="N645" s="14" t="e">
        <f>INDEX(Cloc!E:F,MATCH(J645,Cloc!F:F,0),1)</f>
        <v>#N/A</v>
      </c>
      <c r="O645" s="14">
        <f t="shared" ref="O645:O708" si="49">IFERROR(IFERROR(IF(L645&lt;&gt;"",L645,M645),N645),$O$1)</f>
        <v>1000</v>
      </c>
      <c r="P645" s="14">
        <f>O645/Q645</f>
        <v>1000</v>
      </c>
      <c r="Q645">
        <f>MAX(1,SUMPRODUCT($R$1:$AD$1,R645:AD645))</f>
        <v>1</v>
      </c>
      <c r="Z645">
        <v>1</v>
      </c>
    </row>
    <row r="646" spans="1:26" x14ac:dyDescent="0.25">
      <c r="A646" s="25" t="str">
        <f t="shared" si="46"/>
        <v>web_tour;base.group_user;0;0;0;0;0;0;0;0</v>
      </c>
      <c r="B646">
        <f t="shared" si="48"/>
        <v>0</v>
      </c>
      <c r="C646">
        <f t="shared" si="47"/>
        <v>0</v>
      </c>
      <c r="D646">
        <f t="shared" si="47"/>
        <v>0</v>
      </c>
      <c r="E646">
        <f t="shared" si="47"/>
        <v>0</v>
      </c>
      <c r="F646">
        <f t="shared" si="47"/>
        <v>0</v>
      </c>
      <c r="G646">
        <f t="shared" ref="C646:I709" si="50">$P646*MIN($Q646,G$3)</f>
        <v>0</v>
      </c>
      <c r="H646">
        <f t="shared" si="50"/>
        <v>0</v>
      </c>
      <c r="I646">
        <f t="shared" si="50"/>
        <v>0</v>
      </c>
      <c r="J646" s="12" t="s">
        <v>670</v>
      </c>
      <c r="K646" s="14" t="s">
        <v>1060</v>
      </c>
      <c r="L646" s="29"/>
      <c r="M646" s="14">
        <f>INDEX('Pivot Analysis'!A:B,MATCH(J646,'Pivot Analysis'!B:B,0),1)</f>
        <v>0</v>
      </c>
      <c r="N646" s="14">
        <f>INDEX(Cloc!E:F,MATCH(J646,Cloc!F:F,0),1)</f>
        <v>195.42000000000002</v>
      </c>
      <c r="O646" s="14">
        <f t="shared" si="49"/>
        <v>0</v>
      </c>
      <c r="P646" s="14">
        <f>O646/Q646</f>
        <v>0</v>
      </c>
      <c r="Q646">
        <f>MAX(1,SUMPRODUCT($R$1:$AD$1,R646:AD646))</f>
        <v>1000</v>
      </c>
      <c r="R646">
        <v>1</v>
      </c>
      <c r="X646" t="str">
        <f>IF(SUM(R646:W646)=0,VLOOKUP(J646,#REF!,1,0),"")</f>
        <v/>
      </c>
      <c r="Y646" t="str">
        <f>IF(SUM(R646:X646)&gt;0,"",VLOOKUP(J646,'Apps-from-odoo'!A:A,1,0))</f>
        <v/>
      </c>
    </row>
    <row r="647" spans="1:26" x14ac:dyDescent="0.25">
      <c r="A647" s="25" t="str">
        <f t="shared" si="46"/>
        <v>web_unsplash;base.group_user;0,003;0,006;0,009;0,012;0,015;0,018;0,021;0,024</v>
      </c>
      <c r="B647">
        <f t="shared" si="48"/>
        <v>3.0000000000000001E-3</v>
      </c>
      <c r="C647">
        <f t="shared" si="50"/>
        <v>6.0000000000000001E-3</v>
      </c>
      <c r="D647">
        <f t="shared" si="50"/>
        <v>9.0000000000000011E-3</v>
      </c>
      <c r="E647">
        <f t="shared" si="50"/>
        <v>1.2E-2</v>
      </c>
      <c r="F647">
        <f t="shared" si="50"/>
        <v>1.4999999999999999E-2</v>
      </c>
      <c r="G647">
        <f t="shared" si="50"/>
        <v>1.8000000000000002E-2</v>
      </c>
      <c r="H647">
        <f t="shared" si="50"/>
        <v>2.1000000000000001E-2</v>
      </c>
      <c r="I647">
        <f t="shared" si="50"/>
        <v>2.4E-2</v>
      </c>
      <c r="J647" s="12" t="s">
        <v>671</v>
      </c>
      <c r="K647" s="14" t="s">
        <v>1060</v>
      </c>
      <c r="L647" s="29"/>
      <c r="M647" s="14">
        <f>INDEX('Pivot Analysis'!A:B,MATCH(J647,'Pivot Analysis'!B:B,0),1)</f>
        <v>3</v>
      </c>
      <c r="N647" s="14">
        <f>INDEX(Cloc!E:F,MATCH(J647,Cloc!F:F,0),1)</f>
        <v>64.02</v>
      </c>
      <c r="O647" s="14">
        <f t="shared" si="49"/>
        <v>3</v>
      </c>
      <c r="P647" s="14">
        <f>O647/Q647</f>
        <v>3.0000000000000001E-3</v>
      </c>
      <c r="Q647">
        <f>MAX(1,SUMPRODUCT($R$1:$AD$1,R647:AD647))</f>
        <v>1000</v>
      </c>
      <c r="R647">
        <v>1</v>
      </c>
      <c r="X647" t="str">
        <f>IF(SUM(R647:W647)=0,VLOOKUP(J647,#REF!,1,0),"")</f>
        <v/>
      </c>
      <c r="Y647" t="str">
        <f>IF(SUM(R647:X647)&gt;0,"",VLOOKUP(J647,'Apps-from-odoo'!A:A,1,0))</f>
        <v/>
      </c>
    </row>
    <row r="648" spans="1:26" x14ac:dyDescent="0.25">
      <c r="A648" s="25" t="str">
        <f t="shared" si="46"/>
        <v>website;base.group_user;7,02;14,04;21,06;28,08;35,1;35,1;35,1;35,1</v>
      </c>
      <c r="B648">
        <f t="shared" si="48"/>
        <v>7.0200000000000005</v>
      </c>
      <c r="C648">
        <f t="shared" si="50"/>
        <v>14.040000000000001</v>
      </c>
      <c r="D648">
        <f t="shared" si="50"/>
        <v>21.060000000000002</v>
      </c>
      <c r="E648">
        <f t="shared" si="50"/>
        <v>28.080000000000002</v>
      </c>
      <c r="F648">
        <f t="shared" si="50"/>
        <v>35.1</v>
      </c>
      <c r="G648">
        <f t="shared" si="50"/>
        <v>35.1</v>
      </c>
      <c r="H648">
        <f t="shared" si="50"/>
        <v>35.1</v>
      </c>
      <c r="I648">
        <f t="shared" si="50"/>
        <v>35.1</v>
      </c>
      <c r="J648" s="12" t="s">
        <v>672</v>
      </c>
      <c r="K648" s="14" t="s">
        <v>1060</v>
      </c>
      <c r="L648" s="29"/>
      <c r="M648" s="14">
        <f>INDEX('Pivot Analysis'!A:B,MATCH(J648,'Pivot Analysis'!B:B,0),1)</f>
        <v>35.1</v>
      </c>
      <c r="N648" s="14">
        <f>INDEX(Cloc!E:F,MATCH(J648,Cloc!F:F,0),1)</f>
        <v>4420.9800000000005</v>
      </c>
      <c r="O648" s="14">
        <f t="shared" si="49"/>
        <v>35.1</v>
      </c>
      <c r="P648" s="14">
        <f>O648/Q648</f>
        <v>7.0200000000000005</v>
      </c>
      <c r="Q648">
        <f>MAX(1,SUMPRODUCT($R$1:$AD$1,R648:AD648))</f>
        <v>5</v>
      </c>
      <c r="V648">
        <v>1</v>
      </c>
      <c r="X648" t="str">
        <f>IF(SUM(R648:W648)=0,VLOOKUP(J648,#REF!,1,0),"")</f>
        <v/>
      </c>
      <c r="Y648" t="str">
        <f>IF(SUM(R648:X648)&gt;0,"",VLOOKUP(J648,'Apps-from-odoo'!A:A,1,0))</f>
        <v/>
      </c>
    </row>
    <row r="649" spans="1:26" x14ac:dyDescent="0.25">
      <c r="A649" s="25" t="str">
        <f t="shared" ref="A649:A712" si="51">J649&amp;";"&amp;K649&amp;";"&amp;B649&amp;";"&amp;C649&amp;";"&amp;D649&amp;";"&amp;E649&amp;";"&amp;F649&amp;";"&amp;G649&amp;";"&amp;H649&amp;";"&amp;I649</f>
        <v>website_blog;base.group_user;4,8;4,8;4,8;4,8;4,8;4,8;4,8;4,8</v>
      </c>
      <c r="B649">
        <f t="shared" si="48"/>
        <v>4.8</v>
      </c>
      <c r="C649">
        <f t="shared" si="50"/>
        <v>4.8</v>
      </c>
      <c r="D649">
        <f t="shared" si="50"/>
        <v>4.8</v>
      </c>
      <c r="E649">
        <f t="shared" si="50"/>
        <v>4.8</v>
      </c>
      <c r="F649">
        <f t="shared" si="50"/>
        <v>4.8</v>
      </c>
      <c r="G649">
        <f t="shared" si="50"/>
        <v>4.8</v>
      </c>
      <c r="H649">
        <f t="shared" si="50"/>
        <v>4.8</v>
      </c>
      <c r="I649">
        <f t="shared" si="50"/>
        <v>4.8</v>
      </c>
      <c r="J649" s="12" t="s">
        <v>674</v>
      </c>
      <c r="K649" s="14" t="s">
        <v>1060</v>
      </c>
      <c r="L649" s="29"/>
      <c r="M649" s="14">
        <f>INDEX('Pivot Analysis'!A:B,MATCH(J649,'Pivot Analysis'!B:B,0),1)</f>
        <v>4.8</v>
      </c>
      <c r="N649" s="14" t="e">
        <f>INDEX(Cloc!E:F,MATCH(J649,Cloc!F:F,0),1)</f>
        <v>#N/A</v>
      </c>
      <c r="O649" s="14">
        <f t="shared" si="49"/>
        <v>4.8</v>
      </c>
      <c r="P649" s="14">
        <f>O649/Q649</f>
        <v>4.8</v>
      </c>
      <c r="Q649">
        <f>MAX(1,SUMPRODUCT($R$1:$AD$1,R649:AD649))</f>
        <v>1</v>
      </c>
    </row>
    <row r="650" spans="1:26" x14ac:dyDescent="0.25">
      <c r="A650" s="25" t="str">
        <f t="shared" si="51"/>
        <v>website_cf_turnstile;base.group_user;30;30;30;30;30;30;30;30</v>
      </c>
      <c r="B650">
        <f t="shared" si="48"/>
        <v>30</v>
      </c>
      <c r="C650">
        <f t="shared" si="50"/>
        <v>30</v>
      </c>
      <c r="D650">
        <f t="shared" si="50"/>
        <v>30</v>
      </c>
      <c r="E650">
        <f t="shared" si="50"/>
        <v>30</v>
      </c>
      <c r="F650">
        <f t="shared" si="50"/>
        <v>30</v>
      </c>
      <c r="G650">
        <f t="shared" si="50"/>
        <v>30</v>
      </c>
      <c r="H650">
        <f t="shared" si="50"/>
        <v>30</v>
      </c>
      <c r="I650">
        <f t="shared" si="50"/>
        <v>30</v>
      </c>
      <c r="J650" s="12" t="s">
        <v>1028</v>
      </c>
      <c r="K650" s="14" t="s">
        <v>1060</v>
      </c>
      <c r="L650" s="29"/>
      <c r="M650" s="14">
        <f>INDEX('Pivot Analysis'!A:B,MATCH(J650,'Pivot Analysis'!B:B,0),1)</f>
        <v>30</v>
      </c>
      <c r="N650" s="14" t="e">
        <f>INDEX(Cloc!E:F,MATCH(J650,Cloc!F:F,0),1)</f>
        <v>#N/A</v>
      </c>
      <c r="O650" s="14">
        <f t="shared" si="49"/>
        <v>30</v>
      </c>
      <c r="P650" s="14">
        <f>O650/Q650</f>
        <v>30</v>
      </c>
      <c r="Q650">
        <f>MAX(1,SUMPRODUCT($R$1:$AD$1,R650:AD650))</f>
        <v>1</v>
      </c>
    </row>
    <row r="651" spans="1:26" x14ac:dyDescent="0.25">
      <c r="A651" s="25" t="str">
        <f t="shared" si="51"/>
        <v>website_crm;base.group_user;0;0;0;0;0;0;0;0</v>
      </c>
      <c r="B651">
        <f t="shared" si="48"/>
        <v>0</v>
      </c>
      <c r="C651">
        <f t="shared" si="50"/>
        <v>0</v>
      </c>
      <c r="D651">
        <f t="shared" si="50"/>
        <v>0</v>
      </c>
      <c r="E651">
        <f t="shared" si="50"/>
        <v>0</v>
      </c>
      <c r="F651">
        <f t="shared" si="50"/>
        <v>0</v>
      </c>
      <c r="G651">
        <f t="shared" si="50"/>
        <v>0</v>
      </c>
      <c r="H651">
        <f t="shared" si="50"/>
        <v>0</v>
      </c>
      <c r="I651">
        <f t="shared" si="50"/>
        <v>0</v>
      </c>
      <c r="J651" s="12" t="s">
        <v>676</v>
      </c>
      <c r="K651" s="14" t="s">
        <v>1060</v>
      </c>
      <c r="L651" s="29"/>
      <c r="M651" s="14">
        <f>INDEX('Pivot Analysis'!A:B,MATCH(J651,'Pivot Analysis'!B:B,0),1)</f>
        <v>0</v>
      </c>
      <c r="N651" s="14">
        <f>INDEX(Cloc!E:F,MATCH(J651,Cloc!F:F,0),1)</f>
        <v>28.799999999999997</v>
      </c>
      <c r="O651" s="14">
        <f t="shared" si="49"/>
        <v>0</v>
      </c>
      <c r="P651" s="14">
        <f>O651/Q651</f>
        <v>0</v>
      </c>
      <c r="Q651">
        <f>MAX(1,SUMPRODUCT($R$1:$AD$1,R651:AD651))</f>
        <v>3</v>
      </c>
      <c r="Y651">
        <v>1</v>
      </c>
    </row>
    <row r="652" spans="1:26" x14ac:dyDescent="0.25">
      <c r="A652" s="25" t="str">
        <f t="shared" si="51"/>
        <v>website_crm_iap_reveal;base.group_user;0;0;0;0;0;0;0;0</v>
      </c>
      <c r="B652">
        <f t="shared" si="48"/>
        <v>0</v>
      </c>
      <c r="C652">
        <f t="shared" si="50"/>
        <v>0</v>
      </c>
      <c r="D652">
        <f t="shared" si="50"/>
        <v>0</v>
      </c>
      <c r="E652">
        <f t="shared" si="50"/>
        <v>0</v>
      </c>
      <c r="F652">
        <f t="shared" si="50"/>
        <v>0</v>
      </c>
      <c r="G652">
        <f t="shared" si="50"/>
        <v>0</v>
      </c>
      <c r="H652">
        <f t="shared" si="50"/>
        <v>0</v>
      </c>
      <c r="I652">
        <f t="shared" si="50"/>
        <v>0</v>
      </c>
      <c r="J652" s="12" t="s">
        <v>677</v>
      </c>
      <c r="K652" s="14" t="s">
        <v>1060</v>
      </c>
      <c r="L652" s="29"/>
      <c r="M652" s="14">
        <f>INDEX('Pivot Analysis'!A:B,MATCH(J652,'Pivot Analysis'!B:B,0),1)</f>
        <v>0</v>
      </c>
      <c r="N652" s="14" t="e">
        <f>INDEX(Cloc!E:F,MATCH(J652,Cloc!F:F,0),1)</f>
        <v>#N/A</v>
      </c>
      <c r="O652" s="14">
        <f t="shared" si="49"/>
        <v>0</v>
      </c>
      <c r="P652" s="14">
        <f>O652/Q652</f>
        <v>0</v>
      </c>
      <c r="Q652">
        <f>MAX(1,SUMPRODUCT($R$1:$AD$1,R652:AD652))</f>
        <v>1</v>
      </c>
    </row>
    <row r="653" spans="1:26" x14ac:dyDescent="0.25">
      <c r="A653" s="25" t="str">
        <f t="shared" si="51"/>
        <v>website_crm_livechat;base.group_user;0;0;0;0;0;0;0;0</v>
      </c>
      <c r="B653">
        <f t="shared" si="48"/>
        <v>0</v>
      </c>
      <c r="C653">
        <f t="shared" si="50"/>
        <v>0</v>
      </c>
      <c r="D653">
        <f t="shared" si="50"/>
        <v>0</v>
      </c>
      <c r="E653">
        <f t="shared" si="50"/>
        <v>0</v>
      </c>
      <c r="F653">
        <f t="shared" si="50"/>
        <v>0</v>
      </c>
      <c r="G653">
        <f t="shared" si="50"/>
        <v>0</v>
      </c>
      <c r="H653">
        <f t="shared" si="50"/>
        <v>0</v>
      </c>
      <c r="I653">
        <f t="shared" si="50"/>
        <v>0</v>
      </c>
      <c r="J653" s="12" t="s">
        <v>678</v>
      </c>
      <c r="K653" s="14" t="s">
        <v>1060</v>
      </c>
      <c r="L653" s="29"/>
      <c r="M653" s="14">
        <f>INDEX('Pivot Analysis'!A:B,MATCH(J653,'Pivot Analysis'!B:B,0),1)</f>
        <v>0</v>
      </c>
      <c r="N653" s="14">
        <f>INDEX(Cloc!E:F,MATCH(J653,Cloc!F:F,0),1)</f>
        <v>4.8600000000000003</v>
      </c>
      <c r="O653" s="14">
        <f t="shared" si="49"/>
        <v>0</v>
      </c>
      <c r="P653" s="14">
        <f>O653/Q653</f>
        <v>0</v>
      </c>
      <c r="Q653">
        <f>MAX(1,SUMPRODUCT($R$1:$AD$1,R653:AD653))</f>
        <v>3</v>
      </c>
      <c r="Y653">
        <v>1</v>
      </c>
    </row>
    <row r="654" spans="1:26" x14ac:dyDescent="0.25">
      <c r="A654" s="25" t="str">
        <f t="shared" si="51"/>
        <v>website_crm_partner_assign;base.group_user;30;30;30;30;30;30;30;30</v>
      </c>
      <c r="B654">
        <f t="shared" si="48"/>
        <v>30</v>
      </c>
      <c r="C654">
        <f t="shared" si="50"/>
        <v>30</v>
      </c>
      <c r="D654">
        <f t="shared" si="50"/>
        <v>30</v>
      </c>
      <c r="E654">
        <f t="shared" si="50"/>
        <v>30</v>
      </c>
      <c r="F654">
        <f t="shared" si="50"/>
        <v>30</v>
      </c>
      <c r="G654">
        <f t="shared" si="50"/>
        <v>30</v>
      </c>
      <c r="H654">
        <f t="shared" si="50"/>
        <v>30</v>
      </c>
      <c r="I654">
        <f t="shared" si="50"/>
        <v>30</v>
      </c>
      <c r="J654" s="12" t="s">
        <v>679</v>
      </c>
      <c r="K654" s="14" t="s">
        <v>1060</v>
      </c>
      <c r="L654" s="29"/>
      <c r="M654" s="14">
        <f>INDEX('Pivot Analysis'!A:B,MATCH(J654,'Pivot Analysis'!B:B,0),1)</f>
        <v>30</v>
      </c>
      <c r="N654" s="14" t="e">
        <f>INDEX(Cloc!E:F,MATCH(J654,Cloc!F:F,0),1)</f>
        <v>#N/A</v>
      </c>
      <c r="O654" s="14">
        <f t="shared" si="49"/>
        <v>30</v>
      </c>
      <c r="P654" s="14">
        <f>O654/Q654</f>
        <v>30</v>
      </c>
      <c r="Q654">
        <f>MAX(1,SUMPRODUCT($R$1:$AD$1,R654:AD654))</f>
        <v>1</v>
      </c>
    </row>
    <row r="655" spans="1:26" x14ac:dyDescent="0.25">
      <c r="A655" s="25" t="str">
        <f t="shared" si="51"/>
        <v>website_crm_sms;base.group_user;1;2;3;3;3;3;3;3</v>
      </c>
      <c r="B655">
        <f t="shared" si="48"/>
        <v>1</v>
      </c>
      <c r="C655">
        <f t="shared" si="50"/>
        <v>2</v>
      </c>
      <c r="D655">
        <f t="shared" si="50"/>
        <v>3</v>
      </c>
      <c r="E655">
        <f t="shared" si="50"/>
        <v>3</v>
      </c>
      <c r="F655">
        <f t="shared" si="50"/>
        <v>3</v>
      </c>
      <c r="G655">
        <f t="shared" si="50"/>
        <v>3</v>
      </c>
      <c r="H655">
        <f t="shared" si="50"/>
        <v>3</v>
      </c>
      <c r="I655">
        <f t="shared" si="50"/>
        <v>3</v>
      </c>
      <c r="J655" s="12" t="s">
        <v>680</v>
      </c>
      <c r="K655" s="14" t="s">
        <v>1060</v>
      </c>
      <c r="L655" s="29"/>
      <c r="M655" s="14">
        <f>INDEX('Pivot Analysis'!A:B,MATCH(J655,'Pivot Analysis'!B:B,0),1)</f>
        <v>3</v>
      </c>
      <c r="N655" s="14">
        <f>INDEX(Cloc!E:F,MATCH(J655,Cloc!F:F,0),1)</f>
        <v>2.16</v>
      </c>
      <c r="O655" s="14">
        <f t="shared" si="49"/>
        <v>3</v>
      </c>
      <c r="P655" s="14">
        <f>O655/Q655</f>
        <v>1</v>
      </c>
      <c r="Q655">
        <f>MAX(1,SUMPRODUCT($R$1:$AD$1,R655:AD655))</f>
        <v>3</v>
      </c>
      <c r="Y655">
        <v>1</v>
      </c>
    </row>
    <row r="656" spans="1:26" x14ac:dyDescent="0.25">
      <c r="A656" s="25" t="str">
        <f t="shared" si="51"/>
        <v>website_customer;base.group_user;33;33;33;33;33;33;33;33</v>
      </c>
      <c r="B656">
        <f t="shared" si="48"/>
        <v>33</v>
      </c>
      <c r="C656">
        <f t="shared" si="50"/>
        <v>33</v>
      </c>
      <c r="D656">
        <f t="shared" si="50"/>
        <v>33</v>
      </c>
      <c r="E656">
        <f t="shared" si="50"/>
        <v>33</v>
      </c>
      <c r="F656">
        <f t="shared" si="50"/>
        <v>33</v>
      </c>
      <c r="G656">
        <f t="shared" si="50"/>
        <v>33</v>
      </c>
      <c r="H656">
        <f t="shared" si="50"/>
        <v>33</v>
      </c>
      <c r="I656">
        <f t="shared" si="50"/>
        <v>33</v>
      </c>
      <c r="J656" s="12" t="s">
        <v>681</v>
      </c>
      <c r="K656" s="14" t="s">
        <v>1060</v>
      </c>
      <c r="L656" s="29"/>
      <c r="M656" s="14">
        <f>INDEX('Pivot Analysis'!A:B,MATCH(J656,'Pivot Analysis'!B:B,0),1)</f>
        <v>33</v>
      </c>
      <c r="N656" s="14" t="e">
        <f>INDEX(Cloc!E:F,MATCH(J656,Cloc!F:F,0),1)</f>
        <v>#N/A</v>
      </c>
      <c r="O656" s="14">
        <f t="shared" si="49"/>
        <v>33</v>
      </c>
      <c r="P656" s="14">
        <f>O656/Q656</f>
        <v>33</v>
      </c>
      <c r="Q656">
        <f>MAX(1,SUMPRODUCT($R$1:$AD$1,R656:AD656))</f>
        <v>1</v>
      </c>
    </row>
    <row r="657" spans="1:25" x14ac:dyDescent="0.25">
      <c r="A657" s="25" t="str">
        <f t="shared" si="51"/>
        <v>website_event;base.group_user;12,42;24,84;37,26;49,68;62,1;62,1;62,1;62,1</v>
      </c>
      <c r="B657">
        <f t="shared" si="48"/>
        <v>12.419999999999998</v>
      </c>
      <c r="C657">
        <f t="shared" si="50"/>
        <v>24.839999999999996</v>
      </c>
      <c r="D657">
        <f t="shared" si="50"/>
        <v>37.259999999999991</v>
      </c>
      <c r="E657">
        <f t="shared" si="50"/>
        <v>49.679999999999993</v>
      </c>
      <c r="F657">
        <f t="shared" si="50"/>
        <v>62.099999999999994</v>
      </c>
      <c r="G657">
        <f t="shared" si="50"/>
        <v>62.099999999999994</v>
      </c>
      <c r="H657">
        <f t="shared" si="50"/>
        <v>62.099999999999994</v>
      </c>
      <c r="I657">
        <f t="shared" si="50"/>
        <v>62.099999999999994</v>
      </c>
      <c r="J657" s="12" t="s">
        <v>682</v>
      </c>
      <c r="K657" s="14" t="s">
        <v>1060</v>
      </c>
      <c r="L657" s="29"/>
      <c r="M657" s="14">
        <f>INDEX('Pivot Analysis'!A:B,MATCH(J657,'Pivot Analysis'!B:B,0),1)</f>
        <v>62.099999999999987</v>
      </c>
      <c r="N657" s="14">
        <f>INDEX(Cloc!E:F,MATCH(J657,Cloc!F:F,0),1)</f>
        <v>277.26</v>
      </c>
      <c r="O657" s="14">
        <f t="shared" si="49"/>
        <v>62.099999999999987</v>
      </c>
      <c r="P657" s="14">
        <f>O657/Q657</f>
        <v>12.419999999999998</v>
      </c>
      <c r="Q657">
        <f>MAX(1,SUMPRODUCT($R$1:$AD$1,R657:AD657))</f>
        <v>5</v>
      </c>
      <c r="X657">
        <v>1</v>
      </c>
      <c r="Y657" t="str">
        <f>IF(SUM(R657:X657)&gt;0,"",VLOOKUP(J657,'Apps-from-odoo'!A:A,1,0))</f>
        <v/>
      </c>
    </row>
    <row r="658" spans="1:25" x14ac:dyDescent="0.25">
      <c r="A658" s="25" t="str">
        <f t="shared" si="51"/>
        <v>website_event_booth;base.group_user;33;33;33;33;33;33;33;33</v>
      </c>
      <c r="B658">
        <f t="shared" si="48"/>
        <v>33</v>
      </c>
      <c r="C658">
        <f t="shared" si="50"/>
        <v>33</v>
      </c>
      <c r="D658">
        <f t="shared" si="50"/>
        <v>33</v>
      </c>
      <c r="E658">
        <f t="shared" si="50"/>
        <v>33</v>
      </c>
      <c r="F658">
        <f t="shared" si="50"/>
        <v>33</v>
      </c>
      <c r="G658">
        <f t="shared" si="50"/>
        <v>33</v>
      </c>
      <c r="H658">
        <f t="shared" si="50"/>
        <v>33</v>
      </c>
      <c r="I658">
        <f t="shared" si="50"/>
        <v>33</v>
      </c>
      <c r="J658" s="12" t="s">
        <v>684</v>
      </c>
      <c r="K658" s="14" t="s">
        <v>1060</v>
      </c>
      <c r="L658" s="29"/>
      <c r="M658" s="14">
        <f>INDEX('Pivot Analysis'!A:B,MATCH(J658,'Pivot Analysis'!B:B,0),1)</f>
        <v>33</v>
      </c>
      <c r="N658" s="14" t="e">
        <f>INDEX(Cloc!E:F,MATCH(J658,Cloc!F:F,0),1)</f>
        <v>#N/A</v>
      </c>
      <c r="O658" s="14">
        <f t="shared" si="49"/>
        <v>33</v>
      </c>
      <c r="P658" s="14">
        <f>O658/Q658</f>
        <v>33</v>
      </c>
      <c r="Q658">
        <f>MAX(1,SUMPRODUCT($R$1:$AD$1,R658:AD658))</f>
        <v>1</v>
      </c>
    </row>
    <row r="659" spans="1:25" x14ac:dyDescent="0.25">
      <c r="A659" s="25" t="str">
        <f t="shared" si="51"/>
        <v>website_event_booth_exhibitor;base.group_user;0;0;0;0;0;0;0;0</v>
      </c>
      <c r="B659">
        <f t="shared" si="48"/>
        <v>0</v>
      </c>
      <c r="C659">
        <f t="shared" si="50"/>
        <v>0</v>
      </c>
      <c r="D659">
        <f t="shared" si="50"/>
        <v>0</v>
      </c>
      <c r="E659">
        <f t="shared" si="50"/>
        <v>0</v>
      </c>
      <c r="F659">
        <f t="shared" si="50"/>
        <v>0</v>
      </c>
      <c r="G659">
        <f t="shared" si="50"/>
        <v>0</v>
      </c>
      <c r="H659">
        <f t="shared" si="50"/>
        <v>0</v>
      </c>
      <c r="I659">
        <f t="shared" si="50"/>
        <v>0</v>
      </c>
      <c r="J659" s="12" t="s">
        <v>685</v>
      </c>
      <c r="K659" s="14" t="s">
        <v>1060</v>
      </c>
      <c r="L659" s="29"/>
      <c r="M659" s="14">
        <f>INDEX('Pivot Analysis'!A:B,MATCH(J659,'Pivot Analysis'!B:B,0),1)</f>
        <v>0</v>
      </c>
      <c r="N659" s="14" t="e">
        <f>INDEX(Cloc!E:F,MATCH(J659,Cloc!F:F,0),1)</f>
        <v>#N/A</v>
      </c>
      <c r="O659" s="14">
        <f t="shared" si="49"/>
        <v>0</v>
      </c>
      <c r="P659" s="14">
        <f>O659/Q659</f>
        <v>0</v>
      </c>
      <c r="Q659">
        <f>MAX(1,SUMPRODUCT($R$1:$AD$1,R659:AD659))</f>
        <v>1</v>
      </c>
    </row>
    <row r="660" spans="1:25" x14ac:dyDescent="0.25">
      <c r="A660" s="25" t="str">
        <f t="shared" si="51"/>
        <v>website_event_booth_sale;base.group_user;33;33;33;33;33;33;33;33</v>
      </c>
      <c r="B660">
        <f t="shared" si="48"/>
        <v>33</v>
      </c>
      <c r="C660">
        <f t="shared" si="50"/>
        <v>33</v>
      </c>
      <c r="D660">
        <f t="shared" si="50"/>
        <v>33</v>
      </c>
      <c r="E660">
        <f t="shared" si="50"/>
        <v>33</v>
      </c>
      <c r="F660">
        <f t="shared" si="50"/>
        <v>33</v>
      </c>
      <c r="G660">
        <f t="shared" si="50"/>
        <v>33</v>
      </c>
      <c r="H660">
        <f t="shared" si="50"/>
        <v>33</v>
      </c>
      <c r="I660">
        <f t="shared" si="50"/>
        <v>33</v>
      </c>
      <c r="J660" s="12" t="s">
        <v>686</v>
      </c>
      <c r="K660" s="14" t="s">
        <v>1060</v>
      </c>
      <c r="L660" s="29"/>
      <c r="M660" s="14">
        <f>INDEX('Pivot Analysis'!A:B,MATCH(J660,'Pivot Analysis'!B:B,0),1)</f>
        <v>33</v>
      </c>
      <c r="N660" s="14" t="e">
        <f>INDEX(Cloc!E:F,MATCH(J660,Cloc!F:F,0),1)</f>
        <v>#N/A</v>
      </c>
      <c r="O660" s="14">
        <f t="shared" si="49"/>
        <v>33</v>
      </c>
      <c r="P660" s="14">
        <f>O660/Q660</f>
        <v>33</v>
      </c>
      <c r="Q660">
        <f>MAX(1,SUMPRODUCT($R$1:$AD$1,R660:AD660))</f>
        <v>1</v>
      </c>
    </row>
    <row r="661" spans="1:25" x14ac:dyDescent="0.25">
      <c r="A661" s="25" t="str">
        <f t="shared" si="51"/>
        <v>website_event_booth_sale_exhibitor;base.group_user;0;0;0;0;0;0;0;0</v>
      </c>
      <c r="B661">
        <f t="shared" si="48"/>
        <v>0</v>
      </c>
      <c r="C661">
        <f t="shared" si="50"/>
        <v>0</v>
      </c>
      <c r="D661">
        <f t="shared" si="50"/>
        <v>0</v>
      </c>
      <c r="E661">
        <f t="shared" si="50"/>
        <v>0</v>
      </c>
      <c r="F661">
        <f t="shared" si="50"/>
        <v>0</v>
      </c>
      <c r="G661">
        <f t="shared" si="50"/>
        <v>0</v>
      </c>
      <c r="H661">
        <f t="shared" si="50"/>
        <v>0</v>
      </c>
      <c r="I661">
        <f t="shared" si="50"/>
        <v>0</v>
      </c>
      <c r="J661" s="12" t="s">
        <v>687</v>
      </c>
      <c r="K661" s="14" t="s">
        <v>1060</v>
      </c>
      <c r="L661" s="29"/>
      <c r="M661" s="14">
        <f>INDEX('Pivot Analysis'!A:B,MATCH(J661,'Pivot Analysis'!B:B,0),1)</f>
        <v>0</v>
      </c>
      <c r="N661" s="14" t="e">
        <f>INDEX(Cloc!E:F,MATCH(J661,Cloc!F:F,0),1)</f>
        <v>#N/A</v>
      </c>
      <c r="O661" s="14">
        <f t="shared" si="49"/>
        <v>0</v>
      </c>
      <c r="P661" s="14">
        <f>O661/Q661</f>
        <v>0</v>
      </c>
      <c r="Q661">
        <f>MAX(1,SUMPRODUCT($R$1:$AD$1,R661:AD661))</f>
        <v>1</v>
      </c>
    </row>
    <row r="662" spans="1:25" x14ac:dyDescent="0.25">
      <c r="A662" s="25" t="str">
        <f t="shared" si="51"/>
        <v>website_event_crm;base.group_user;11;22;33;33;33;33;33;33</v>
      </c>
      <c r="B662">
        <f t="shared" si="48"/>
        <v>11</v>
      </c>
      <c r="C662">
        <f t="shared" si="50"/>
        <v>22</v>
      </c>
      <c r="D662">
        <f t="shared" si="50"/>
        <v>33</v>
      </c>
      <c r="E662">
        <f t="shared" si="50"/>
        <v>33</v>
      </c>
      <c r="F662">
        <f t="shared" si="50"/>
        <v>33</v>
      </c>
      <c r="G662">
        <f t="shared" si="50"/>
        <v>33</v>
      </c>
      <c r="H662">
        <f t="shared" si="50"/>
        <v>33</v>
      </c>
      <c r="I662">
        <f t="shared" si="50"/>
        <v>33</v>
      </c>
      <c r="J662" s="12" t="s">
        <v>688</v>
      </c>
      <c r="K662" s="14" t="s">
        <v>1060</v>
      </c>
      <c r="L662" s="29"/>
      <c r="M662" s="14">
        <f>INDEX('Pivot Analysis'!A:B,MATCH(J662,'Pivot Analysis'!B:B,0),1)</f>
        <v>33</v>
      </c>
      <c r="N662" s="14">
        <f>INDEX(Cloc!E:F,MATCH(J662,Cloc!F:F,0),1)</f>
        <v>3.96</v>
      </c>
      <c r="O662" s="14">
        <f t="shared" si="49"/>
        <v>33</v>
      </c>
      <c r="P662" s="14">
        <f>O662/Q662</f>
        <v>11</v>
      </c>
      <c r="Q662">
        <f>MAX(1,SUMPRODUCT($R$1:$AD$1,R662:AD662))</f>
        <v>3</v>
      </c>
      <c r="Y662">
        <v>1</v>
      </c>
    </row>
    <row r="663" spans="1:25" x14ac:dyDescent="0.25">
      <c r="A663" s="25" t="str">
        <f t="shared" si="51"/>
        <v>website_event_crm_questions;base.group_user;0;0;0;0;0;0;0;0</v>
      </c>
      <c r="B663">
        <f t="shared" si="48"/>
        <v>0</v>
      </c>
      <c r="C663">
        <f t="shared" si="50"/>
        <v>0</v>
      </c>
      <c r="D663">
        <f t="shared" si="50"/>
        <v>0</v>
      </c>
      <c r="E663">
        <f t="shared" si="50"/>
        <v>0</v>
      </c>
      <c r="F663">
        <f t="shared" si="50"/>
        <v>0</v>
      </c>
      <c r="G663">
        <f t="shared" si="50"/>
        <v>0</v>
      </c>
      <c r="H663">
        <f t="shared" si="50"/>
        <v>0</v>
      </c>
      <c r="I663">
        <f t="shared" si="50"/>
        <v>0</v>
      </c>
      <c r="J663" s="12" t="s">
        <v>689</v>
      </c>
      <c r="K663" s="14" t="s">
        <v>1060</v>
      </c>
      <c r="L663" s="29"/>
      <c r="M663" s="14">
        <f>INDEX('Pivot Analysis'!A:B,MATCH(J663,'Pivot Analysis'!B:B,0),1)</f>
        <v>0</v>
      </c>
      <c r="N663" s="14" t="e">
        <f>INDEX(Cloc!E:F,MATCH(J663,Cloc!F:F,0),1)</f>
        <v>#N/A</v>
      </c>
      <c r="O663" s="14">
        <f t="shared" si="49"/>
        <v>0</v>
      </c>
      <c r="P663" s="14">
        <f>O663/Q663</f>
        <v>0</v>
      </c>
      <c r="Q663">
        <f>MAX(1,SUMPRODUCT($R$1:$AD$1,R663:AD663))</f>
        <v>1</v>
      </c>
    </row>
    <row r="664" spans="1:25" x14ac:dyDescent="0.25">
      <c r="A664" s="25" t="str">
        <f t="shared" si="51"/>
        <v>website_event_exhibitor;base.group_user;96;96;96;96;96;96;96;96</v>
      </c>
      <c r="B664">
        <f t="shared" si="48"/>
        <v>95.999999999999986</v>
      </c>
      <c r="C664">
        <f t="shared" si="50"/>
        <v>95.999999999999986</v>
      </c>
      <c r="D664">
        <f t="shared" si="50"/>
        <v>95.999999999999986</v>
      </c>
      <c r="E664">
        <f t="shared" si="50"/>
        <v>95.999999999999986</v>
      </c>
      <c r="F664">
        <f t="shared" si="50"/>
        <v>95.999999999999986</v>
      </c>
      <c r="G664">
        <f t="shared" si="50"/>
        <v>95.999999999999986</v>
      </c>
      <c r="H664">
        <f t="shared" si="50"/>
        <v>95.999999999999986</v>
      </c>
      <c r="I664">
        <f t="shared" si="50"/>
        <v>95.999999999999986</v>
      </c>
      <c r="J664" s="12" t="s">
        <v>691</v>
      </c>
      <c r="K664" s="14" t="s">
        <v>1060</v>
      </c>
      <c r="L664" s="29"/>
      <c r="M664" s="14">
        <f>INDEX('Pivot Analysis'!A:B,MATCH(J664,'Pivot Analysis'!B:B,0),1)</f>
        <v>95.999999999999986</v>
      </c>
      <c r="N664" s="14" t="e">
        <f>INDEX(Cloc!E:F,MATCH(J664,Cloc!F:F,0),1)</f>
        <v>#N/A</v>
      </c>
      <c r="O664" s="14">
        <f t="shared" si="49"/>
        <v>95.999999999999986</v>
      </c>
      <c r="P664" s="14">
        <f>O664/Q664</f>
        <v>95.999999999999986</v>
      </c>
      <c r="Q664">
        <f>MAX(1,SUMPRODUCT($R$1:$AD$1,R664:AD664))</f>
        <v>1</v>
      </c>
    </row>
    <row r="665" spans="1:25" x14ac:dyDescent="0.25">
      <c r="A665" s="25" t="str">
        <f t="shared" si="51"/>
        <v>website_event_jitsi;base.group_user;33;33;33;33;33;33;33;33</v>
      </c>
      <c r="B665">
        <f t="shared" si="48"/>
        <v>33</v>
      </c>
      <c r="C665">
        <f t="shared" si="50"/>
        <v>33</v>
      </c>
      <c r="D665">
        <f t="shared" si="50"/>
        <v>33</v>
      </c>
      <c r="E665">
        <f t="shared" si="50"/>
        <v>33</v>
      </c>
      <c r="F665">
        <f t="shared" si="50"/>
        <v>33</v>
      </c>
      <c r="G665">
        <f t="shared" si="50"/>
        <v>33</v>
      </c>
      <c r="H665">
        <f t="shared" si="50"/>
        <v>33</v>
      </c>
      <c r="I665">
        <f t="shared" si="50"/>
        <v>33</v>
      </c>
      <c r="J665" s="12" t="s">
        <v>692</v>
      </c>
      <c r="K665" s="14" t="s">
        <v>1060</v>
      </c>
      <c r="L665" s="29"/>
      <c r="M665" s="14">
        <f>INDEX('Pivot Analysis'!A:B,MATCH(J665,'Pivot Analysis'!B:B,0),1)</f>
        <v>33</v>
      </c>
      <c r="N665" s="14" t="e">
        <f>INDEX(Cloc!E:F,MATCH(J665,Cloc!F:F,0),1)</f>
        <v>#N/A</v>
      </c>
      <c r="O665" s="14">
        <f t="shared" si="49"/>
        <v>33</v>
      </c>
      <c r="P665" s="14">
        <f>O665/Q665</f>
        <v>33</v>
      </c>
      <c r="Q665">
        <f>MAX(1,SUMPRODUCT($R$1:$AD$1,R665:AD665))</f>
        <v>1</v>
      </c>
    </row>
    <row r="666" spans="1:25" x14ac:dyDescent="0.25">
      <c r="A666" s="25" t="str">
        <f t="shared" si="51"/>
        <v>website_event_meet;base.group_user;30;30;30;30;30;30;30;30</v>
      </c>
      <c r="B666">
        <f t="shared" si="48"/>
        <v>30</v>
      </c>
      <c r="C666">
        <f t="shared" si="50"/>
        <v>30</v>
      </c>
      <c r="D666">
        <f t="shared" si="50"/>
        <v>30</v>
      </c>
      <c r="E666">
        <f t="shared" si="50"/>
        <v>30</v>
      </c>
      <c r="F666">
        <f t="shared" si="50"/>
        <v>30</v>
      </c>
      <c r="G666">
        <f t="shared" si="50"/>
        <v>30</v>
      </c>
      <c r="H666">
        <f t="shared" si="50"/>
        <v>30</v>
      </c>
      <c r="I666">
        <f t="shared" si="50"/>
        <v>30</v>
      </c>
      <c r="J666" s="12" t="s">
        <v>693</v>
      </c>
      <c r="K666" s="14" t="s">
        <v>1060</v>
      </c>
      <c r="L666" s="29"/>
      <c r="M666" s="14">
        <f>INDEX('Pivot Analysis'!A:B,MATCH(J666,'Pivot Analysis'!B:B,0),1)</f>
        <v>30</v>
      </c>
      <c r="N666" s="14" t="e">
        <f>INDEX(Cloc!E:F,MATCH(J666,Cloc!F:F,0),1)</f>
        <v>#N/A</v>
      </c>
      <c r="O666" s="14">
        <f t="shared" si="49"/>
        <v>30</v>
      </c>
      <c r="P666" s="14">
        <f>O666/Q666</f>
        <v>30</v>
      </c>
      <c r="Q666">
        <f>MAX(1,SUMPRODUCT($R$1:$AD$1,R666:AD666))</f>
        <v>1</v>
      </c>
    </row>
    <row r="667" spans="1:25" x14ac:dyDescent="0.25">
      <c r="A667" s="25" t="str">
        <f t="shared" si="51"/>
        <v>website_event_meet_quiz;base.group_user;33;33;33;33;33;33;33;33</v>
      </c>
      <c r="B667">
        <f t="shared" si="48"/>
        <v>33</v>
      </c>
      <c r="C667">
        <f t="shared" si="50"/>
        <v>33</v>
      </c>
      <c r="D667">
        <f t="shared" si="50"/>
        <v>33</v>
      </c>
      <c r="E667">
        <f t="shared" si="50"/>
        <v>33</v>
      </c>
      <c r="F667">
        <f t="shared" si="50"/>
        <v>33</v>
      </c>
      <c r="G667">
        <f t="shared" si="50"/>
        <v>33</v>
      </c>
      <c r="H667">
        <f t="shared" si="50"/>
        <v>33</v>
      </c>
      <c r="I667">
        <f t="shared" si="50"/>
        <v>33</v>
      </c>
      <c r="J667" s="12" t="s">
        <v>694</v>
      </c>
      <c r="K667" s="14" t="s">
        <v>1060</v>
      </c>
      <c r="L667" s="29"/>
      <c r="M667" s="14">
        <f>INDEX('Pivot Analysis'!A:B,MATCH(J667,'Pivot Analysis'!B:B,0),1)</f>
        <v>33</v>
      </c>
      <c r="N667" s="14" t="e">
        <f>INDEX(Cloc!E:F,MATCH(J667,Cloc!F:F,0),1)</f>
        <v>#N/A</v>
      </c>
      <c r="O667" s="14">
        <f t="shared" si="49"/>
        <v>33</v>
      </c>
      <c r="P667" s="14">
        <f>O667/Q667</f>
        <v>33</v>
      </c>
      <c r="Q667">
        <f>MAX(1,SUMPRODUCT($R$1:$AD$1,R667:AD667))</f>
        <v>1</v>
      </c>
    </row>
    <row r="668" spans="1:25" x14ac:dyDescent="0.25">
      <c r="A668" s="25" t="str">
        <f t="shared" si="51"/>
        <v>website_event_questions;base.group_user;0;0;0;0;0;0;0;0</v>
      </c>
      <c r="B668">
        <f t="shared" si="48"/>
        <v>0</v>
      </c>
      <c r="C668">
        <f t="shared" si="50"/>
        <v>0</v>
      </c>
      <c r="D668">
        <f t="shared" si="50"/>
        <v>0</v>
      </c>
      <c r="E668">
        <f t="shared" si="50"/>
        <v>0</v>
      </c>
      <c r="F668">
        <f t="shared" si="50"/>
        <v>0</v>
      </c>
      <c r="G668">
        <f t="shared" si="50"/>
        <v>0</v>
      </c>
      <c r="H668">
        <f t="shared" si="50"/>
        <v>0</v>
      </c>
      <c r="I668">
        <f t="shared" si="50"/>
        <v>0</v>
      </c>
      <c r="J668" s="12" t="s">
        <v>695</v>
      </c>
      <c r="K668" s="14" t="s">
        <v>1060</v>
      </c>
      <c r="L668" s="29"/>
      <c r="M668" s="14">
        <f>INDEX('Pivot Analysis'!A:B,MATCH(J668,'Pivot Analysis'!B:B,0),1)</f>
        <v>0</v>
      </c>
      <c r="N668" s="14" t="e">
        <f>INDEX(Cloc!E:F,MATCH(J668,Cloc!F:F,0),1)</f>
        <v>#N/A</v>
      </c>
      <c r="O668" s="14">
        <f t="shared" si="49"/>
        <v>0</v>
      </c>
      <c r="P668" s="14">
        <f>O668/Q668</f>
        <v>0</v>
      </c>
      <c r="Q668">
        <f>MAX(1,SUMPRODUCT($R$1:$AD$1,R668:AD668))</f>
        <v>1</v>
      </c>
    </row>
    <row r="669" spans="1:25" x14ac:dyDescent="0.25">
      <c r="A669" s="25" t="str">
        <f t="shared" si="51"/>
        <v>website_event_sale;base.group_user;0,6;1,2;1,8;2,4;3;3;3;3</v>
      </c>
      <c r="B669">
        <f t="shared" si="48"/>
        <v>0.6</v>
      </c>
      <c r="C669">
        <f t="shared" si="50"/>
        <v>1.2</v>
      </c>
      <c r="D669">
        <f t="shared" si="50"/>
        <v>1.7999999999999998</v>
      </c>
      <c r="E669">
        <f t="shared" si="50"/>
        <v>2.4</v>
      </c>
      <c r="F669">
        <f t="shared" si="50"/>
        <v>3</v>
      </c>
      <c r="G669">
        <f t="shared" si="50"/>
        <v>3</v>
      </c>
      <c r="H669">
        <f t="shared" si="50"/>
        <v>3</v>
      </c>
      <c r="I669">
        <f t="shared" si="50"/>
        <v>3</v>
      </c>
      <c r="J669" s="12" t="s">
        <v>697</v>
      </c>
      <c r="K669" s="14" t="s">
        <v>1060</v>
      </c>
      <c r="L669" s="29"/>
      <c r="M669" s="14">
        <f>INDEX('Pivot Analysis'!A:B,MATCH(J669,'Pivot Analysis'!B:B,0),1)</f>
        <v>3</v>
      </c>
      <c r="N669" s="14">
        <f>INDEX(Cloc!E:F,MATCH(J669,Cloc!F:F,0),1)</f>
        <v>37.200000000000003</v>
      </c>
      <c r="O669" s="14">
        <f t="shared" si="49"/>
        <v>3</v>
      </c>
      <c r="P669" s="14">
        <f>O669/Q669</f>
        <v>0.6</v>
      </c>
      <c r="Q669">
        <f>MAX(1,SUMPRODUCT($R$1:$AD$1,R669:AD669))</f>
        <v>5</v>
      </c>
      <c r="X669">
        <v>1</v>
      </c>
      <c r="Y669" t="str">
        <f>IF(SUM(R669:X669)&gt;0,"",VLOOKUP(J669,'Apps-from-odoo'!A:A,1,0))</f>
        <v/>
      </c>
    </row>
    <row r="670" spans="1:25" x14ac:dyDescent="0.25">
      <c r="A670" s="25" t="str">
        <f t="shared" si="51"/>
        <v>website_event_track;base.group_user;3;3;3;3;3;3;3;3</v>
      </c>
      <c r="B670">
        <f t="shared" si="48"/>
        <v>3</v>
      </c>
      <c r="C670">
        <f t="shared" si="50"/>
        <v>3</v>
      </c>
      <c r="D670">
        <f t="shared" si="50"/>
        <v>3</v>
      </c>
      <c r="E670">
        <f t="shared" si="50"/>
        <v>3</v>
      </c>
      <c r="F670">
        <f t="shared" si="50"/>
        <v>3</v>
      </c>
      <c r="G670">
        <f t="shared" si="50"/>
        <v>3</v>
      </c>
      <c r="H670">
        <f t="shared" si="50"/>
        <v>3</v>
      </c>
      <c r="I670">
        <f t="shared" si="50"/>
        <v>3</v>
      </c>
      <c r="J670" s="12" t="s">
        <v>698</v>
      </c>
      <c r="K670" s="14" t="s">
        <v>1060</v>
      </c>
      <c r="L670" s="29"/>
      <c r="M670" s="14">
        <f>INDEX('Pivot Analysis'!A:B,MATCH(J670,'Pivot Analysis'!B:B,0),1)</f>
        <v>3</v>
      </c>
      <c r="N670" s="14" t="e">
        <f>INDEX(Cloc!E:F,MATCH(J670,Cloc!F:F,0),1)</f>
        <v>#N/A</v>
      </c>
      <c r="O670" s="14">
        <f t="shared" si="49"/>
        <v>3</v>
      </c>
      <c r="P670" s="14">
        <f>O670/Q670</f>
        <v>3</v>
      </c>
      <c r="Q670">
        <f>MAX(1,SUMPRODUCT($R$1:$AD$1,R670:AD670))</f>
        <v>1</v>
      </c>
    </row>
    <row r="671" spans="1:25" x14ac:dyDescent="0.25">
      <c r="A671" s="25" t="str">
        <f t="shared" si="51"/>
        <v>website_event_track_live;base.group_user;0;0;0;0;0;0;0;0</v>
      </c>
      <c r="B671">
        <f t="shared" si="48"/>
        <v>0</v>
      </c>
      <c r="C671">
        <f t="shared" si="50"/>
        <v>0</v>
      </c>
      <c r="D671">
        <f t="shared" si="50"/>
        <v>0</v>
      </c>
      <c r="E671">
        <f t="shared" si="50"/>
        <v>0</v>
      </c>
      <c r="F671">
        <f t="shared" si="50"/>
        <v>0</v>
      </c>
      <c r="G671">
        <f t="shared" si="50"/>
        <v>0</v>
      </c>
      <c r="H671">
        <f t="shared" si="50"/>
        <v>0</v>
      </c>
      <c r="I671">
        <f t="shared" si="50"/>
        <v>0</v>
      </c>
      <c r="J671" s="12" t="s">
        <v>700</v>
      </c>
      <c r="K671" s="14" t="s">
        <v>1060</v>
      </c>
      <c r="L671" s="29"/>
      <c r="M671" s="14">
        <f>INDEX('Pivot Analysis'!A:B,MATCH(J671,'Pivot Analysis'!B:B,0),1)</f>
        <v>0</v>
      </c>
      <c r="N671" s="14" t="e">
        <f>INDEX(Cloc!E:F,MATCH(J671,Cloc!F:F,0),1)</f>
        <v>#N/A</v>
      </c>
      <c r="O671" s="14">
        <f t="shared" si="49"/>
        <v>0</v>
      </c>
      <c r="P671" s="14">
        <f>O671/Q671</f>
        <v>0</v>
      </c>
      <c r="Q671">
        <f>MAX(1,SUMPRODUCT($R$1:$AD$1,R671:AD671))</f>
        <v>1</v>
      </c>
    </row>
    <row r="672" spans="1:25" x14ac:dyDescent="0.25">
      <c r="A672" s="25" t="str">
        <f t="shared" si="51"/>
        <v>website_event_track_live_quiz;base.group_user;33;33;33;33;33;33;33;33</v>
      </c>
      <c r="B672">
        <f t="shared" si="48"/>
        <v>33</v>
      </c>
      <c r="C672">
        <f t="shared" si="50"/>
        <v>33</v>
      </c>
      <c r="D672">
        <f t="shared" si="50"/>
        <v>33</v>
      </c>
      <c r="E672">
        <f t="shared" si="50"/>
        <v>33</v>
      </c>
      <c r="F672">
        <f t="shared" si="50"/>
        <v>33</v>
      </c>
      <c r="G672">
        <f t="shared" si="50"/>
        <v>33</v>
      </c>
      <c r="H672">
        <f t="shared" si="50"/>
        <v>33</v>
      </c>
      <c r="I672">
        <f t="shared" si="50"/>
        <v>33</v>
      </c>
      <c r="J672" s="12" t="s">
        <v>701</v>
      </c>
      <c r="K672" s="14" t="s">
        <v>1060</v>
      </c>
      <c r="L672" s="29"/>
      <c r="M672" s="14">
        <f>INDEX('Pivot Analysis'!A:B,MATCH(J672,'Pivot Analysis'!B:B,0),1)</f>
        <v>33</v>
      </c>
      <c r="N672" s="14" t="e">
        <f>INDEX(Cloc!E:F,MATCH(J672,Cloc!F:F,0),1)</f>
        <v>#N/A</v>
      </c>
      <c r="O672" s="14">
        <f t="shared" si="49"/>
        <v>33</v>
      </c>
      <c r="P672" s="14">
        <f>O672/Q672</f>
        <v>33</v>
      </c>
      <c r="Q672">
        <f>MAX(1,SUMPRODUCT($R$1:$AD$1,R672:AD672))</f>
        <v>1</v>
      </c>
    </row>
    <row r="673" spans="1:25" x14ac:dyDescent="0.25">
      <c r="A673" s="25" t="str">
        <f t="shared" si="51"/>
        <v>website_event_track_quiz;base.group_user;0;0;0;0;0;0;0;0</v>
      </c>
      <c r="B673">
        <f t="shared" si="48"/>
        <v>0</v>
      </c>
      <c r="C673">
        <f t="shared" si="50"/>
        <v>0</v>
      </c>
      <c r="D673">
        <f t="shared" si="50"/>
        <v>0</v>
      </c>
      <c r="E673">
        <f t="shared" si="50"/>
        <v>0</v>
      </c>
      <c r="F673">
        <f t="shared" si="50"/>
        <v>0</v>
      </c>
      <c r="G673">
        <f t="shared" si="50"/>
        <v>0</v>
      </c>
      <c r="H673">
        <f t="shared" si="50"/>
        <v>0</v>
      </c>
      <c r="I673">
        <f t="shared" si="50"/>
        <v>0</v>
      </c>
      <c r="J673" s="12" t="s">
        <v>702</v>
      </c>
      <c r="K673" s="14" t="s">
        <v>1060</v>
      </c>
      <c r="L673" s="29"/>
      <c r="M673" s="14">
        <f>INDEX('Pivot Analysis'!A:B,MATCH(J673,'Pivot Analysis'!B:B,0),1)</f>
        <v>0</v>
      </c>
      <c r="N673" s="14" t="e">
        <f>INDEX(Cloc!E:F,MATCH(J673,Cloc!F:F,0),1)</f>
        <v>#N/A</v>
      </c>
      <c r="O673" s="14">
        <f t="shared" si="49"/>
        <v>0</v>
      </c>
      <c r="P673" s="14">
        <f>O673/Q673</f>
        <v>0</v>
      </c>
      <c r="Q673">
        <f>MAX(1,SUMPRODUCT($R$1:$AD$1,R673:AD673))</f>
        <v>1</v>
      </c>
    </row>
    <row r="674" spans="1:25" x14ac:dyDescent="0.25">
      <c r="A674" s="25" t="str">
        <f t="shared" si="51"/>
        <v>website_form_project;base.group_user;0;0;0;0;0;0;0;0</v>
      </c>
      <c r="B674">
        <f t="shared" si="48"/>
        <v>0</v>
      </c>
      <c r="C674">
        <f t="shared" si="50"/>
        <v>0</v>
      </c>
      <c r="D674">
        <f t="shared" si="50"/>
        <v>0</v>
      </c>
      <c r="E674">
        <f t="shared" si="50"/>
        <v>0</v>
      </c>
      <c r="F674">
        <f t="shared" si="50"/>
        <v>0</v>
      </c>
      <c r="G674">
        <f t="shared" si="50"/>
        <v>0</v>
      </c>
      <c r="H674">
        <f t="shared" si="50"/>
        <v>0</v>
      </c>
      <c r="I674">
        <f t="shared" si="50"/>
        <v>0</v>
      </c>
      <c r="J674" s="12" t="s">
        <v>703</v>
      </c>
      <c r="K674" s="14" t="s">
        <v>1060</v>
      </c>
      <c r="L674" s="29"/>
      <c r="M674" s="14">
        <f>INDEX('Pivot Analysis'!A:B,MATCH(J674,'Pivot Analysis'!B:B,0),1)</f>
        <v>0</v>
      </c>
      <c r="N674" s="14" t="e">
        <f>INDEX(Cloc!E:F,MATCH(J674,Cloc!F:F,0),1)</f>
        <v>#N/A</v>
      </c>
      <c r="O674" s="14">
        <f t="shared" si="49"/>
        <v>0</v>
      </c>
      <c r="P674" s="14">
        <f>O674/Q674</f>
        <v>0</v>
      </c>
      <c r="Q674">
        <f>MAX(1,SUMPRODUCT($R$1:$AD$1,R674:AD674))</f>
        <v>1</v>
      </c>
    </row>
    <row r="675" spans="1:25" x14ac:dyDescent="0.25">
      <c r="A675" s="25" t="str">
        <f t="shared" si="51"/>
        <v>website_forum;base.group_user;9;9;9;9;9;9;9;9</v>
      </c>
      <c r="B675">
        <f t="shared" si="48"/>
        <v>9</v>
      </c>
      <c r="C675">
        <f t="shared" si="50"/>
        <v>9</v>
      </c>
      <c r="D675">
        <f t="shared" si="50"/>
        <v>9</v>
      </c>
      <c r="E675">
        <f t="shared" si="50"/>
        <v>9</v>
      </c>
      <c r="F675">
        <f t="shared" si="50"/>
        <v>9</v>
      </c>
      <c r="G675">
        <f t="shared" si="50"/>
        <v>9</v>
      </c>
      <c r="H675">
        <f t="shared" si="50"/>
        <v>9</v>
      </c>
      <c r="I675">
        <f t="shared" si="50"/>
        <v>9</v>
      </c>
      <c r="J675" s="12" t="s">
        <v>704</v>
      </c>
      <c r="K675" s="14" t="s">
        <v>1060</v>
      </c>
      <c r="L675" s="29"/>
      <c r="M675" s="14">
        <f>INDEX('Pivot Analysis'!A:B,MATCH(J675,'Pivot Analysis'!B:B,0),1)</f>
        <v>9</v>
      </c>
      <c r="N675" s="14" t="e">
        <f>INDEX(Cloc!E:F,MATCH(J675,Cloc!F:F,0),1)</f>
        <v>#N/A</v>
      </c>
      <c r="O675" s="14">
        <f t="shared" si="49"/>
        <v>9</v>
      </c>
      <c r="P675" s="14">
        <f>O675/Q675</f>
        <v>9</v>
      </c>
      <c r="Q675">
        <f>MAX(1,SUMPRODUCT($R$1:$AD$1,R675:AD675))</f>
        <v>1</v>
      </c>
    </row>
    <row r="676" spans="1:25" x14ac:dyDescent="0.25">
      <c r="A676" s="25" t="str">
        <f t="shared" si="51"/>
        <v>website_google_map;base.group_user;3;3;3;3;3;3;3;3</v>
      </c>
      <c r="B676">
        <f t="shared" si="48"/>
        <v>3</v>
      </c>
      <c r="C676">
        <f t="shared" si="50"/>
        <v>3</v>
      </c>
      <c r="D676">
        <f t="shared" si="50"/>
        <v>3</v>
      </c>
      <c r="E676">
        <f t="shared" si="50"/>
        <v>3</v>
      </c>
      <c r="F676">
        <f t="shared" si="50"/>
        <v>3</v>
      </c>
      <c r="G676">
        <f t="shared" si="50"/>
        <v>3</v>
      </c>
      <c r="H676">
        <f t="shared" si="50"/>
        <v>3</v>
      </c>
      <c r="I676">
        <f t="shared" si="50"/>
        <v>3</v>
      </c>
      <c r="J676" s="12" t="s">
        <v>706</v>
      </c>
      <c r="K676" s="14" t="s">
        <v>1060</v>
      </c>
      <c r="L676" s="29"/>
      <c r="M676" s="14">
        <f>INDEX('Pivot Analysis'!A:B,MATCH(J676,'Pivot Analysis'!B:B,0),1)</f>
        <v>3</v>
      </c>
      <c r="N676" s="14" t="e">
        <f>INDEX(Cloc!E:F,MATCH(J676,Cloc!F:F,0),1)</f>
        <v>#N/A</v>
      </c>
      <c r="O676" s="14">
        <f t="shared" si="49"/>
        <v>3</v>
      </c>
      <c r="P676" s="14">
        <f>O676/Q676</f>
        <v>3</v>
      </c>
      <c r="Q676">
        <f>MAX(1,SUMPRODUCT($R$1:$AD$1,R676:AD676))</f>
        <v>1</v>
      </c>
    </row>
    <row r="677" spans="1:25" x14ac:dyDescent="0.25">
      <c r="A677" s="25" t="str">
        <f t="shared" si="51"/>
        <v>website_hr_recruitment;base.group_user;1;2;3;3;3;3;3;3</v>
      </c>
      <c r="B677">
        <f t="shared" si="48"/>
        <v>1</v>
      </c>
      <c r="C677">
        <f t="shared" si="50"/>
        <v>2</v>
      </c>
      <c r="D677">
        <f t="shared" si="50"/>
        <v>3</v>
      </c>
      <c r="E677">
        <f t="shared" si="50"/>
        <v>3</v>
      </c>
      <c r="F677">
        <f t="shared" si="50"/>
        <v>3</v>
      </c>
      <c r="G677">
        <f t="shared" si="50"/>
        <v>3</v>
      </c>
      <c r="H677">
        <f t="shared" si="50"/>
        <v>3</v>
      </c>
      <c r="I677">
        <f t="shared" si="50"/>
        <v>3</v>
      </c>
      <c r="J677" s="12" t="s">
        <v>707</v>
      </c>
      <c r="K677" s="14" t="s">
        <v>1060</v>
      </c>
      <c r="L677" s="29"/>
      <c r="M677" s="14">
        <f>INDEX('Pivot Analysis'!A:B,MATCH(J677,'Pivot Analysis'!B:B,0),1)</f>
        <v>3</v>
      </c>
      <c r="N677" s="14">
        <f>INDEX(Cloc!E:F,MATCH(J677,Cloc!F:F,0),1)</f>
        <v>138.42000000000002</v>
      </c>
      <c r="O677" s="14">
        <f t="shared" si="49"/>
        <v>3</v>
      </c>
      <c r="P677" s="14">
        <f>O677/Q677</f>
        <v>1</v>
      </c>
      <c r="Q677">
        <f>MAX(1,SUMPRODUCT($R$1:$AD$1,R677:AD677))</f>
        <v>3</v>
      </c>
      <c r="Y677">
        <v>1</v>
      </c>
    </row>
    <row r="678" spans="1:25" x14ac:dyDescent="0.25">
      <c r="A678" s="25" t="str">
        <f t="shared" si="51"/>
        <v>website_jitsi;base.group_user;0;0;0;0;0;0;0;0</v>
      </c>
      <c r="B678">
        <f t="shared" si="48"/>
        <v>0</v>
      </c>
      <c r="C678">
        <f t="shared" si="50"/>
        <v>0</v>
      </c>
      <c r="D678">
        <f t="shared" si="50"/>
        <v>0</v>
      </c>
      <c r="E678">
        <f t="shared" si="50"/>
        <v>0</v>
      </c>
      <c r="F678">
        <f t="shared" si="50"/>
        <v>0</v>
      </c>
      <c r="G678">
        <f t="shared" si="50"/>
        <v>0</v>
      </c>
      <c r="H678">
        <f t="shared" si="50"/>
        <v>0</v>
      </c>
      <c r="I678">
        <f t="shared" si="50"/>
        <v>0</v>
      </c>
      <c r="J678" s="12" t="s">
        <v>709</v>
      </c>
      <c r="K678" s="14" t="s">
        <v>1060</v>
      </c>
      <c r="L678" s="29"/>
      <c r="M678" s="14">
        <f>INDEX('Pivot Analysis'!A:B,MATCH(J678,'Pivot Analysis'!B:B,0),1)</f>
        <v>0</v>
      </c>
      <c r="N678" s="14" t="e">
        <f>INDEX(Cloc!E:F,MATCH(J678,Cloc!F:F,0),1)</f>
        <v>#N/A</v>
      </c>
      <c r="O678" s="14">
        <f t="shared" si="49"/>
        <v>0</v>
      </c>
      <c r="P678" s="14">
        <f>O678/Q678</f>
        <v>0</v>
      </c>
      <c r="Q678">
        <f>MAX(1,SUMPRODUCT($R$1:$AD$1,R678:AD678))</f>
        <v>1</v>
      </c>
    </row>
    <row r="679" spans="1:25" x14ac:dyDescent="0.25">
      <c r="A679" s="25" t="str">
        <f t="shared" si="51"/>
        <v>website_links;base.group_user;1;2;3;3;3;3;3;3</v>
      </c>
      <c r="B679">
        <f t="shared" si="48"/>
        <v>1</v>
      </c>
      <c r="C679">
        <f t="shared" si="50"/>
        <v>2</v>
      </c>
      <c r="D679">
        <f t="shared" si="50"/>
        <v>3</v>
      </c>
      <c r="E679">
        <f t="shared" si="50"/>
        <v>3</v>
      </c>
      <c r="F679">
        <f t="shared" si="50"/>
        <v>3</v>
      </c>
      <c r="G679">
        <f t="shared" si="50"/>
        <v>3</v>
      </c>
      <c r="H679">
        <f t="shared" si="50"/>
        <v>3</v>
      </c>
      <c r="I679">
        <f t="shared" si="50"/>
        <v>3</v>
      </c>
      <c r="J679" s="12" t="s">
        <v>710</v>
      </c>
      <c r="K679" s="14" t="s">
        <v>1060</v>
      </c>
      <c r="L679" s="29"/>
      <c r="M679" s="14">
        <f>INDEX('Pivot Analysis'!A:B,MATCH(J679,'Pivot Analysis'!B:B,0),1)</f>
        <v>3</v>
      </c>
      <c r="N679" s="14">
        <f>INDEX(Cloc!E:F,MATCH(J679,Cloc!F:F,0),1)</f>
        <v>77.400000000000006</v>
      </c>
      <c r="O679" s="14">
        <f t="shared" si="49"/>
        <v>3</v>
      </c>
      <c r="P679" s="14">
        <f>O679/Q679</f>
        <v>1</v>
      </c>
      <c r="Q679">
        <f>MAX(1,SUMPRODUCT($R$1:$AD$1,R679:AD679))</f>
        <v>3</v>
      </c>
      <c r="Y679">
        <v>1</v>
      </c>
    </row>
    <row r="680" spans="1:25" x14ac:dyDescent="0.25">
      <c r="A680" s="25" t="str">
        <f t="shared" si="51"/>
        <v>website_livechat;base.group_user;20;40;60;60;60;60;60;60</v>
      </c>
      <c r="B680">
        <f t="shared" si="48"/>
        <v>20</v>
      </c>
      <c r="C680">
        <f t="shared" si="50"/>
        <v>40</v>
      </c>
      <c r="D680">
        <f t="shared" si="50"/>
        <v>60</v>
      </c>
      <c r="E680">
        <f t="shared" si="50"/>
        <v>60</v>
      </c>
      <c r="F680">
        <f t="shared" si="50"/>
        <v>60</v>
      </c>
      <c r="G680">
        <f t="shared" si="50"/>
        <v>60</v>
      </c>
      <c r="H680">
        <f t="shared" si="50"/>
        <v>60</v>
      </c>
      <c r="I680">
        <f t="shared" si="50"/>
        <v>60</v>
      </c>
      <c r="J680" s="12" t="s">
        <v>711</v>
      </c>
      <c r="K680" s="14" t="s">
        <v>1060</v>
      </c>
      <c r="L680" s="29"/>
      <c r="M680" s="14">
        <f>INDEX('Pivot Analysis'!A:B,MATCH(J680,'Pivot Analysis'!B:B,0),1)</f>
        <v>60</v>
      </c>
      <c r="N680" s="14">
        <f>INDEX(Cloc!E:F,MATCH(J680,Cloc!F:F,0),1)</f>
        <v>66.960000000000008</v>
      </c>
      <c r="O680" s="14">
        <f t="shared" si="49"/>
        <v>60</v>
      </c>
      <c r="P680" s="14">
        <f>O680/Q680</f>
        <v>20</v>
      </c>
      <c r="Q680">
        <f>MAX(1,SUMPRODUCT($R$1:$AD$1,R680:AD680))</f>
        <v>3</v>
      </c>
      <c r="Y680">
        <v>1</v>
      </c>
    </row>
    <row r="681" spans="1:25" x14ac:dyDescent="0.25">
      <c r="A681" s="25" t="str">
        <f t="shared" si="51"/>
        <v>website_mail;base.group_user;0,6;1,2;1,8;2,4;3;3;3;3</v>
      </c>
      <c r="B681">
        <f t="shared" si="48"/>
        <v>0.6</v>
      </c>
      <c r="C681">
        <f t="shared" si="50"/>
        <v>1.2</v>
      </c>
      <c r="D681">
        <f t="shared" si="50"/>
        <v>1.7999999999999998</v>
      </c>
      <c r="E681">
        <f t="shared" si="50"/>
        <v>2.4</v>
      </c>
      <c r="F681">
        <f t="shared" si="50"/>
        <v>3</v>
      </c>
      <c r="G681">
        <f t="shared" si="50"/>
        <v>3</v>
      </c>
      <c r="H681">
        <f t="shared" si="50"/>
        <v>3</v>
      </c>
      <c r="I681">
        <f t="shared" si="50"/>
        <v>3</v>
      </c>
      <c r="J681" s="12" t="s">
        <v>712</v>
      </c>
      <c r="K681" s="14" t="s">
        <v>1060</v>
      </c>
      <c r="L681" s="29"/>
      <c r="M681" s="14">
        <f>INDEX('Pivot Analysis'!A:B,MATCH(J681,'Pivot Analysis'!B:B,0),1)</f>
        <v>3</v>
      </c>
      <c r="N681" s="14">
        <f>INDEX(Cloc!E:F,MATCH(J681,Cloc!F:F,0),1)</f>
        <v>20.82</v>
      </c>
      <c r="O681" s="14">
        <f t="shared" si="49"/>
        <v>3</v>
      </c>
      <c r="P681" s="14">
        <f>O681/Q681</f>
        <v>0.6</v>
      </c>
      <c r="Q681">
        <f>MAX(1,SUMPRODUCT($R$1:$AD$1,R681:AD681))</f>
        <v>5</v>
      </c>
      <c r="V681">
        <v>1</v>
      </c>
      <c r="X681" t="str">
        <f>IF(SUM(R681:W681)=0,VLOOKUP(J681,#REF!,1,0),"")</f>
        <v/>
      </c>
      <c r="Y681" t="str">
        <f>IF(SUM(R681:X681)&gt;0,"",VLOOKUP(J681,'Apps-from-odoo'!A:A,1,0))</f>
        <v/>
      </c>
    </row>
    <row r="682" spans="1:25" x14ac:dyDescent="0.25">
      <c r="A682" s="25" t="str">
        <f t="shared" si="51"/>
        <v>website_mail_group;base.group_user;33;33;33;33;33;33;33;33</v>
      </c>
      <c r="B682">
        <f t="shared" si="48"/>
        <v>33</v>
      </c>
      <c r="C682">
        <f t="shared" si="50"/>
        <v>33</v>
      </c>
      <c r="D682">
        <f t="shared" si="50"/>
        <v>33</v>
      </c>
      <c r="E682">
        <f t="shared" si="50"/>
        <v>33</v>
      </c>
      <c r="F682">
        <f t="shared" si="50"/>
        <v>33</v>
      </c>
      <c r="G682">
        <f t="shared" si="50"/>
        <v>33</v>
      </c>
      <c r="H682">
        <f t="shared" si="50"/>
        <v>33</v>
      </c>
      <c r="I682">
        <f t="shared" si="50"/>
        <v>33</v>
      </c>
      <c r="J682" s="12" t="s">
        <v>713</v>
      </c>
      <c r="K682" s="14" t="s">
        <v>1060</v>
      </c>
      <c r="L682" s="29"/>
      <c r="M682" s="14">
        <f>INDEX('Pivot Analysis'!A:B,MATCH(J682,'Pivot Analysis'!B:B,0),1)</f>
        <v>33</v>
      </c>
      <c r="N682" s="14" t="e">
        <f>INDEX(Cloc!E:F,MATCH(J682,Cloc!F:F,0),1)</f>
        <v>#N/A</v>
      </c>
      <c r="O682" s="14">
        <f t="shared" si="49"/>
        <v>33</v>
      </c>
      <c r="P682" s="14">
        <f>O682/Q682</f>
        <v>33</v>
      </c>
      <c r="Q682">
        <f>MAX(1,SUMPRODUCT($R$1:$AD$1,R682:AD682))</f>
        <v>1</v>
      </c>
    </row>
    <row r="683" spans="1:25" x14ac:dyDescent="0.25">
      <c r="A683" s="25" t="str">
        <f t="shared" si="51"/>
        <v>website_mass_mailing;base.group_user;1;2;3;3;3;3;3;3</v>
      </c>
      <c r="B683">
        <f t="shared" si="48"/>
        <v>1</v>
      </c>
      <c r="C683">
        <f t="shared" si="48"/>
        <v>2</v>
      </c>
      <c r="D683">
        <f t="shared" si="48"/>
        <v>3</v>
      </c>
      <c r="E683">
        <f t="shared" si="48"/>
        <v>3</v>
      </c>
      <c r="F683">
        <f t="shared" si="48"/>
        <v>3</v>
      </c>
      <c r="G683">
        <f t="shared" si="48"/>
        <v>3</v>
      </c>
      <c r="H683">
        <f t="shared" si="48"/>
        <v>3</v>
      </c>
      <c r="I683">
        <f t="shared" si="48"/>
        <v>3</v>
      </c>
      <c r="J683" s="12" t="s">
        <v>714</v>
      </c>
      <c r="K683" s="14" t="s">
        <v>1060</v>
      </c>
      <c r="L683" s="29"/>
      <c r="M683" s="14">
        <f>INDEX('Pivot Analysis'!A:B,MATCH(J683,'Pivot Analysis'!B:B,0),1)</f>
        <v>3</v>
      </c>
      <c r="N683" s="14">
        <f>INDEX(Cloc!E:F,MATCH(J683,Cloc!F:F,0),1)</f>
        <v>51.300000000000004</v>
      </c>
      <c r="O683" s="14">
        <f t="shared" si="49"/>
        <v>3</v>
      </c>
      <c r="P683" s="14">
        <f>O683/Q683</f>
        <v>1</v>
      </c>
      <c r="Q683">
        <f>MAX(1,SUMPRODUCT($R$1:$AD$1,R683:AD683))</f>
        <v>3</v>
      </c>
      <c r="Y683">
        <v>1</v>
      </c>
    </row>
    <row r="684" spans="1:25" x14ac:dyDescent="0.25">
      <c r="A684" s="25" t="str">
        <f t="shared" si="51"/>
        <v>website_mass_mailing_sms;base.group_user;11;22;33;33;33;33;33;33</v>
      </c>
      <c r="B684">
        <f t="shared" si="48"/>
        <v>11</v>
      </c>
      <c r="C684">
        <f t="shared" si="48"/>
        <v>22</v>
      </c>
      <c r="D684">
        <f t="shared" si="48"/>
        <v>33</v>
      </c>
      <c r="E684">
        <f t="shared" si="48"/>
        <v>33</v>
      </c>
      <c r="F684">
        <f t="shared" si="48"/>
        <v>33</v>
      </c>
      <c r="G684">
        <f t="shared" si="48"/>
        <v>33</v>
      </c>
      <c r="H684">
        <f t="shared" si="48"/>
        <v>33</v>
      </c>
      <c r="I684">
        <f t="shared" si="48"/>
        <v>33</v>
      </c>
      <c r="J684" s="12" t="s">
        <v>715</v>
      </c>
      <c r="K684" s="14" t="s">
        <v>1060</v>
      </c>
      <c r="L684" s="29"/>
      <c r="M684" s="14">
        <f>INDEX('Pivot Analysis'!A:B,MATCH(J684,'Pivot Analysis'!B:B,0),1)</f>
        <v>33</v>
      </c>
      <c r="N684" s="14">
        <f>INDEX(Cloc!E:F,MATCH(J684,Cloc!F:F,0),1)</f>
        <v>4.5</v>
      </c>
      <c r="O684" s="14">
        <f t="shared" si="49"/>
        <v>33</v>
      </c>
      <c r="P684" s="14">
        <f>O684/Q684</f>
        <v>11</v>
      </c>
      <c r="Q684">
        <f>MAX(1,SUMPRODUCT($R$1:$AD$1,R684:AD684))</f>
        <v>3</v>
      </c>
      <c r="Y684">
        <v>1</v>
      </c>
    </row>
    <row r="685" spans="1:25" x14ac:dyDescent="0.25">
      <c r="A685" s="25" t="str">
        <f t="shared" si="51"/>
        <v>website_membership;base.group_user;3;3;3;3;3;3;3;3</v>
      </c>
      <c r="B685">
        <f t="shared" si="48"/>
        <v>3</v>
      </c>
      <c r="C685">
        <f t="shared" si="48"/>
        <v>3</v>
      </c>
      <c r="D685">
        <f t="shared" si="48"/>
        <v>3</v>
      </c>
      <c r="E685">
        <f t="shared" si="48"/>
        <v>3</v>
      </c>
      <c r="F685">
        <f t="shared" si="48"/>
        <v>3</v>
      </c>
      <c r="G685">
        <f t="shared" si="48"/>
        <v>3</v>
      </c>
      <c r="H685">
        <f t="shared" si="48"/>
        <v>3</v>
      </c>
      <c r="I685">
        <f t="shared" si="48"/>
        <v>3</v>
      </c>
      <c r="J685" s="12" t="s">
        <v>716</v>
      </c>
      <c r="K685" s="14" t="s">
        <v>1060</v>
      </c>
      <c r="L685" s="29"/>
      <c r="M685" s="14">
        <f>INDEX('Pivot Analysis'!A:B,MATCH(J685,'Pivot Analysis'!B:B,0),1)</f>
        <v>3</v>
      </c>
      <c r="N685" s="14" t="e">
        <f>INDEX(Cloc!E:F,MATCH(J685,Cloc!F:F,0),1)</f>
        <v>#N/A</v>
      </c>
      <c r="O685" s="14">
        <f t="shared" si="49"/>
        <v>3</v>
      </c>
      <c r="P685" s="14">
        <f>O685/Q685</f>
        <v>3</v>
      </c>
      <c r="Q685">
        <f>MAX(1,SUMPRODUCT($R$1:$AD$1,R685:AD685))</f>
        <v>1</v>
      </c>
    </row>
    <row r="686" spans="1:25" x14ac:dyDescent="0.25">
      <c r="A686" s="25" t="str">
        <f t="shared" si="51"/>
        <v>website_partner;base.group_user;0;0;0;0;0;0;0;0</v>
      </c>
      <c r="B686">
        <f t="shared" si="48"/>
        <v>0</v>
      </c>
      <c r="C686">
        <f t="shared" si="48"/>
        <v>0</v>
      </c>
      <c r="D686">
        <f t="shared" si="48"/>
        <v>0</v>
      </c>
      <c r="E686">
        <f t="shared" si="48"/>
        <v>0</v>
      </c>
      <c r="F686">
        <f t="shared" si="48"/>
        <v>0</v>
      </c>
      <c r="G686">
        <f t="shared" si="48"/>
        <v>0</v>
      </c>
      <c r="H686">
        <f t="shared" si="48"/>
        <v>0</v>
      </c>
      <c r="I686">
        <f t="shared" si="48"/>
        <v>0</v>
      </c>
      <c r="J686" s="12" t="s">
        <v>717</v>
      </c>
      <c r="K686" s="14" t="s">
        <v>1060</v>
      </c>
      <c r="L686" s="29"/>
      <c r="M686" s="14">
        <f>INDEX('Pivot Analysis'!A:B,MATCH(J686,'Pivot Analysis'!B:B,0),1)</f>
        <v>0</v>
      </c>
      <c r="N686" s="14">
        <f>INDEX(Cloc!E:F,MATCH(J686,Cloc!F:F,0),1)</f>
        <v>7.26</v>
      </c>
      <c r="O686" s="14">
        <f t="shared" si="49"/>
        <v>0</v>
      </c>
      <c r="P686" s="14">
        <f>O686/Q686</f>
        <v>0</v>
      </c>
      <c r="Q686">
        <f>MAX(1,SUMPRODUCT($R$1:$AD$1,R686:AD686))</f>
        <v>5</v>
      </c>
      <c r="X686">
        <v>1</v>
      </c>
      <c r="Y686" t="str">
        <f>IF(SUM(R686:X686)&gt;0,"",VLOOKUP(J686,'Apps-from-odoo'!A:A,1,0))</f>
        <v/>
      </c>
    </row>
    <row r="687" spans="1:25" x14ac:dyDescent="0.25">
      <c r="A687" s="25" t="str">
        <f t="shared" si="51"/>
        <v>website_payment;base.group_user;0,9;1,8;2,7;3,6;4,5;4,5;4,5;4,5</v>
      </c>
      <c r="B687">
        <f t="shared" si="48"/>
        <v>0.9</v>
      </c>
      <c r="C687">
        <f t="shared" si="48"/>
        <v>1.8</v>
      </c>
      <c r="D687">
        <f t="shared" si="48"/>
        <v>2.7</v>
      </c>
      <c r="E687">
        <f t="shared" si="48"/>
        <v>3.6</v>
      </c>
      <c r="F687">
        <f t="shared" si="48"/>
        <v>4.5</v>
      </c>
      <c r="G687">
        <f t="shared" si="48"/>
        <v>4.5</v>
      </c>
      <c r="H687">
        <f t="shared" si="48"/>
        <v>4.5</v>
      </c>
      <c r="I687">
        <f t="shared" si="48"/>
        <v>4.5</v>
      </c>
      <c r="J687" s="12" t="s">
        <v>718</v>
      </c>
      <c r="K687" s="14" t="s">
        <v>1060</v>
      </c>
      <c r="L687" s="29"/>
      <c r="M687" s="14">
        <f>INDEX('Pivot Analysis'!A:B,MATCH(J687,'Pivot Analysis'!B:B,0),1)</f>
        <v>4.5</v>
      </c>
      <c r="N687" s="14">
        <f>INDEX(Cloc!E:F,MATCH(J687,Cloc!F:F,0),1)</f>
        <v>94.14</v>
      </c>
      <c r="O687" s="14">
        <f t="shared" si="49"/>
        <v>4.5</v>
      </c>
      <c r="P687" s="14">
        <f>O687/Q687</f>
        <v>0.9</v>
      </c>
      <c r="Q687">
        <f>MAX(1,SUMPRODUCT($R$1:$AD$1,R687:AD687))</f>
        <v>5</v>
      </c>
      <c r="V687">
        <v>1</v>
      </c>
      <c r="X687" t="str">
        <f>IF(SUM(R687:W687)=0,VLOOKUP(J687,#REF!,1,0),"")</f>
        <v/>
      </c>
      <c r="Y687" t="str">
        <f>IF(SUM(R687:X687)&gt;0,"",VLOOKUP(J687,'Apps-from-odoo'!A:A,1,0))</f>
        <v/>
      </c>
    </row>
    <row r="688" spans="1:25" x14ac:dyDescent="0.25">
      <c r="A688" s="25" t="str">
        <f t="shared" si="51"/>
        <v>website_payment_authorize;base.group_user;33;33;33;33;33;33;33;33</v>
      </c>
      <c r="B688">
        <f t="shared" si="48"/>
        <v>33</v>
      </c>
      <c r="C688">
        <f t="shared" si="48"/>
        <v>33</v>
      </c>
      <c r="D688">
        <f t="shared" si="48"/>
        <v>33</v>
      </c>
      <c r="E688">
        <f t="shared" si="48"/>
        <v>33</v>
      </c>
      <c r="F688">
        <f t="shared" si="48"/>
        <v>33</v>
      </c>
      <c r="G688">
        <f t="shared" si="48"/>
        <v>33</v>
      </c>
      <c r="H688">
        <f t="shared" si="48"/>
        <v>33</v>
      </c>
      <c r="I688">
        <f t="shared" si="48"/>
        <v>33</v>
      </c>
      <c r="J688" s="12" t="s">
        <v>719</v>
      </c>
      <c r="K688" s="14" t="s">
        <v>1060</v>
      </c>
      <c r="L688" s="29"/>
      <c r="M688" s="14">
        <f>INDEX('Pivot Analysis'!A:B,MATCH(J688,'Pivot Analysis'!B:B,0),1)</f>
        <v>33</v>
      </c>
      <c r="N688" s="14" t="e">
        <f>INDEX(Cloc!E:F,MATCH(J688,Cloc!F:F,0),1)</f>
        <v>#N/A</v>
      </c>
      <c r="O688" s="14">
        <f t="shared" si="49"/>
        <v>33</v>
      </c>
      <c r="P688" s="14">
        <f>O688/Q688</f>
        <v>33</v>
      </c>
      <c r="Q688">
        <f>MAX(1,SUMPRODUCT($R$1:$AD$1,R688:AD688))</f>
        <v>1</v>
      </c>
    </row>
    <row r="689" spans="1:26" x14ac:dyDescent="0.25">
      <c r="A689" s="25" t="str">
        <f t="shared" si="51"/>
        <v>website_payment_paypal;base.group_user;180;180;180;180;180;180;180;180</v>
      </c>
      <c r="B689">
        <f t="shared" si="48"/>
        <v>180</v>
      </c>
      <c r="C689">
        <f t="shared" si="48"/>
        <v>180</v>
      </c>
      <c r="D689">
        <f t="shared" si="48"/>
        <v>180</v>
      </c>
      <c r="E689">
        <f t="shared" si="48"/>
        <v>180</v>
      </c>
      <c r="F689">
        <f t="shared" si="48"/>
        <v>180</v>
      </c>
      <c r="G689">
        <f t="shared" si="48"/>
        <v>180</v>
      </c>
      <c r="H689">
        <f t="shared" si="48"/>
        <v>180</v>
      </c>
      <c r="I689">
        <f t="shared" si="48"/>
        <v>180</v>
      </c>
      <c r="J689" s="12" t="s">
        <v>720</v>
      </c>
      <c r="K689" s="14" t="s">
        <v>1060</v>
      </c>
      <c r="L689" s="29"/>
      <c r="M689" s="14">
        <f>INDEX('Pivot Analysis'!A:B,MATCH(J689,'Pivot Analysis'!B:B,0),1)</f>
        <v>180</v>
      </c>
      <c r="N689" s="14" t="e">
        <f>INDEX(Cloc!E:F,MATCH(J689,Cloc!F:F,0),1)</f>
        <v>#N/A</v>
      </c>
      <c r="O689" s="14">
        <f t="shared" si="49"/>
        <v>180</v>
      </c>
      <c r="P689" s="14">
        <f>O689/Q689</f>
        <v>180</v>
      </c>
      <c r="Q689">
        <f>MAX(1,SUMPRODUCT($R$1:$AD$1,R689:AD689))</f>
        <v>1</v>
      </c>
    </row>
    <row r="690" spans="1:26" x14ac:dyDescent="0.25">
      <c r="A690" s="25" t="str">
        <f t="shared" si="51"/>
        <v>website_profile;base.group_user;0;0;0;0;0;0;0;0</v>
      </c>
      <c r="B690">
        <f t="shared" si="48"/>
        <v>0</v>
      </c>
      <c r="C690">
        <f t="shared" si="48"/>
        <v>0</v>
      </c>
      <c r="D690">
        <f t="shared" si="48"/>
        <v>0</v>
      </c>
      <c r="E690">
        <f t="shared" si="48"/>
        <v>0</v>
      </c>
      <c r="F690">
        <f t="shared" si="48"/>
        <v>0</v>
      </c>
      <c r="G690">
        <f t="shared" si="48"/>
        <v>0</v>
      </c>
      <c r="H690">
        <f t="shared" si="48"/>
        <v>0</v>
      </c>
      <c r="I690">
        <f t="shared" si="48"/>
        <v>0</v>
      </c>
      <c r="J690" s="12" t="s">
        <v>721</v>
      </c>
      <c r="K690" s="14" t="s">
        <v>1060</v>
      </c>
      <c r="L690" s="29"/>
      <c r="M690" s="14">
        <f>INDEX('Pivot Analysis'!A:B,MATCH(J690,'Pivot Analysis'!B:B,0),1)</f>
        <v>0</v>
      </c>
      <c r="N690" s="14">
        <f>INDEX(Cloc!E:F,MATCH(J690,Cloc!F:F,0),1)</f>
        <v>103.19999999999999</v>
      </c>
      <c r="O690" s="14">
        <f t="shared" si="49"/>
        <v>0</v>
      </c>
      <c r="P690" s="14">
        <f>O690/Q690</f>
        <v>0</v>
      </c>
      <c r="Q690">
        <f>MAX(1,SUMPRODUCT($R$1:$AD$1,R690:AD690))</f>
        <v>3</v>
      </c>
      <c r="Y690">
        <v>1</v>
      </c>
    </row>
    <row r="691" spans="1:26" x14ac:dyDescent="0.25">
      <c r="A691" s="25" t="str">
        <f t="shared" si="51"/>
        <v>website_project;base.group_user;18,6;37,2;55,8;74,4;93;93;93;93</v>
      </c>
      <c r="B691">
        <f t="shared" si="48"/>
        <v>18.599999999999998</v>
      </c>
      <c r="C691">
        <f t="shared" si="48"/>
        <v>37.199999999999996</v>
      </c>
      <c r="D691">
        <f t="shared" si="48"/>
        <v>55.8</v>
      </c>
      <c r="E691">
        <f t="shared" si="48"/>
        <v>74.399999999999991</v>
      </c>
      <c r="F691">
        <f t="shared" si="48"/>
        <v>92.999999999999986</v>
      </c>
      <c r="G691">
        <f t="shared" si="48"/>
        <v>92.999999999999986</v>
      </c>
      <c r="H691">
        <f t="shared" si="48"/>
        <v>92.999999999999986</v>
      </c>
      <c r="I691">
        <f t="shared" si="48"/>
        <v>92.999999999999986</v>
      </c>
      <c r="J691" s="12" t="s">
        <v>1032</v>
      </c>
      <c r="K691" s="14" t="s">
        <v>1060</v>
      </c>
      <c r="L691" s="29"/>
      <c r="M691" s="14">
        <f>INDEX('Pivot Analysis'!A:B,MATCH(J691,'Pivot Analysis'!B:B,0),1)</f>
        <v>92.999999999999986</v>
      </c>
      <c r="N691" s="14">
        <f>INDEX(Cloc!E:F,MATCH(J691,Cloc!F:F,0),1)</f>
        <v>14.22</v>
      </c>
      <c r="O691" s="14">
        <f t="shared" si="49"/>
        <v>92.999999999999986</v>
      </c>
      <c r="P691" s="14">
        <f>O691/Q691</f>
        <v>18.599999999999998</v>
      </c>
      <c r="Q691">
        <f>MAX(1,SUMPRODUCT($R$1:$AD$1,R691:AD691))</f>
        <v>5</v>
      </c>
      <c r="X691">
        <v>1</v>
      </c>
      <c r="Y691" t="str">
        <f>IF(SUM(R691:X691)&gt;0,"",VLOOKUP(J691,'Apps-from-odoo'!A:A,1,0))</f>
        <v/>
      </c>
    </row>
    <row r="692" spans="1:26" x14ac:dyDescent="0.25">
      <c r="A692" s="25" t="str">
        <f t="shared" si="51"/>
        <v>website_sale;base.group_user;5,64;11,28;16,92;22,56;28,2;28,2;28,2;28,2</v>
      </c>
      <c r="B692">
        <f t="shared" si="48"/>
        <v>5.6400000000000006</v>
      </c>
      <c r="C692">
        <f t="shared" si="48"/>
        <v>11.280000000000001</v>
      </c>
      <c r="D692">
        <f t="shared" si="48"/>
        <v>16.920000000000002</v>
      </c>
      <c r="E692">
        <f t="shared" si="48"/>
        <v>22.560000000000002</v>
      </c>
      <c r="F692">
        <f t="shared" si="48"/>
        <v>28.200000000000003</v>
      </c>
      <c r="G692">
        <f t="shared" si="48"/>
        <v>28.200000000000003</v>
      </c>
      <c r="H692">
        <f t="shared" si="48"/>
        <v>28.200000000000003</v>
      </c>
      <c r="I692">
        <f t="shared" si="48"/>
        <v>28.200000000000003</v>
      </c>
      <c r="J692" s="12" t="s">
        <v>722</v>
      </c>
      <c r="K692" s="14" t="s">
        <v>1060</v>
      </c>
      <c r="L692" s="29"/>
      <c r="M692" s="14">
        <f>INDEX('Pivot Analysis'!A:B,MATCH(J692,'Pivot Analysis'!B:B,0),1)</f>
        <v>28.200000000000003</v>
      </c>
      <c r="N692" s="14">
        <f>INDEX(Cloc!E:F,MATCH(J692,Cloc!F:F,0),1)</f>
        <v>1383.6</v>
      </c>
      <c r="O692" s="14">
        <f t="shared" si="49"/>
        <v>28.200000000000003</v>
      </c>
      <c r="P692" s="14">
        <f>O692/Q692</f>
        <v>5.6400000000000006</v>
      </c>
      <c r="Q692">
        <f>MAX(1,SUMPRODUCT($R$1:$AD$1,R692:AD692))</f>
        <v>5</v>
      </c>
      <c r="X692">
        <v>1</v>
      </c>
      <c r="Y692" t="str">
        <f>IF(SUM(R692:X692)&gt;0,"",VLOOKUP(J692,'Apps-from-odoo'!A:A,1,0))</f>
        <v/>
      </c>
    </row>
    <row r="693" spans="1:26" x14ac:dyDescent="0.25">
      <c r="A693" s="25" t="str">
        <f t="shared" si="51"/>
        <v>website_sale_autocomplete;base.group_user;0;0;0;0;0;0;0;0</v>
      </c>
      <c r="B693">
        <f t="shared" ref="B693:I716" si="52">$P693*MIN($Q693,B$3)</f>
        <v>0</v>
      </c>
      <c r="C693">
        <f t="shared" si="52"/>
        <v>0</v>
      </c>
      <c r="D693">
        <f t="shared" si="52"/>
        <v>0</v>
      </c>
      <c r="E693">
        <f t="shared" si="52"/>
        <v>0</v>
      </c>
      <c r="F693">
        <f t="shared" si="52"/>
        <v>0</v>
      </c>
      <c r="G693">
        <f t="shared" si="52"/>
        <v>0</v>
      </c>
      <c r="H693">
        <f t="shared" si="52"/>
        <v>0</v>
      </c>
      <c r="I693">
        <f t="shared" si="52"/>
        <v>0</v>
      </c>
      <c r="J693" s="12" t="s">
        <v>724</v>
      </c>
      <c r="K693" s="14" t="s">
        <v>1060</v>
      </c>
      <c r="L693" s="29"/>
      <c r="M693" s="14">
        <f>INDEX('Pivot Analysis'!A:B,MATCH(J693,'Pivot Analysis'!B:B,0),1)</f>
        <v>0</v>
      </c>
      <c r="N693" s="14" t="e">
        <f>INDEX(Cloc!E:F,MATCH(J693,Cloc!F:F,0),1)</f>
        <v>#N/A</v>
      </c>
      <c r="O693" s="14">
        <f t="shared" si="49"/>
        <v>0</v>
      </c>
      <c r="P693" s="14">
        <f>O693/Q693</f>
        <v>0</v>
      </c>
      <c r="Q693">
        <f>MAX(1,SUMPRODUCT($R$1:$AD$1,R693:AD693))</f>
        <v>1</v>
      </c>
    </row>
    <row r="694" spans="1:26" x14ac:dyDescent="0.25">
      <c r="A694" s="25" t="str">
        <f t="shared" si="51"/>
        <v>website_sale_collect;base.group_user;111;111;111;111;111;111;111;111</v>
      </c>
      <c r="B694">
        <f t="shared" si="52"/>
        <v>111</v>
      </c>
      <c r="C694">
        <f t="shared" si="52"/>
        <v>111</v>
      </c>
      <c r="D694">
        <f t="shared" si="52"/>
        <v>111</v>
      </c>
      <c r="E694">
        <f t="shared" si="52"/>
        <v>111</v>
      </c>
      <c r="F694">
        <f t="shared" si="52"/>
        <v>111</v>
      </c>
      <c r="G694">
        <f t="shared" si="52"/>
        <v>111</v>
      </c>
      <c r="H694">
        <f t="shared" si="52"/>
        <v>111</v>
      </c>
      <c r="I694">
        <f t="shared" si="52"/>
        <v>111</v>
      </c>
      <c r="J694" s="12" t="s">
        <v>1035</v>
      </c>
      <c r="K694" s="14" t="s">
        <v>1060</v>
      </c>
      <c r="L694" s="29"/>
      <c r="M694" s="14">
        <f>INDEX('Pivot Analysis'!A:B,MATCH(J694,'Pivot Analysis'!B:B,0),1)</f>
        <v>111</v>
      </c>
      <c r="N694" s="14" t="e">
        <f>INDEX(Cloc!E:F,MATCH(J694,Cloc!F:F,0),1)</f>
        <v>#N/A</v>
      </c>
      <c r="O694" s="14">
        <f t="shared" si="49"/>
        <v>111</v>
      </c>
      <c r="P694" s="14">
        <f>O694/Q694</f>
        <v>111</v>
      </c>
      <c r="Q694">
        <f>MAX(1,SUMPRODUCT($R$1:$AD$1,R694:AD694))</f>
        <v>1</v>
      </c>
    </row>
    <row r="695" spans="1:26" x14ac:dyDescent="0.25">
      <c r="A695" s="25" t="str">
        <f t="shared" si="51"/>
        <v>website_sale_comparison;base.group_user;3;3;3;3;3;3;3;3</v>
      </c>
      <c r="B695">
        <f t="shared" si="52"/>
        <v>3</v>
      </c>
      <c r="C695">
        <f t="shared" si="52"/>
        <v>3</v>
      </c>
      <c r="D695">
        <f t="shared" si="52"/>
        <v>3</v>
      </c>
      <c r="E695">
        <f t="shared" si="52"/>
        <v>3</v>
      </c>
      <c r="F695">
        <f t="shared" si="52"/>
        <v>3</v>
      </c>
      <c r="G695">
        <f t="shared" si="52"/>
        <v>3</v>
      </c>
      <c r="H695">
        <f t="shared" si="52"/>
        <v>3</v>
      </c>
      <c r="I695">
        <f t="shared" si="52"/>
        <v>3</v>
      </c>
      <c r="J695" s="12" t="s">
        <v>725</v>
      </c>
      <c r="K695" s="14" t="s">
        <v>1060</v>
      </c>
      <c r="L695" s="29"/>
      <c r="M695" s="14">
        <f>INDEX('Pivot Analysis'!A:B,MATCH(J695,'Pivot Analysis'!B:B,0),1)</f>
        <v>3</v>
      </c>
      <c r="N695" s="14" t="e">
        <f>INDEX(Cloc!E:F,MATCH(J695,Cloc!F:F,0),1)</f>
        <v>#N/A</v>
      </c>
      <c r="O695" s="14">
        <f t="shared" si="49"/>
        <v>3</v>
      </c>
      <c r="P695" s="14">
        <f>O695/Q695</f>
        <v>3</v>
      </c>
      <c r="Q695">
        <f>MAX(1,SUMPRODUCT($R$1:$AD$1,R695:AD695))</f>
        <v>1</v>
      </c>
    </row>
    <row r="696" spans="1:26" x14ac:dyDescent="0.25">
      <c r="A696" s="25" t="str">
        <f t="shared" si="51"/>
        <v>website_sale_comparison_wishlist;base.group_user;33;33;33;33;33;33;33;33</v>
      </c>
      <c r="B696">
        <f t="shared" si="52"/>
        <v>33</v>
      </c>
      <c r="C696">
        <f t="shared" si="52"/>
        <v>33</v>
      </c>
      <c r="D696">
        <f t="shared" si="52"/>
        <v>33</v>
      </c>
      <c r="E696">
        <f t="shared" si="52"/>
        <v>33</v>
      </c>
      <c r="F696">
        <f t="shared" si="52"/>
        <v>33</v>
      </c>
      <c r="G696">
        <f t="shared" si="52"/>
        <v>33</v>
      </c>
      <c r="H696">
        <f t="shared" si="52"/>
        <v>33</v>
      </c>
      <c r="I696">
        <f t="shared" si="52"/>
        <v>33</v>
      </c>
      <c r="J696" s="12" t="s">
        <v>726</v>
      </c>
      <c r="K696" s="14" t="s">
        <v>1060</v>
      </c>
      <c r="L696" s="29"/>
      <c r="M696" s="14">
        <f>INDEX('Pivot Analysis'!A:B,MATCH(J696,'Pivot Analysis'!B:B,0),1)</f>
        <v>33</v>
      </c>
      <c r="N696" s="14" t="e">
        <f>INDEX(Cloc!E:F,MATCH(J696,Cloc!F:F,0),1)</f>
        <v>#N/A</v>
      </c>
      <c r="O696" s="14">
        <f t="shared" si="49"/>
        <v>33</v>
      </c>
      <c r="P696" s="14">
        <f>O696/Q696</f>
        <v>33</v>
      </c>
      <c r="Q696">
        <f>MAX(1,SUMPRODUCT($R$1:$AD$1,R696:AD696))</f>
        <v>1</v>
      </c>
    </row>
    <row r="697" spans="1:26" x14ac:dyDescent="0.25">
      <c r="A697" s="25" t="str">
        <f t="shared" si="51"/>
        <v>website_sale_delivery;base.group_user;0;0;0;0;0;0;0;0</v>
      </c>
      <c r="B697">
        <f t="shared" si="52"/>
        <v>0</v>
      </c>
      <c r="C697">
        <f t="shared" si="52"/>
        <v>0</v>
      </c>
      <c r="D697">
        <f t="shared" si="52"/>
        <v>0</v>
      </c>
      <c r="E697">
        <f t="shared" si="52"/>
        <v>0</v>
      </c>
      <c r="F697">
        <f t="shared" si="52"/>
        <v>0</v>
      </c>
      <c r="G697">
        <f t="shared" si="52"/>
        <v>0</v>
      </c>
      <c r="H697">
        <f t="shared" si="52"/>
        <v>0</v>
      </c>
      <c r="I697">
        <f t="shared" si="52"/>
        <v>0</v>
      </c>
      <c r="J697" s="12" t="s">
        <v>727</v>
      </c>
      <c r="K697" s="14" t="s">
        <v>1060</v>
      </c>
      <c r="L697" s="29"/>
      <c r="M697" s="14">
        <f>INDEX('Pivot Analysis'!A:B,MATCH(J697,'Pivot Analysis'!B:B,0),1)</f>
        <v>0</v>
      </c>
      <c r="N697" s="14" t="e">
        <f>INDEX(Cloc!E:F,MATCH(J697,Cloc!F:F,0),1)</f>
        <v>#N/A</v>
      </c>
      <c r="O697" s="14">
        <f t="shared" si="49"/>
        <v>0</v>
      </c>
      <c r="P697" s="14">
        <f>O697/Q697</f>
        <v>0</v>
      </c>
      <c r="Q697">
        <f>MAX(1,SUMPRODUCT($R$1:$AD$1,R697:AD697))</f>
        <v>1</v>
      </c>
    </row>
    <row r="698" spans="1:26" x14ac:dyDescent="0.25">
      <c r="A698" s="25" t="str">
        <f t="shared" si="51"/>
        <v>website_sale_delivery_mondialrelay;base.group_user;0;0;0;0;0;0;0;0</v>
      </c>
      <c r="B698">
        <f t="shared" si="52"/>
        <v>0</v>
      </c>
      <c r="C698">
        <f t="shared" si="52"/>
        <v>0</v>
      </c>
      <c r="D698">
        <f t="shared" si="52"/>
        <v>0</v>
      </c>
      <c r="E698">
        <f t="shared" si="52"/>
        <v>0</v>
      </c>
      <c r="F698">
        <f t="shared" si="52"/>
        <v>0</v>
      </c>
      <c r="G698">
        <f t="shared" si="52"/>
        <v>0</v>
      </c>
      <c r="H698">
        <f t="shared" si="52"/>
        <v>0</v>
      </c>
      <c r="I698">
        <f t="shared" si="52"/>
        <v>0</v>
      </c>
      <c r="J698" s="12" t="s">
        <v>729</v>
      </c>
      <c r="K698" s="14" t="s">
        <v>1060</v>
      </c>
      <c r="L698" s="29"/>
      <c r="M698" s="14">
        <f>INDEX('Pivot Analysis'!A:B,MATCH(J698,'Pivot Analysis'!B:B,0),1)</f>
        <v>0</v>
      </c>
      <c r="N698" s="14" t="e">
        <f>INDEX(Cloc!E:F,MATCH(J698,Cloc!F:F,0),1)</f>
        <v>#N/A</v>
      </c>
      <c r="O698" s="14">
        <f t="shared" si="49"/>
        <v>0</v>
      </c>
      <c r="P698" s="14">
        <f>O698/Q698</f>
        <v>0</v>
      </c>
      <c r="Q698">
        <f>MAX(1,SUMPRODUCT($R$1:$AD$1,R698:AD698))</f>
        <v>1</v>
      </c>
    </row>
    <row r="699" spans="1:26" x14ac:dyDescent="0.25">
      <c r="A699" s="25" t="str">
        <f t="shared" si="51"/>
        <v>website_sale_digital;base.group_user;0;0;0;0;0;0;0;0</v>
      </c>
      <c r="B699">
        <f t="shared" si="52"/>
        <v>0</v>
      </c>
      <c r="C699">
        <f t="shared" si="52"/>
        <v>0</v>
      </c>
      <c r="D699">
        <f t="shared" si="52"/>
        <v>0</v>
      </c>
      <c r="E699">
        <f t="shared" si="52"/>
        <v>0</v>
      </c>
      <c r="F699">
        <f t="shared" si="52"/>
        <v>0</v>
      </c>
      <c r="G699">
        <f t="shared" si="52"/>
        <v>0</v>
      </c>
      <c r="H699">
        <f t="shared" si="52"/>
        <v>0</v>
      </c>
      <c r="I699">
        <f t="shared" si="52"/>
        <v>0</v>
      </c>
      <c r="J699" s="12" t="s">
        <v>731</v>
      </c>
      <c r="K699" s="14" t="s">
        <v>1060</v>
      </c>
      <c r="L699" s="29"/>
      <c r="M699" s="14">
        <f>INDEX('Pivot Analysis'!A:B,MATCH(J699,'Pivot Analysis'!B:B,0),1)</f>
        <v>0</v>
      </c>
      <c r="N699" s="14" t="e">
        <f>INDEX(Cloc!E:F,MATCH(J699,Cloc!F:F,0),1)</f>
        <v>#N/A</v>
      </c>
      <c r="O699" s="14">
        <f t="shared" si="49"/>
        <v>0</v>
      </c>
      <c r="P699" s="14">
        <f>O699/Q699</f>
        <v>0</v>
      </c>
      <c r="Q699">
        <f>MAX(1,SUMPRODUCT($R$1:$AD$1,R699:AD699))</f>
        <v>1</v>
      </c>
    </row>
    <row r="700" spans="1:26" x14ac:dyDescent="0.25">
      <c r="A700" s="25" t="str">
        <f t="shared" si="51"/>
        <v>website_sale_gelato;base.group_user;1000;1000;1000;1000;1000;1000;1000;1000</v>
      </c>
      <c r="B700">
        <f t="shared" si="52"/>
        <v>1000</v>
      </c>
      <c r="C700">
        <f t="shared" si="52"/>
        <v>1000</v>
      </c>
      <c r="D700">
        <f t="shared" si="52"/>
        <v>1000</v>
      </c>
      <c r="E700">
        <f t="shared" si="52"/>
        <v>1000</v>
      </c>
      <c r="F700">
        <f t="shared" si="52"/>
        <v>1000</v>
      </c>
      <c r="G700">
        <f t="shared" si="52"/>
        <v>1000</v>
      </c>
      <c r="H700">
        <f t="shared" si="52"/>
        <v>1000</v>
      </c>
      <c r="I700">
        <f t="shared" si="52"/>
        <v>1000</v>
      </c>
      <c r="J700" s="14" t="s">
        <v>1110</v>
      </c>
      <c r="K700" s="14" t="s">
        <v>1060</v>
      </c>
      <c r="L700" s="29"/>
      <c r="M700" s="14" t="e">
        <f>INDEX('Pivot Analysis'!A:B,MATCH(J700,'Pivot Analysis'!B:B,0),1)</f>
        <v>#N/A</v>
      </c>
      <c r="N700" s="14" t="e">
        <f>INDEX(Cloc!E:F,MATCH(J700,Cloc!F:F,0),1)</f>
        <v>#N/A</v>
      </c>
      <c r="O700" s="14">
        <f t="shared" si="49"/>
        <v>1000</v>
      </c>
      <c r="P700" s="14">
        <f>O700/Q700</f>
        <v>1000</v>
      </c>
      <c r="Q700">
        <f>MAX(1,SUMPRODUCT($R$1:$AD$1,R700:AD700))</f>
        <v>1</v>
      </c>
      <c r="Z700">
        <v>1</v>
      </c>
    </row>
    <row r="701" spans="1:26" x14ac:dyDescent="0.25">
      <c r="A701" s="25" t="str">
        <f t="shared" si="51"/>
        <v>website_sale_loyalty;base.group_user;0;0;0;0;0;0;0;0</v>
      </c>
      <c r="B701">
        <f t="shared" si="52"/>
        <v>0</v>
      </c>
      <c r="C701">
        <f t="shared" si="52"/>
        <v>0</v>
      </c>
      <c r="D701">
        <f t="shared" si="52"/>
        <v>0</v>
      </c>
      <c r="E701">
        <f t="shared" si="52"/>
        <v>0</v>
      </c>
      <c r="F701">
        <f t="shared" si="52"/>
        <v>0</v>
      </c>
      <c r="G701">
        <f t="shared" si="52"/>
        <v>0</v>
      </c>
      <c r="H701">
        <f t="shared" si="52"/>
        <v>0</v>
      </c>
      <c r="I701">
        <f t="shared" si="52"/>
        <v>0</v>
      </c>
      <c r="J701" s="12" t="s">
        <v>732</v>
      </c>
      <c r="K701" s="14" t="s">
        <v>1060</v>
      </c>
      <c r="L701" s="29"/>
      <c r="M701" s="14">
        <f>INDEX('Pivot Analysis'!A:B,MATCH(J701,'Pivot Analysis'!B:B,0),1)</f>
        <v>0</v>
      </c>
      <c r="N701" s="14" t="e">
        <f>INDEX(Cloc!E:F,MATCH(J701,Cloc!F:F,0),1)</f>
        <v>#N/A</v>
      </c>
      <c r="O701" s="14">
        <f t="shared" si="49"/>
        <v>0</v>
      </c>
      <c r="P701" s="14">
        <f>O701/Q701</f>
        <v>0</v>
      </c>
      <c r="Q701">
        <f>MAX(1,SUMPRODUCT($R$1:$AD$1,R701:AD701))</f>
        <v>1</v>
      </c>
    </row>
    <row r="702" spans="1:26" x14ac:dyDescent="0.25">
      <c r="A702" s="25" t="str">
        <f t="shared" si="51"/>
        <v>website_sale_loyalty_delivery;base.group_user;0;0;0;0;0;0;0;0</v>
      </c>
      <c r="B702">
        <f t="shared" si="52"/>
        <v>0</v>
      </c>
      <c r="C702">
        <f t="shared" si="52"/>
        <v>0</v>
      </c>
      <c r="D702">
        <f t="shared" si="52"/>
        <v>0</v>
      </c>
      <c r="E702">
        <f t="shared" si="52"/>
        <v>0</v>
      </c>
      <c r="F702">
        <f t="shared" si="52"/>
        <v>0</v>
      </c>
      <c r="G702">
        <f t="shared" si="52"/>
        <v>0</v>
      </c>
      <c r="H702">
        <f t="shared" si="52"/>
        <v>0</v>
      </c>
      <c r="I702">
        <f t="shared" si="52"/>
        <v>0</v>
      </c>
      <c r="J702" s="12" t="s">
        <v>733</v>
      </c>
      <c r="K702" s="14" t="s">
        <v>1060</v>
      </c>
      <c r="L702" s="29"/>
      <c r="M702" s="14">
        <f>INDEX('Pivot Analysis'!A:B,MATCH(J702,'Pivot Analysis'!B:B,0),1)</f>
        <v>0</v>
      </c>
      <c r="N702" s="14" t="e">
        <f>INDEX(Cloc!E:F,MATCH(J702,Cloc!F:F,0),1)</f>
        <v>#N/A</v>
      </c>
      <c r="O702" s="14">
        <f t="shared" si="49"/>
        <v>0</v>
      </c>
      <c r="P702" s="14">
        <f>O702/Q702</f>
        <v>0</v>
      </c>
      <c r="Q702">
        <f>MAX(1,SUMPRODUCT($R$1:$AD$1,R702:AD702))</f>
        <v>1</v>
      </c>
    </row>
    <row r="703" spans="1:26" x14ac:dyDescent="0.25">
      <c r="A703" s="25" t="str">
        <f t="shared" si="51"/>
        <v>website_sale_mass_mailing;base.group_user;2,34;4,68;7,02;7,02;7,02;7,02;7,02;7,02</v>
      </c>
      <c r="B703">
        <f t="shared" si="52"/>
        <v>2.34</v>
      </c>
      <c r="C703">
        <f t="shared" si="52"/>
        <v>4.68</v>
      </c>
      <c r="D703">
        <f t="shared" si="52"/>
        <v>7.02</v>
      </c>
      <c r="E703">
        <f t="shared" si="52"/>
        <v>7.02</v>
      </c>
      <c r="F703">
        <f t="shared" si="52"/>
        <v>7.02</v>
      </c>
      <c r="G703">
        <f t="shared" si="52"/>
        <v>7.02</v>
      </c>
      <c r="H703">
        <f t="shared" si="52"/>
        <v>7.02</v>
      </c>
      <c r="I703">
        <f t="shared" si="52"/>
        <v>7.02</v>
      </c>
      <c r="J703" s="14" t="s">
        <v>1067</v>
      </c>
      <c r="K703" s="14" t="s">
        <v>1060</v>
      </c>
      <c r="L703" s="29"/>
      <c r="M703" s="14" t="e">
        <f>INDEX('Pivot Analysis'!A:B,MATCH(J703,'Pivot Analysis'!B:B,0),1)</f>
        <v>#N/A</v>
      </c>
      <c r="N703" s="14">
        <f>INDEX(Cloc!E:F,MATCH(J703,Cloc!F:F,0),1)</f>
        <v>7.02</v>
      </c>
      <c r="O703" s="14">
        <f t="shared" si="49"/>
        <v>7.02</v>
      </c>
      <c r="P703" s="14">
        <f>O703/Q703</f>
        <v>2.34</v>
      </c>
      <c r="Q703">
        <f>MAX(1,SUMPRODUCT($R$1:$AD$1,R703:AD703))</f>
        <v>3</v>
      </c>
      <c r="Y703">
        <v>1</v>
      </c>
    </row>
    <row r="704" spans="1:26" x14ac:dyDescent="0.25">
      <c r="A704" s="25" t="str">
        <f t="shared" si="51"/>
        <v>website_sale_mondialrelay;base.group_user;36;36;36;36;36;36;36;36</v>
      </c>
      <c r="B704">
        <f t="shared" si="52"/>
        <v>36</v>
      </c>
      <c r="C704">
        <f t="shared" si="52"/>
        <v>36</v>
      </c>
      <c r="D704">
        <f t="shared" si="52"/>
        <v>36</v>
      </c>
      <c r="E704">
        <f t="shared" si="52"/>
        <v>36</v>
      </c>
      <c r="F704">
        <f t="shared" si="52"/>
        <v>36</v>
      </c>
      <c r="G704">
        <f t="shared" si="52"/>
        <v>36</v>
      </c>
      <c r="H704">
        <f t="shared" si="52"/>
        <v>36</v>
      </c>
      <c r="I704">
        <f t="shared" si="52"/>
        <v>36</v>
      </c>
      <c r="J704" s="12" t="s">
        <v>735</v>
      </c>
      <c r="K704" s="14" t="s">
        <v>1060</v>
      </c>
      <c r="L704" s="29"/>
      <c r="M704" s="14">
        <f>INDEX('Pivot Analysis'!A:B,MATCH(J704,'Pivot Analysis'!B:B,0),1)</f>
        <v>36</v>
      </c>
      <c r="N704" s="14" t="e">
        <f>INDEX(Cloc!E:F,MATCH(J704,Cloc!F:F,0),1)</f>
        <v>#N/A</v>
      </c>
      <c r="O704" s="14">
        <f t="shared" si="49"/>
        <v>36</v>
      </c>
      <c r="P704" s="14">
        <f>O704/Q704</f>
        <v>36</v>
      </c>
      <c r="Q704">
        <f>MAX(1,SUMPRODUCT($R$1:$AD$1,R704:AD704))</f>
        <v>1</v>
      </c>
    </row>
    <row r="705" spans="1:25" x14ac:dyDescent="0.25">
      <c r="A705" s="25" t="str">
        <f t="shared" si="51"/>
        <v>website_sale_picking;base.group_user;30;30;30;30;30;30;30;30</v>
      </c>
      <c r="B705">
        <f t="shared" si="52"/>
        <v>30</v>
      </c>
      <c r="C705">
        <f t="shared" si="52"/>
        <v>30</v>
      </c>
      <c r="D705">
        <f t="shared" si="52"/>
        <v>30</v>
      </c>
      <c r="E705">
        <f t="shared" si="52"/>
        <v>30</v>
      </c>
      <c r="F705">
        <f t="shared" si="52"/>
        <v>30</v>
      </c>
      <c r="G705">
        <f t="shared" si="52"/>
        <v>30</v>
      </c>
      <c r="H705">
        <f t="shared" si="52"/>
        <v>30</v>
      </c>
      <c r="I705">
        <f t="shared" si="52"/>
        <v>30</v>
      </c>
      <c r="J705" s="12" t="s">
        <v>738</v>
      </c>
      <c r="K705" s="14" t="s">
        <v>1060</v>
      </c>
      <c r="L705" s="29"/>
      <c r="M705" s="14">
        <f>INDEX('Pivot Analysis'!A:B,MATCH(J705,'Pivot Analysis'!B:B,0),1)</f>
        <v>30</v>
      </c>
      <c r="N705" s="14" t="e">
        <f>INDEX(Cloc!E:F,MATCH(J705,Cloc!F:F,0),1)</f>
        <v>#N/A</v>
      </c>
      <c r="O705" s="14">
        <f t="shared" si="49"/>
        <v>30</v>
      </c>
      <c r="P705" s="14">
        <f>O705/Q705</f>
        <v>30</v>
      </c>
      <c r="Q705">
        <f>MAX(1,SUMPRODUCT($R$1:$AD$1,R705:AD705))</f>
        <v>1</v>
      </c>
    </row>
    <row r="706" spans="1:25" x14ac:dyDescent="0.25">
      <c r="A706" s="25" t="str">
        <f t="shared" si="51"/>
        <v>website_sale_product_configurator;base.group_user;33;33;33;33;33;33;33;33</v>
      </c>
      <c r="B706">
        <f t="shared" si="52"/>
        <v>33</v>
      </c>
      <c r="C706">
        <f t="shared" si="52"/>
        <v>33</v>
      </c>
      <c r="D706">
        <f t="shared" si="52"/>
        <v>33</v>
      </c>
      <c r="E706">
        <f t="shared" si="52"/>
        <v>33</v>
      </c>
      <c r="F706">
        <f t="shared" si="52"/>
        <v>33</v>
      </c>
      <c r="G706">
        <f t="shared" si="52"/>
        <v>33</v>
      </c>
      <c r="H706">
        <f t="shared" si="52"/>
        <v>33</v>
      </c>
      <c r="I706">
        <f t="shared" si="52"/>
        <v>33</v>
      </c>
      <c r="J706" s="12" t="s">
        <v>739</v>
      </c>
      <c r="K706" s="14" t="s">
        <v>1060</v>
      </c>
      <c r="L706" s="29"/>
      <c r="M706" s="14">
        <f>INDEX('Pivot Analysis'!A:B,MATCH(J706,'Pivot Analysis'!B:B,0),1)</f>
        <v>33</v>
      </c>
      <c r="N706" s="14" t="e">
        <f>INDEX(Cloc!E:F,MATCH(J706,Cloc!F:F,0),1)</f>
        <v>#N/A</v>
      </c>
      <c r="O706" s="14">
        <f t="shared" si="49"/>
        <v>33</v>
      </c>
      <c r="P706" s="14">
        <f>O706/Q706</f>
        <v>33</v>
      </c>
      <c r="Q706">
        <f>MAX(1,SUMPRODUCT($R$1:$AD$1,R706:AD706))</f>
        <v>1</v>
      </c>
    </row>
    <row r="707" spans="1:25" x14ac:dyDescent="0.25">
      <c r="A707" s="25" t="str">
        <f t="shared" si="51"/>
        <v>website_sale_slides;base.group_user;51;51;51;51;51;51;51;51</v>
      </c>
      <c r="B707">
        <f t="shared" si="52"/>
        <v>51</v>
      </c>
      <c r="C707">
        <f t="shared" si="52"/>
        <v>51</v>
      </c>
      <c r="D707">
        <f t="shared" si="52"/>
        <v>51</v>
      </c>
      <c r="E707">
        <f t="shared" si="52"/>
        <v>51</v>
      </c>
      <c r="F707">
        <f t="shared" si="52"/>
        <v>51</v>
      </c>
      <c r="G707">
        <f t="shared" si="52"/>
        <v>51</v>
      </c>
      <c r="H707">
        <f t="shared" si="52"/>
        <v>51</v>
      </c>
      <c r="I707">
        <f t="shared" si="52"/>
        <v>51</v>
      </c>
      <c r="J707" s="12" t="s">
        <v>741</v>
      </c>
      <c r="K707" s="14" t="s">
        <v>1060</v>
      </c>
      <c r="L707" s="29"/>
      <c r="M707" s="14">
        <f>INDEX('Pivot Analysis'!A:B,MATCH(J707,'Pivot Analysis'!B:B,0),1)</f>
        <v>51</v>
      </c>
      <c r="N707" s="14" t="e">
        <f>INDEX(Cloc!E:F,MATCH(J707,Cloc!F:F,0),1)</f>
        <v>#N/A</v>
      </c>
      <c r="O707" s="14">
        <f t="shared" si="49"/>
        <v>51</v>
      </c>
      <c r="P707" s="14">
        <f>O707/Q707</f>
        <v>51</v>
      </c>
      <c r="Q707">
        <f>MAX(1,SUMPRODUCT($R$1:$AD$1,R707:AD707))</f>
        <v>1</v>
      </c>
    </row>
    <row r="708" spans="1:25" x14ac:dyDescent="0.25">
      <c r="A708" s="25" t="str">
        <f t="shared" si="51"/>
        <v>website_sale_stock;base.group_user;0;0;0;0;0;0;0;0</v>
      </c>
      <c r="B708">
        <f t="shared" si="52"/>
        <v>0</v>
      </c>
      <c r="C708">
        <f t="shared" si="52"/>
        <v>0</v>
      </c>
      <c r="D708">
        <f t="shared" si="52"/>
        <v>0</v>
      </c>
      <c r="E708">
        <f t="shared" si="52"/>
        <v>0</v>
      </c>
      <c r="F708">
        <f t="shared" si="52"/>
        <v>0</v>
      </c>
      <c r="G708">
        <f t="shared" si="52"/>
        <v>0</v>
      </c>
      <c r="H708">
        <f t="shared" si="52"/>
        <v>0</v>
      </c>
      <c r="I708">
        <f t="shared" si="52"/>
        <v>0</v>
      </c>
      <c r="J708" s="12" t="s">
        <v>742</v>
      </c>
      <c r="K708" s="14" t="s">
        <v>1060</v>
      </c>
      <c r="L708" s="29"/>
      <c r="M708" s="14">
        <f>INDEX('Pivot Analysis'!A:B,MATCH(J708,'Pivot Analysis'!B:B,0),1)</f>
        <v>0</v>
      </c>
      <c r="N708" s="14">
        <f>INDEX(Cloc!E:F,MATCH(J708,Cloc!F:F,0),1)</f>
        <v>83.460000000000008</v>
      </c>
      <c r="O708" s="14">
        <f t="shared" si="49"/>
        <v>0</v>
      </c>
      <c r="P708" s="14">
        <f>O708/Q708</f>
        <v>0</v>
      </c>
      <c r="Q708">
        <f>MAX(1,SUMPRODUCT($R$1:$AD$1,R708:AD708))</f>
        <v>5</v>
      </c>
      <c r="X708">
        <v>1</v>
      </c>
      <c r="Y708" t="str">
        <f>IF(SUM(R708:X708)&gt;0,"",VLOOKUP(J708,'Apps-from-odoo'!A:A,1,0))</f>
        <v/>
      </c>
    </row>
    <row r="709" spans="1:25" x14ac:dyDescent="0.25">
      <c r="A709" s="25" t="str">
        <f t="shared" si="51"/>
        <v>website_sale_stock_product_configurator;base.group_user;0;0;0;0;0;0;0;0</v>
      </c>
      <c r="B709">
        <f t="shared" si="52"/>
        <v>0</v>
      </c>
      <c r="C709">
        <f t="shared" si="52"/>
        <v>0</v>
      </c>
      <c r="D709">
        <f t="shared" si="52"/>
        <v>0</v>
      </c>
      <c r="E709">
        <f t="shared" si="52"/>
        <v>0</v>
      </c>
      <c r="F709">
        <f t="shared" si="52"/>
        <v>0</v>
      </c>
      <c r="G709">
        <f t="shared" si="52"/>
        <v>0</v>
      </c>
      <c r="H709">
        <f t="shared" si="52"/>
        <v>0</v>
      </c>
      <c r="I709">
        <f t="shared" si="52"/>
        <v>0</v>
      </c>
      <c r="J709" s="12" t="s">
        <v>743</v>
      </c>
      <c r="K709" s="14" t="s">
        <v>1060</v>
      </c>
      <c r="L709" s="29"/>
      <c r="M709" s="14">
        <f>INDEX('Pivot Analysis'!A:B,MATCH(J709,'Pivot Analysis'!B:B,0),1)</f>
        <v>0</v>
      </c>
      <c r="N709" s="14" t="e">
        <f>INDEX(Cloc!E:F,MATCH(J709,Cloc!F:F,0),1)</f>
        <v>#N/A</v>
      </c>
      <c r="O709" s="14">
        <f t="shared" ref="O709:O716" si="53">IFERROR(IFERROR(IF(L709&lt;&gt;"",L709,M709),N709),$O$1)</f>
        <v>0</v>
      </c>
      <c r="P709" s="14">
        <f>O709/Q709</f>
        <v>0</v>
      </c>
      <c r="Q709">
        <f>MAX(1,SUMPRODUCT($R$1:$AD$1,R709:AD709))</f>
        <v>1</v>
      </c>
    </row>
    <row r="710" spans="1:25" x14ac:dyDescent="0.25">
      <c r="A710" s="25" t="str">
        <f t="shared" si="51"/>
        <v>website_sale_stock_wishlist;base.group_user;0;0;0;0;0;0;0;0</v>
      </c>
      <c r="B710">
        <f t="shared" si="52"/>
        <v>0</v>
      </c>
      <c r="C710">
        <f t="shared" si="52"/>
        <v>0</v>
      </c>
      <c r="D710">
        <f t="shared" si="52"/>
        <v>0</v>
      </c>
      <c r="E710">
        <f t="shared" si="52"/>
        <v>0</v>
      </c>
      <c r="F710">
        <f t="shared" si="52"/>
        <v>0</v>
      </c>
      <c r="G710">
        <f t="shared" si="52"/>
        <v>0</v>
      </c>
      <c r="H710">
        <f t="shared" si="52"/>
        <v>0</v>
      </c>
      <c r="I710">
        <f t="shared" si="52"/>
        <v>0</v>
      </c>
      <c r="J710" s="12" t="s">
        <v>745</v>
      </c>
      <c r="K710" s="14" t="s">
        <v>1060</v>
      </c>
      <c r="L710" s="29"/>
      <c r="M710" s="14">
        <f>INDEX('Pivot Analysis'!A:B,MATCH(J710,'Pivot Analysis'!B:B,0),1)</f>
        <v>0</v>
      </c>
      <c r="N710" s="14" t="e">
        <f>INDEX(Cloc!E:F,MATCH(J710,Cloc!F:F,0),1)</f>
        <v>#N/A</v>
      </c>
      <c r="O710" s="14">
        <f t="shared" si="53"/>
        <v>0</v>
      </c>
      <c r="P710" s="14">
        <f>O710/Q710</f>
        <v>0</v>
      </c>
      <c r="Q710">
        <f>MAX(1,SUMPRODUCT($R$1:$AD$1,R710:AD710))</f>
        <v>1</v>
      </c>
    </row>
    <row r="711" spans="1:25" x14ac:dyDescent="0.25">
      <c r="A711" s="25" t="str">
        <f t="shared" si="51"/>
        <v>website_sale_wishlist;base.group_user;3;3;3;3;3;3;3;3</v>
      </c>
      <c r="B711">
        <f t="shared" si="52"/>
        <v>3</v>
      </c>
      <c r="C711">
        <f t="shared" si="52"/>
        <v>3</v>
      </c>
      <c r="D711">
        <f t="shared" si="52"/>
        <v>3</v>
      </c>
      <c r="E711">
        <f t="shared" si="52"/>
        <v>3</v>
      </c>
      <c r="F711">
        <f t="shared" si="52"/>
        <v>3</v>
      </c>
      <c r="G711">
        <f t="shared" si="52"/>
        <v>3</v>
      </c>
      <c r="H711">
        <f t="shared" si="52"/>
        <v>3</v>
      </c>
      <c r="I711">
        <f t="shared" si="52"/>
        <v>3</v>
      </c>
      <c r="J711" s="12" t="s">
        <v>746</v>
      </c>
      <c r="K711" s="14" t="s">
        <v>1060</v>
      </c>
      <c r="L711" s="29"/>
      <c r="M711" s="14">
        <f>INDEX('Pivot Analysis'!A:B,MATCH(J711,'Pivot Analysis'!B:B,0),1)</f>
        <v>3</v>
      </c>
      <c r="N711" s="14" t="e">
        <f>INDEX(Cloc!E:F,MATCH(J711,Cloc!F:F,0),1)</f>
        <v>#N/A</v>
      </c>
      <c r="O711" s="14">
        <f t="shared" si="53"/>
        <v>3</v>
      </c>
      <c r="P711" s="14">
        <f>O711/Q711</f>
        <v>3</v>
      </c>
      <c r="Q711">
        <f>MAX(1,SUMPRODUCT($R$1:$AD$1,R711:AD711))</f>
        <v>1</v>
      </c>
    </row>
    <row r="712" spans="1:25" x14ac:dyDescent="0.25">
      <c r="A712" s="25" t="str">
        <f t="shared" si="51"/>
        <v>website_slides;base.group_user;2;4;6;6;6;6;6;6</v>
      </c>
      <c r="B712">
        <f t="shared" si="52"/>
        <v>2</v>
      </c>
      <c r="C712">
        <f t="shared" si="52"/>
        <v>4</v>
      </c>
      <c r="D712">
        <f t="shared" si="52"/>
        <v>6</v>
      </c>
      <c r="E712">
        <f t="shared" si="52"/>
        <v>6</v>
      </c>
      <c r="F712">
        <f t="shared" si="52"/>
        <v>6</v>
      </c>
      <c r="G712">
        <f t="shared" si="52"/>
        <v>6</v>
      </c>
      <c r="H712">
        <f t="shared" si="52"/>
        <v>6</v>
      </c>
      <c r="I712">
        <f t="shared" si="52"/>
        <v>6</v>
      </c>
      <c r="J712" s="12" t="s">
        <v>747</v>
      </c>
      <c r="K712" s="14" t="s">
        <v>1060</v>
      </c>
      <c r="L712" s="29"/>
      <c r="M712" s="14">
        <f>INDEX('Pivot Analysis'!A:B,MATCH(J712,'Pivot Analysis'!B:B,0),1)</f>
        <v>6</v>
      </c>
      <c r="N712" s="14">
        <f>INDEX(Cloc!E:F,MATCH(J712,Cloc!F:F,0),1)</f>
        <v>1015.56</v>
      </c>
      <c r="O712" s="14">
        <f t="shared" si="53"/>
        <v>6</v>
      </c>
      <c r="P712" s="14">
        <f>O712/Q712</f>
        <v>2</v>
      </c>
      <c r="Q712">
        <f>MAX(1,SUMPRODUCT($R$1:$AD$1,R712:AD712))</f>
        <v>3</v>
      </c>
      <c r="Y712">
        <v>1</v>
      </c>
    </row>
    <row r="713" spans="1:25" x14ac:dyDescent="0.25">
      <c r="A713" s="25" t="str">
        <f t="shared" ref="A713:A716" si="54">J713&amp;";"&amp;K713&amp;";"&amp;B713&amp;";"&amp;C713&amp;";"&amp;D713&amp;";"&amp;E713&amp;";"&amp;F713&amp;";"&amp;G713&amp;";"&amp;H713&amp;";"&amp;I713</f>
        <v>website_slides_forum;base.group_user;48;48;48;48;48;48;48;48</v>
      </c>
      <c r="B713">
        <f t="shared" si="52"/>
        <v>48</v>
      </c>
      <c r="C713">
        <f t="shared" si="52"/>
        <v>48</v>
      </c>
      <c r="D713">
        <f t="shared" si="52"/>
        <v>48</v>
      </c>
      <c r="E713">
        <f t="shared" si="52"/>
        <v>48</v>
      </c>
      <c r="F713">
        <f t="shared" si="52"/>
        <v>48</v>
      </c>
      <c r="G713">
        <f t="shared" si="52"/>
        <v>48</v>
      </c>
      <c r="H713">
        <f t="shared" si="52"/>
        <v>48</v>
      </c>
      <c r="I713">
        <f t="shared" si="52"/>
        <v>48</v>
      </c>
      <c r="J713" s="12" t="s">
        <v>749</v>
      </c>
      <c r="K713" s="14" t="s">
        <v>1060</v>
      </c>
      <c r="L713" s="29"/>
      <c r="M713" s="14">
        <f>INDEX('Pivot Analysis'!A:B,MATCH(J713,'Pivot Analysis'!B:B,0),1)</f>
        <v>48</v>
      </c>
      <c r="N713" s="14" t="e">
        <f>INDEX(Cloc!E:F,MATCH(J713,Cloc!F:F,0),1)</f>
        <v>#N/A</v>
      </c>
      <c r="O713" s="14">
        <f t="shared" si="53"/>
        <v>48</v>
      </c>
      <c r="P713" s="14">
        <f>O713/Q713</f>
        <v>48</v>
      </c>
      <c r="Q713">
        <f>MAX(1,SUMPRODUCT($R$1:$AD$1,R713:AD713))</f>
        <v>1</v>
      </c>
    </row>
    <row r="714" spans="1:25" x14ac:dyDescent="0.25">
      <c r="A714" s="25" t="str">
        <f t="shared" si="54"/>
        <v>website_slides_survey;base.group_user;11,6;23,2;34,8;34,8;34,8;34,8;34,8;34,8</v>
      </c>
      <c r="B714">
        <f t="shared" si="52"/>
        <v>11.6</v>
      </c>
      <c r="C714">
        <f t="shared" si="52"/>
        <v>23.2</v>
      </c>
      <c r="D714">
        <f t="shared" si="52"/>
        <v>34.799999999999997</v>
      </c>
      <c r="E714">
        <f t="shared" si="52"/>
        <v>34.799999999999997</v>
      </c>
      <c r="F714">
        <f t="shared" si="52"/>
        <v>34.799999999999997</v>
      </c>
      <c r="G714">
        <f t="shared" si="52"/>
        <v>34.799999999999997</v>
      </c>
      <c r="H714">
        <f t="shared" si="52"/>
        <v>34.799999999999997</v>
      </c>
      <c r="I714">
        <f t="shared" si="52"/>
        <v>34.799999999999997</v>
      </c>
      <c r="J714" s="12" t="s">
        <v>750</v>
      </c>
      <c r="K714" s="14" t="s">
        <v>1060</v>
      </c>
      <c r="L714" s="29"/>
      <c r="M714" s="14">
        <f>INDEX('Pivot Analysis'!A:B,MATCH(J714,'Pivot Analysis'!B:B,0),1)</f>
        <v>34.799999999999997</v>
      </c>
      <c r="N714" s="14">
        <f>INDEX(Cloc!E:F,MATCH(J714,Cloc!F:F,0),1)</f>
        <v>93.06</v>
      </c>
      <c r="O714" s="14">
        <f t="shared" si="53"/>
        <v>34.799999999999997</v>
      </c>
      <c r="P714" s="14">
        <f>O714/Q714</f>
        <v>11.6</v>
      </c>
      <c r="Q714">
        <f>MAX(1,SUMPRODUCT($R$1:$AD$1,R714:AD714))</f>
        <v>3</v>
      </c>
      <c r="Y714">
        <v>1</v>
      </c>
    </row>
    <row r="715" spans="1:25" x14ac:dyDescent="0.25">
      <c r="A715" s="25" t="str">
        <f t="shared" si="54"/>
        <v>website_sms;base.group_user;0,6;1,2;1,8;2,4;3;3;3;3</v>
      </c>
      <c r="B715">
        <f t="shared" si="52"/>
        <v>0.6</v>
      </c>
      <c r="C715">
        <f t="shared" si="52"/>
        <v>1.2</v>
      </c>
      <c r="D715">
        <f t="shared" si="52"/>
        <v>1.7999999999999998</v>
      </c>
      <c r="E715">
        <f t="shared" si="52"/>
        <v>2.4</v>
      </c>
      <c r="F715">
        <f t="shared" si="52"/>
        <v>3</v>
      </c>
      <c r="G715">
        <f t="shared" si="52"/>
        <v>3</v>
      </c>
      <c r="H715">
        <f t="shared" si="52"/>
        <v>3</v>
      </c>
      <c r="I715">
        <f t="shared" si="52"/>
        <v>3</v>
      </c>
      <c r="J715" s="12" t="s">
        <v>751</v>
      </c>
      <c r="K715" s="14" t="s">
        <v>1060</v>
      </c>
      <c r="L715" s="29"/>
      <c r="M715" s="14">
        <f>INDEX('Pivot Analysis'!A:B,MATCH(J715,'Pivot Analysis'!B:B,0),1)</f>
        <v>3</v>
      </c>
      <c r="N715" s="14">
        <f>INDEX(Cloc!E:F,MATCH(J715,Cloc!F:F,0),1)</f>
        <v>5.88</v>
      </c>
      <c r="O715" s="14">
        <f t="shared" si="53"/>
        <v>3</v>
      </c>
      <c r="P715" s="14">
        <f>O715/Q715</f>
        <v>0.6</v>
      </c>
      <c r="Q715">
        <f>MAX(1,SUMPRODUCT($R$1:$AD$1,R715:AD715))</f>
        <v>5</v>
      </c>
      <c r="V715">
        <v>1</v>
      </c>
      <c r="X715" t="str">
        <f>IF(SUM(R715:W715)=0,VLOOKUP(J715,#REF!,1,0),"")</f>
        <v/>
      </c>
      <c r="Y715" t="str">
        <f>IF(SUM(R715:X715)&gt;0,"",VLOOKUP(J715,'Apps-from-odoo'!A:A,1,0))</f>
        <v/>
      </c>
    </row>
    <row r="716" spans="1:25" x14ac:dyDescent="0.25">
      <c r="A716" s="25" t="str">
        <f t="shared" si="54"/>
        <v>website_twitter;base.group_user;33;33;33;33;33;33;33;33</v>
      </c>
      <c r="B716">
        <f t="shared" si="52"/>
        <v>33</v>
      </c>
      <c r="C716">
        <f t="shared" si="52"/>
        <v>33</v>
      </c>
      <c r="D716">
        <f t="shared" si="52"/>
        <v>33</v>
      </c>
      <c r="E716">
        <f t="shared" si="52"/>
        <v>33</v>
      </c>
      <c r="F716">
        <f t="shared" si="52"/>
        <v>33</v>
      </c>
      <c r="G716">
        <f t="shared" si="52"/>
        <v>33</v>
      </c>
      <c r="H716">
        <f t="shared" si="52"/>
        <v>33</v>
      </c>
      <c r="I716">
        <f t="shared" si="52"/>
        <v>33</v>
      </c>
      <c r="J716" s="12" t="s">
        <v>752</v>
      </c>
      <c r="K716" s="14" t="s">
        <v>1060</v>
      </c>
      <c r="L716" s="29"/>
      <c r="M716" s="14">
        <f>INDEX('Pivot Analysis'!A:B,MATCH(J716,'Pivot Analysis'!B:B,0),1)</f>
        <v>33</v>
      </c>
      <c r="N716" s="14" t="e">
        <f>INDEX(Cloc!E:F,MATCH(J716,Cloc!F:F,0),1)</f>
        <v>#N/A</v>
      </c>
      <c r="O716" s="14">
        <f t="shared" si="53"/>
        <v>33</v>
      </c>
      <c r="P716" s="14">
        <f>O716/Q716</f>
        <v>33</v>
      </c>
      <c r="Q716">
        <f>MAX(1,SUMPRODUCT($R$1:$AD$1,R716:AD716))</f>
        <v>1</v>
      </c>
    </row>
  </sheetData>
  <autoFilter ref="J3:AB716" xr:uid="{93CC760E-9A00-4322-8563-7F365BBD0BB6}">
    <sortState xmlns:xlrd2="http://schemas.microsoft.com/office/spreadsheetml/2017/richdata2" ref="J4:AB716">
      <sortCondition ref="J3:J716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E8EF-FA0D-43EE-A376-891C08C4CFCC}">
  <sheetPr filterMode="1"/>
  <dimension ref="A1:B627"/>
  <sheetViews>
    <sheetView workbookViewId="0"/>
  </sheetViews>
  <sheetFormatPr baseColWidth="10" defaultRowHeight="15" x14ac:dyDescent="0.25"/>
  <cols>
    <col min="1" max="1" width="30.7109375" customWidth="1"/>
    <col min="2" max="2" width="42" bestFit="1" customWidth="1"/>
  </cols>
  <sheetData>
    <row r="1" spans="1:2" x14ac:dyDescent="0.25">
      <c r="A1" s="10" t="s">
        <v>1048</v>
      </c>
      <c r="B1" s="10" t="s">
        <v>1159</v>
      </c>
    </row>
    <row r="2" spans="1:2" hidden="1" x14ac:dyDescent="0.25">
      <c r="A2" s="14" t="s">
        <v>0</v>
      </c>
      <c r="B2" t="str">
        <f>VLOOKUP(A2,Apps!J:J,1,0)</f>
        <v>account</v>
      </c>
    </row>
    <row r="3" spans="1:2" hidden="1" x14ac:dyDescent="0.25">
      <c r="A3" s="14" t="s">
        <v>4</v>
      </c>
      <c r="B3" t="str">
        <f>VLOOKUP(A3,Apps!J:J,1,0)</f>
        <v>account_check_printing</v>
      </c>
    </row>
    <row r="4" spans="1:2" hidden="1" x14ac:dyDescent="0.25">
      <c r="A4" s="14" t="s">
        <v>6</v>
      </c>
      <c r="B4" t="str">
        <f>VLOOKUP(A4,Apps!J:J,1,0)</f>
        <v>account_debit_note</v>
      </c>
    </row>
    <row r="5" spans="1:2" hidden="1" x14ac:dyDescent="0.25">
      <c r="A5" s="14" t="s">
        <v>9</v>
      </c>
      <c r="B5" t="str">
        <f>VLOOKUP(A5,Apps!J:J,1,0)</f>
        <v>account_edi</v>
      </c>
    </row>
    <row r="6" spans="1:2" hidden="1" x14ac:dyDescent="0.25">
      <c r="A6" s="14" t="s">
        <v>11</v>
      </c>
      <c r="B6" t="str">
        <f>VLOOKUP(A6,Apps!J:J,1,0)</f>
        <v>account_edi_proxy_client</v>
      </c>
    </row>
    <row r="7" spans="1:2" hidden="1" x14ac:dyDescent="0.25">
      <c r="A7" s="14" t="s">
        <v>14</v>
      </c>
      <c r="B7" t="str">
        <f>VLOOKUP(A7,Apps!J:J,1,0)</f>
        <v>account_edi_ubl_cii</v>
      </c>
    </row>
    <row r="8" spans="1:2" ht="30" hidden="1" x14ac:dyDescent="0.25">
      <c r="A8" s="14" t="s">
        <v>16</v>
      </c>
      <c r="B8" t="str">
        <f>VLOOKUP(A8,Apps!J:J,1,0)</f>
        <v>account_edi_ubl_cii_tax_extension</v>
      </c>
    </row>
    <row r="9" spans="1:2" hidden="1" x14ac:dyDescent="0.25">
      <c r="A9" s="14" t="s">
        <v>18</v>
      </c>
      <c r="B9" t="str">
        <f>VLOOKUP(A9,Apps!J:J,1,0)</f>
        <v>account_fleet</v>
      </c>
    </row>
    <row r="10" spans="1:2" hidden="1" x14ac:dyDescent="0.25">
      <c r="A10" s="14" t="s">
        <v>20</v>
      </c>
      <c r="B10" t="str">
        <f>VLOOKUP(A10,Apps!J:J,1,0)</f>
        <v>account_payment</v>
      </c>
    </row>
    <row r="11" spans="1:2" hidden="1" x14ac:dyDescent="0.25">
      <c r="A11" s="14" t="s">
        <v>770</v>
      </c>
      <c r="B11" t="str">
        <f>VLOOKUP(A11,Apps!J:J,1,0)</f>
        <v>account_peppol</v>
      </c>
    </row>
    <row r="12" spans="1:2" hidden="1" x14ac:dyDescent="0.25">
      <c r="A12" s="14" t="s">
        <v>773</v>
      </c>
      <c r="B12" t="str">
        <f>VLOOKUP(A12,Apps!J:J,1,0)</f>
        <v>account_qr_code_emv</v>
      </c>
    </row>
    <row r="13" spans="1:2" hidden="1" x14ac:dyDescent="0.25">
      <c r="A13" s="14" t="s">
        <v>24</v>
      </c>
      <c r="B13" t="str">
        <f>VLOOKUP(A13,Apps!J:J,1,0)</f>
        <v>account_qr_code_sepa</v>
      </c>
    </row>
    <row r="14" spans="1:2" hidden="1" x14ac:dyDescent="0.25">
      <c r="A14" s="14" t="s">
        <v>28</v>
      </c>
      <c r="B14" t="str">
        <f>VLOOKUP(A14,Apps!J:J,1,0)</f>
        <v>account_tax_python</v>
      </c>
    </row>
    <row r="15" spans="1:2" hidden="1" x14ac:dyDescent="0.25">
      <c r="A15" s="14" t="s">
        <v>30</v>
      </c>
      <c r="B15" t="str">
        <f>VLOOKUP(A15,Apps!J:J,1,0)</f>
        <v>account_test</v>
      </c>
    </row>
    <row r="16" spans="1:2" hidden="1" x14ac:dyDescent="0.25">
      <c r="A16" s="14" t="s">
        <v>31</v>
      </c>
      <c r="B16" t="str">
        <f>VLOOKUP(A16,Apps!J:J,1,0)</f>
        <v>account_update_tax_tags</v>
      </c>
    </row>
    <row r="17" spans="1:2" hidden="1" x14ac:dyDescent="0.25">
      <c r="A17" s="14" t="s">
        <v>32</v>
      </c>
      <c r="B17" t="str">
        <f>VLOOKUP(A17,Apps!J:J,1,0)</f>
        <v>analytic</v>
      </c>
    </row>
    <row r="18" spans="1:2" hidden="1" x14ac:dyDescent="0.25">
      <c r="A18" s="14" t="s">
        <v>36</v>
      </c>
      <c r="B18" t="str">
        <f>VLOOKUP(A18,Apps!J:J,1,0)</f>
        <v>attachment_indexation</v>
      </c>
    </row>
    <row r="19" spans="1:2" hidden="1" x14ac:dyDescent="0.25">
      <c r="A19" s="14" t="s">
        <v>37</v>
      </c>
      <c r="B19" t="str">
        <f>VLOOKUP(A19,Apps!J:J,1,0)</f>
        <v>auth_ldap</v>
      </c>
    </row>
    <row r="20" spans="1:2" hidden="1" x14ac:dyDescent="0.25">
      <c r="A20" s="14" t="s">
        <v>38</v>
      </c>
      <c r="B20" t="str">
        <f>VLOOKUP(A20,Apps!J:J,1,0)</f>
        <v>auth_oauth</v>
      </c>
    </row>
    <row r="21" spans="1:2" x14ac:dyDescent="0.25">
      <c r="A21" s="14" t="s">
        <v>1085</v>
      </c>
      <c r="B21" t="str">
        <f>VLOOKUP(A21,Apps!J:J,1,0)</f>
        <v>auth_passkey</v>
      </c>
    </row>
    <row r="22" spans="1:2" hidden="1" x14ac:dyDescent="0.25">
      <c r="A22" s="14" t="s">
        <v>39</v>
      </c>
      <c r="B22" t="str">
        <f>VLOOKUP(A22,Apps!J:J,1,0)</f>
        <v>auth_password_policy</v>
      </c>
    </row>
    <row r="23" spans="1:2" hidden="1" x14ac:dyDescent="0.25">
      <c r="A23" s="14" t="s">
        <v>40</v>
      </c>
      <c r="B23" t="str">
        <f>VLOOKUP(A23,Apps!J:J,1,0)</f>
        <v>auth_password_policy_portal</v>
      </c>
    </row>
    <row r="24" spans="1:2" hidden="1" x14ac:dyDescent="0.25">
      <c r="A24" s="14" t="s">
        <v>41</v>
      </c>
      <c r="B24" t="str">
        <f>VLOOKUP(A24,Apps!J:J,1,0)</f>
        <v>auth_password_policy_signup</v>
      </c>
    </row>
    <row r="25" spans="1:2" hidden="1" x14ac:dyDescent="0.25">
      <c r="A25" s="14" t="s">
        <v>42</v>
      </c>
      <c r="B25" t="str">
        <f>VLOOKUP(A25,Apps!J:J,1,0)</f>
        <v>auth_signup</v>
      </c>
    </row>
    <row r="26" spans="1:2" hidden="1" x14ac:dyDescent="0.25">
      <c r="A26" s="14" t="s">
        <v>44</v>
      </c>
      <c r="B26" t="str">
        <f>VLOOKUP(A26,Apps!J:J,1,0)</f>
        <v>auth_totp</v>
      </c>
    </row>
    <row r="27" spans="1:2" hidden="1" x14ac:dyDescent="0.25">
      <c r="A27" s="14" t="s">
        <v>45</v>
      </c>
      <c r="B27" t="str">
        <f>VLOOKUP(A27,Apps!J:J,1,0)</f>
        <v>auth_totp_mail</v>
      </c>
    </row>
    <row r="28" spans="1:2" hidden="1" x14ac:dyDescent="0.25">
      <c r="A28" s="14" t="s">
        <v>46</v>
      </c>
      <c r="B28" t="str">
        <f>VLOOKUP(A28,Apps!J:J,1,0)</f>
        <v>auth_totp_mail_enforce</v>
      </c>
    </row>
    <row r="29" spans="1:2" hidden="1" x14ac:dyDescent="0.25">
      <c r="A29" s="14" t="s">
        <v>47</v>
      </c>
      <c r="B29" t="str">
        <f>VLOOKUP(A29,Apps!J:J,1,0)</f>
        <v>auth_totp_portal</v>
      </c>
    </row>
    <row r="30" spans="1:2" hidden="1" x14ac:dyDescent="0.25">
      <c r="A30" s="14" t="s">
        <v>48</v>
      </c>
      <c r="B30" t="str">
        <f>VLOOKUP(A30,Apps!J:J,1,0)</f>
        <v>barcodes</v>
      </c>
    </row>
    <row r="31" spans="1:2" hidden="1" x14ac:dyDescent="0.25">
      <c r="A31" s="14" t="s">
        <v>49</v>
      </c>
      <c r="B31" t="str">
        <f>VLOOKUP(A31,Apps!J:J,1,0)</f>
        <v>barcodes_gs1_nomenclature</v>
      </c>
    </row>
    <row r="32" spans="1:2" hidden="1" x14ac:dyDescent="0.25">
      <c r="A32" s="14" t="s">
        <v>775</v>
      </c>
      <c r="B32" t="str">
        <f>VLOOKUP(A32,Apps!J:J,1,0)</f>
        <v>base</v>
      </c>
    </row>
    <row r="33" spans="1:2" hidden="1" x14ac:dyDescent="0.25">
      <c r="A33" s="14" t="s">
        <v>50</v>
      </c>
      <c r="B33" t="str">
        <f>VLOOKUP(A33,Apps!J:J,1,0)</f>
        <v>base_address_extended</v>
      </c>
    </row>
    <row r="34" spans="1:2" x14ac:dyDescent="0.25">
      <c r="A34" s="14" t="s">
        <v>1137</v>
      </c>
      <c r="B34" t="str">
        <f>VLOOKUP(A34,Apps!J:J,1,0)</f>
        <v>base_app</v>
      </c>
    </row>
    <row r="35" spans="1:2" hidden="1" x14ac:dyDescent="0.25">
      <c r="A35" s="14" t="s">
        <v>51</v>
      </c>
      <c r="B35" t="str">
        <f>VLOOKUP(A35,Apps!J:J,1,0)</f>
        <v>base_automation</v>
      </c>
    </row>
    <row r="36" spans="1:2" x14ac:dyDescent="0.25">
      <c r="A36" s="14" t="s">
        <v>1141</v>
      </c>
      <c r="B36" t="str">
        <f>VLOOKUP(A36,Apps!J:J,1,0)</f>
        <v>base_display_name</v>
      </c>
    </row>
    <row r="37" spans="1:2" hidden="1" x14ac:dyDescent="0.25">
      <c r="A37" s="14" t="s">
        <v>54</v>
      </c>
      <c r="B37" t="str">
        <f>VLOOKUP(A37,Apps!J:J,1,0)</f>
        <v>base_geolocalize</v>
      </c>
    </row>
    <row r="38" spans="1:2" hidden="1" x14ac:dyDescent="0.25">
      <c r="A38" s="14" t="s">
        <v>55</v>
      </c>
      <c r="B38" t="str">
        <f>VLOOKUP(A38,Apps!J:J,1,0)</f>
        <v>base_iban</v>
      </c>
    </row>
    <row r="39" spans="1:2" hidden="1" x14ac:dyDescent="0.25">
      <c r="A39" s="14" t="s">
        <v>56</v>
      </c>
      <c r="B39" t="str">
        <f>VLOOKUP(A39,Apps!J:J,1,0)</f>
        <v>base_import</v>
      </c>
    </row>
    <row r="40" spans="1:2" hidden="1" x14ac:dyDescent="0.25">
      <c r="A40" s="14" t="s">
        <v>58</v>
      </c>
      <c r="B40" t="str">
        <f>VLOOKUP(A40,Apps!J:J,1,0)</f>
        <v>base_import_module</v>
      </c>
    </row>
    <row r="41" spans="1:2" hidden="1" x14ac:dyDescent="0.25">
      <c r="A41" s="14" t="s">
        <v>60</v>
      </c>
      <c r="B41" t="str">
        <f>VLOOKUP(A41,Apps!J:J,1,0)</f>
        <v>base_install_request</v>
      </c>
    </row>
    <row r="42" spans="1:2" hidden="1" x14ac:dyDescent="0.25">
      <c r="A42" s="14" t="s">
        <v>61</v>
      </c>
      <c r="B42" t="str">
        <f>VLOOKUP(A42,Apps!J:J,1,0)</f>
        <v>base_setup</v>
      </c>
    </row>
    <row r="43" spans="1:2" hidden="1" x14ac:dyDescent="0.25">
      <c r="A43" s="14" t="s">
        <v>62</v>
      </c>
      <c r="B43" t="str">
        <f>VLOOKUP(A43,Apps!J:J,1,0)</f>
        <v>base_sparse_field</v>
      </c>
    </row>
    <row r="44" spans="1:2" x14ac:dyDescent="0.25">
      <c r="A44" s="14" t="s">
        <v>1142</v>
      </c>
      <c r="B44" t="str">
        <f>VLOOKUP(A44,Apps!J:J,1,0)</f>
        <v>base_unique_code</v>
      </c>
    </row>
    <row r="45" spans="1:2" hidden="1" x14ac:dyDescent="0.25">
      <c r="A45" s="14" t="s">
        <v>63</v>
      </c>
      <c r="B45" t="str">
        <f>VLOOKUP(A45,Apps!J:J,1,0)</f>
        <v>base_vat</v>
      </c>
    </row>
    <row r="46" spans="1:2" hidden="1" x14ac:dyDescent="0.25">
      <c r="A46" s="14" t="s">
        <v>65</v>
      </c>
      <c r="B46" t="str">
        <f>VLOOKUP(A46,Apps!J:J,1,0)</f>
        <v>board</v>
      </c>
    </row>
    <row r="47" spans="1:2" hidden="1" x14ac:dyDescent="0.25">
      <c r="A47" s="14" t="s">
        <v>66</v>
      </c>
      <c r="B47" t="str">
        <f>VLOOKUP(A47,Apps!J:J,1,0)</f>
        <v>bus</v>
      </c>
    </row>
    <row r="48" spans="1:2" hidden="1" x14ac:dyDescent="0.25">
      <c r="A48" s="14" t="s">
        <v>67</v>
      </c>
      <c r="B48" t="str">
        <f>VLOOKUP(A48,Apps!J:J,1,0)</f>
        <v>calendar</v>
      </c>
    </row>
    <row r="49" spans="1:2" hidden="1" x14ac:dyDescent="0.25">
      <c r="A49" s="14" t="s">
        <v>69</v>
      </c>
      <c r="B49" t="str">
        <f>VLOOKUP(A49,Apps!J:J,1,0)</f>
        <v>calendar_sms</v>
      </c>
    </row>
    <row r="50" spans="1:2" x14ac:dyDescent="0.25">
      <c r="A50" s="14" t="s">
        <v>1086</v>
      </c>
      <c r="B50" t="str">
        <f>VLOOKUP(A50,Apps!J:J,1,0)</f>
        <v>certificate</v>
      </c>
    </row>
    <row r="51" spans="1:2" x14ac:dyDescent="0.25">
      <c r="A51" s="14" t="s">
        <v>1087</v>
      </c>
      <c r="B51" t="str">
        <f>VLOOKUP(A51,Apps!J:J,1,0)</f>
        <v>cloud_storage</v>
      </c>
    </row>
    <row r="52" spans="1:2" x14ac:dyDescent="0.25">
      <c r="A52" s="14" t="s">
        <v>1088</v>
      </c>
      <c r="B52" t="str">
        <f>VLOOKUP(A52,Apps!J:J,1,0)</f>
        <v>cloud_storage_azure</v>
      </c>
    </row>
    <row r="53" spans="1:2" x14ac:dyDescent="0.25">
      <c r="A53" s="14" t="s">
        <v>1089</v>
      </c>
      <c r="B53" t="str">
        <f>VLOOKUP(A53,Apps!J:J,1,0)</f>
        <v>cloud_storage_google</v>
      </c>
    </row>
    <row r="54" spans="1:2" hidden="1" x14ac:dyDescent="0.25">
      <c r="A54" s="14" t="s">
        <v>71</v>
      </c>
      <c r="B54" t="str">
        <f>VLOOKUP(A54,Apps!J:J,1,0)</f>
        <v>contacts</v>
      </c>
    </row>
    <row r="55" spans="1:2" hidden="1" x14ac:dyDescent="0.25">
      <c r="A55" s="14" t="s">
        <v>72</v>
      </c>
      <c r="B55" t="str">
        <f>VLOOKUP(A55,Apps!J:J,1,0)</f>
        <v>crm</v>
      </c>
    </row>
    <row r="56" spans="1:2" hidden="1" x14ac:dyDescent="0.25">
      <c r="A56" s="14" t="s">
        <v>74</v>
      </c>
      <c r="B56" t="str">
        <f>VLOOKUP(A56,Apps!J:J,1,0)</f>
        <v>crm_iap_enrich</v>
      </c>
    </row>
    <row r="57" spans="1:2" hidden="1" x14ac:dyDescent="0.25">
      <c r="A57" s="14" t="s">
        <v>75</v>
      </c>
      <c r="B57" t="str">
        <f>VLOOKUP(A57,Apps!J:J,1,0)</f>
        <v>crm_iap_mine</v>
      </c>
    </row>
    <row r="58" spans="1:2" hidden="1" x14ac:dyDescent="0.25">
      <c r="A58" s="14" t="s">
        <v>76</v>
      </c>
      <c r="B58" t="str">
        <f>VLOOKUP(A58,Apps!J:J,1,0)</f>
        <v>crm_livechat</v>
      </c>
    </row>
    <row r="59" spans="1:2" hidden="1" x14ac:dyDescent="0.25">
      <c r="A59" s="14" t="s">
        <v>77</v>
      </c>
      <c r="B59" t="str">
        <f>VLOOKUP(A59,Apps!J:J,1,0)</f>
        <v>crm_mail_plugin</v>
      </c>
    </row>
    <row r="60" spans="1:2" hidden="1" x14ac:dyDescent="0.25">
      <c r="A60" s="14" t="s">
        <v>78</v>
      </c>
      <c r="B60" t="str">
        <f>VLOOKUP(A60,Apps!J:J,1,0)</f>
        <v>crm_sms</v>
      </c>
    </row>
    <row r="61" spans="1:2" x14ac:dyDescent="0.25">
      <c r="A61" s="14" t="s">
        <v>1143</v>
      </c>
      <c r="B61" t="str">
        <f>VLOOKUP(A61,Apps!J:J,1,0)</f>
        <v>crm_unique_code</v>
      </c>
    </row>
    <row r="62" spans="1:2" hidden="1" x14ac:dyDescent="0.25">
      <c r="A62" s="14" t="s">
        <v>79</v>
      </c>
      <c r="B62" t="str">
        <f>VLOOKUP(A62,Apps!J:J,1,0)</f>
        <v>data_recycle</v>
      </c>
    </row>
    <row r="63" spans="1:2" hidden="1" x14ac:dyDescent="0.25">
      <c r="A63" s="14" t="s">
        <v>80</v>
      </c>
      <c r="B63" t="str">
        <f>VLOOKUP(A63,Apps!J:J,1,0)</f>
        <v>delivery</v>
      </c>
    </row>
    <row r="64" spans="1:2" hidden="1" x14ac:dyDescent="0.25">
      <c r="A64" s="14" t="s">
        <v>82</v>
      </c>
      <c r="B64" t="str">
        <f>VLOOKUP(A64,Apps!J:J,1,0)</f>
        <v>delivery_mondialrelay</v>
      </c>
    </row>
    <row r="65" spans="1:2" hidden="1" x14ac:dyDescent="0.25">
      <c r="A65" s="14" t="s">
        <v>83</v>
      </c>
      <c r="B65" t="str">
        <f>VLOOKUP(A65,Apps!J:J,1,0)</f>
        <v>delivery_stock_picking_batch</v>
      </c>
    </row>
    <row r="66" spans="1:2" hidden="1" x14ac:dyDescent="0.25">
      <c r="A66" s="14" t="s">
        <v>84</v>
      </c>
      <c r="B66" t="str">
        <f>VLOOKUP(A66,Apps!J:J,1,0)</f>
        <v>digest</v>
      </c>
    </row>
    <row r="67" spans="1:2" x14ac:dyDescent="0.25">
      <c r="A67" s="14" t="s">
        <v>1144</v>
      </c>
      <c r="B67" t="str">
        <f>VLOOKUP(A67,Apps!J:J,1,0)</f>
        <v>dms</v>
      </c>
    </row>
    <row r="68" spans="1:2" x14ac:dyDescent="0.25">
      <c r="A68" s="14" t="s">
        <v>1145</v>
      </c>
      <c r="B68" t="str">
        <f>VLOOKUP(A68,Apps!J:J,1,0)</f>
        <v>dms_attachment_link</v>
      </c>
    </row>
    <row r="69" spans="1:2" x14ac:dyDescent="0.25">
      <c r="A69" s="14" t="s">
        <v>1146</v>
      </c>
      <c r="B69" t="str">
        <f>VLOOKUP(A69,Apps!J:J,1,0)</f>
        <v>dms_user_role</v>
      </c>
    </row>
    <row r="70" spans="1:2" hidden="1" x14ac:dyDescent="0.25">
      <c r="A70" s="14" t="s">
        <v>86</v>
      </c>
      <c r="B70" t="str">
        <f>VLOOKUP(A70,Apps!J:J,1,0)</f>
        <v>event</v>
      </c>
    </row>
    <row r="71" spans="1:2" hidden="1" x14ac:dyDescent="0.25">
      <c r="A71" s="14" t="s">
        <v>88</v>
      </c>
      <c r="B71" t="str">
        <f>VLOOKUP(A71,Apps!J:J,1,0)</f>
        <v>event_booth</v>
      </c>
    </row>
    <row r="72" spans="1:2" hidden="1" x14ac:dyDescent="0.25">
      <c r="A72" s="14" t="s">
        <v>91</v>
      </c>
      <c r="B72" t="str">
        <f>VLOOKUP(A72,Apps!J:J,1,0)</f>
        <v>event_booth_sale</v>
      </c>
    </row>
    <row r="73" spans="1:2" hidden="1" x14ac:dyDescent="0.25">
      <c r="A73" s="14" t="s">
        <v>92</v>
      </c>
      <c r="B73" t="str">
        <f>VLOOKUP(A73,Apps!J:J,1,0)</f>
        <v>event_crm</v>
      </c>
    </row>
    <row r="74" spans="1:2" hidden="1" x14ac:dyDescent="0.25">
      <c r="A74" s="14" t="s">
        <v>93</v>
      </c>
      <c r="B74" t="str">
        <f>VLOOKUP(A74,Apps!J:J,1,0)</f>
        <v>event_crm_sale</v>
      </c>
    </row>
    <row r="75" spans="1:2" hidden="1" x14ac:dyDescent="0.25">
      <c r="A75" s="14" t="s">
        <v>1049</v>
      </c>
      <c r="B75" t="str">
        <f>VLOOKUP(A75,Apps!J:J,1,0)</f>
        <v>event_product</v>
      </c>
    </row>
    <row r="76" spans="1:2" hidden="1" x14ac:dyDescent="0.25">
      <c r="A76" s="14" t="s">
        <v>94</v>
      </c>
      <c r="B76" t="str">
        <f>VLOOKUP(A76,Apps!J:J,1,0)</f>
        <v>event_sale</v>
      </c>
    </row>
    <row r="77" spans="1:2" hidden="1" x14ac:dyDescent="0.25">
      <c r="A77" s="14" t="s">
        <v>96</v>
      </c>
      <c r="B77" t="str">
        <f>VLOOKUP(A77,Apps!J:J,1,0)</f>
        <v>event_sms</v>
      </c>
    </row>
    <row r="78" spans="1:2" hidden="1" x14ac:dyDescent="0.25">
      <c r="A78" s="14" t="s">
        <v>97</v>
      </c>
      <c r="B78" t="str">
        <f>VLOOKUP(A78,Apps!J:J,1,0)</f>
        <v>fleet</v>
      </c>
    </row>
    <row r="79" spans="1:2" hidden="1" x14ac:dyDescent="0.25">
      <c r="A79" s="14" t="s">
        <v>99</v>
      </c>
      <c r="B79" t="str">
        <f>VLOOKUP(A79,Apps!J:J,1,0)</f>
        <v>gamification</v>
      </c>
    </row>
    <row r="80" spans="1:2" hidden="1" x14ac:dyDescent="0.25">
      <c r="A80" s="14" t="s">
        <v>101</v>
      </c>
      <c r="B80" t="str">
        <f>VLOOKUP(A80,Apps!J:J,1,0)</f>
        <v>gamification_sale_crm</v>
      </c>
    </row>
    <row r="81" spans="1:2" hidden="1" x14ac:dyDescent="0.25">
      <c r="A81" s="14" t="s">
        <v>102</v>
      </c>
      <c r="B81" t="str">
        <f>VLOOKUP(A81,Apps!J:J,1,0)</f>
        <v>google_account</v>
      </c>
    </row>
    <row r="82" spans="1:2" hidden="1" x14ac:dyDescent="0.25">
      <c r="A82" s="14" t="s">
        <v>103</v>
      </c>
      <c r="B82" t="str">
        <f>VLOOKUP(A82,Apps!J:J,1,0)</f>
        <v>google_calendar</v>
      </c>
    </row>
    <row r="83" spans="1:2" hidden="1" x14ac:dyDescent="0.25">
      <c r="A83" s="14" t="s">
        <v>104</v>
      </c>
      <c r="B83" t="str">
        <f>VLOOKUP(A83,Apps!J:J,1,0)</f>
        <v>google_gmail</v>
      </c>
    </row>
    <row r="84" spans="1:2" hidden="1" x14ac:dyDescent="0.25">
      <c r="A84" s="14" t="s">
        <v>105</v>
      </c>
      <c r="B84" t="str">
        <f>VLOOKUP(A84,Apps!J:J,1,0)</f>
        <v>google_recaptcha</v>
      </c>
    </row>
    <row r="85" spans="1:2" hidden="1" x14ac:dyDescent="0.25">
      <c r="A85" s="14" t="s">
        <v>106</v>
      </c>
      <c r="B85" t="str">
        <f>VLOOKUP(A85,Apps!J:J,1,0)</f>
        <v>hr</v>
      </c>
    </row>
    <row r="86" spans="1:2" hidden="1" x14ac:dyDescent="0.25">
      <c r="A86" s="14" t="s">
        <v>108</v>
      </c>
      <c r="B86" t="str">
        <f>VLOOKUP(A86,Apps!J:J,1,0)</f>
        <v>hr_attendance</v>
      </c>
    </row>
    <row r="87" spans="1:2" hidden="1" x14ac:dyDescent="0.25">
      <c r="A87" s="14" t="s">
        <v>1045</v>
      </c>
      <c r="B87" t="str">
        <f>VLOOKUP(A87,Apps!J:J,1,0)</f>
        <v>hr_calendar</v>
      </c>
    </row>
    <row r="88" spans="1:2" hidden="1" x14ac:dyDescent="0.25">
      <c r="A88" s="14" t="s">
        <v>110</v>
      </c>
      <c r="B88" t="str">
        <f>VLOOKUP(A88,Apps!J:J,1,0)</f>
        <v>hr_contract</v>
      </c>
    </row>
    <row r="89" spans="1:2" hidden="1" x14ac:dyDescent="0.25">
      <c r="A89" s="14" t="s">
        <v>112</v>
      </c>
      <c r="B89" t="str">
        <f>VLOOKUP(A89,Apps!J:J,1,0)</f>
        <v>hr_expense</v>
      </c>
    </row>
    <row r="90" spans="1:2" hidden="1" x14ac:dyDescent="0.25">
      <c r="A90" s="14" t="s">
        <v>114</v>
      </c>
      <c r="B90" t="str">
        <f>VLOOKUP(A90,Apps!J:J,1,0)</f>
        <v>hr_fleet</v>
      </c>
    </row>
    <row r="91" spans="1:2" hidden="1" x14ac:dyDescent="0.25">
      <c r="A91" s="14" t="s">
        <v>117</v>
      </c>
      <c r="B91" t="str">
        <f>VLOOKUP(A91,Apps!J:J,1,0)</f>
        <v>hr_gamification</v>
      </c>
    </row>
    <row r="92" spans="1:2" hidden="1" x14ac:dyDescent="0.25">
      <c r="A92" s="14" t="s">
        <v>118</v>
      </c>
      <c r="B92" t="str">
        <f>VLOOKUP(A92,Apps!J:J,1,0)</f>
        <v>hr_holidays</v>
      </c>
    </row>
    <row r="93" spans="1:2" hidden="1" x14ac:dyDescent="0.25">
      <c r="A93" s="14" t="s">
        <v>120</v>
      </c>
      <c r="B93" t="str">
        <f>VLOOKUP(A93,Apps!J:J,1,0)</f>
        <v>hr_holidays_attendance</v>
      </c>
    </row>
    <row r="94" spans="1:2" hidden="1" x14ac:dyDescent="0.25">
      <c r="A94" s="14" t="s">
        <v>1050</v>
      </c>
      <c r="B94" t="str">
        <f>VLOOKUP(A94,Apps!J:J,1,0)</f>
        <v>hr_holidays_contract</v>
      </c>
    </row>
    <row r="95" spans="1:2" hidden="1" x14ac:dyDescent="0.25">
      <c r="A95" s="14" t="s">
        <v>793</v>
      </c>
      <c r="B95" t="str">
        <f>VLOOKUP(A95,Apps!J:J,1,0)</f>
        <v>hr_homeworking</v>
      </c>
    </row>
    <row r="96" spans="1:2" x14ac:dyDescent="0.25">
      <c r="A96" s="14" t="s">
        <v>1090</v>
      </c>
      <c r="B96" t="str">
        <f>VLOOKUP(A96,Apps!J:J,1,0)</f>
        <v>hr_homeworking_calendar</v>
      </c>
    </row>
    <row r="97" spans="1:2" hidden="1" x14ac:dyDescent="0.25">
      <c r="A97" s="14" t="s">
        <v>122</v>
      </c>
      <c r="B97" t="str">
        <f>VLOOKUP(A97,Apps!J:J,1,0)</f>
        <v>hr_hourly_cost</v>
      </c>
    </row>
    <row r="98" spans="1:2" hidden="1" x14ac:dyDescent="0.25">
      <c r="A98" s="14" t="s">
        <v>795</v>
      </c>
      <c r="B98" t="str">
        <f>VLOOKUP(A98,Apps!J:J,1,0)</f>
        <v>hr_livechat</v>
      </c>
    </row>
    <row r="99" spans="1:2" hidden="1" x14ac:dyDescent="0.25">
      <c r="A99" s="14" t="s">
        <v>123</v>
      </c>
      <c r="B99" t="str">
        <f>VLOOKUP(A99,Apps!J:J,1,0)</f>
        <v>hr_maintenance</v>
      </c>
    </row>
    <row r="100" spans="1:2" hidden="1" x14ac:dyDescent="0.25">
      <c r="A100" s="14" t="s">
        <v>124</v>
      </c>
      <c r="B100" t="str">
        <f>VLOOKUP(A100,Apps!J:J,1,0)</f>
        <v>hr_org_chart</v>
      </c>
    </row>
    <row r="101" spans="1:2" hidden="1" x14ac:dyDescent="0.25">
      <c r="A101" s="14" t="s">
        <v>125</v>
      </c>
      <c r="B101" t="str">
        <f>VLOOKUP(A101,Apps!J:J,1,0)</f>
        <v>hr_presence</v>
      </c>
    </row>
    <row r="102" spans="1:2" hidden="1" x14ac:dyDescent="0.25">
      <c r="A102" s="14" t="s">
        <v>126</v>
      </c>
      <c r="B102" t="str">
        <f>VLOOKUP(A102,Apps!J:J,1,0)</f>
        <v>hr_recruitment</v>
      </c>
    </row>
    <row r="103" spans="1:2" hidden="1" x14ac:dyDescent="0.25">
      <c r="A103" s="14" t="s">
        <v>128</v>
      </c>
      <c r="B103" t="str">
        <f>VLOOKUP(A103,Apps!J:J,1,0)</f>
        <v>hr_recruitment_skills</v>
      </c>
    </row>
    <row r="104" spans="1:2" hidden="1" x14ac:dyDescent="0.25">
      <c r="A104" s="14" t="s">
        <v>129</v>
      </c>
      <c r="B104" t="str">
        <f>VLOOKUP(A104,Apps!J:J,1,0)</f>
        <v>hr_recruitment_survey</v>
      </c>
    </row>
    <row r="105" spans="1:2" hidden="1" x14ac:dyDescent="0.25">
      <c r="A105" s="14" t="s">
        <v>131</v>
      </c>
      <c r="B105" t="str">
        <f>VLOOKUP(A105,Apps!J:J,1,0)</f>
        <v>hr_skills</v>
      </c>
    </row>
    <row r="106" spans="1:2" hidden="1" x14ac:dyDescent="0.25">
      <c r="A106" s="14" t="s">
        <v>134</v>
      </c>
      <c r="B106" t="str">
        <f>VLOOKUP(A106,Apps!J:J,1,0)</f>
        <v>hr_skills_slides</v>
      </c>
    </row>
    <row r="107" spans="1:2" hidden="1" x14ac:dyDescent="0.25">
      <c r="A107" s="14" t="s">
        <v>135</v>
      </c>
      <c r="B107" t="str">
        <f>VLOOKUP(A107,Apps!J:J,1,0)</f>
        <v>hr_skills_survey</v>
      </c>
    </row>
    <row r="108" spans="1:2" hidden="1" x14ac:dyDescent="0.25">
      <c r="A108" s="14" t="s">
        <v>138</v>
      </c>
      <c r="B108" t="str">
        <f>VLOOKUP(A108,Apps!J:J,1,0)</f>
        <v>hr_timesheet</v>
      </c>
    </row>
    <row r="109" spans="1:2" hidden="1" x14ac:dyDescent="0.25">
      <c r="A109" s="14" t="s">
        <v>140</v>
      </c>
      <c r="B109" t="str">
        <f>VLOOKUP(A109,Apps!J:J,1,0)</f>
        <v>hr_timesheet_attendance</v>
      </c>
    </row>
    <row r="110" spans="1:2" hidden="1" x14ac:dyDescent="0.25">
      <c r="A110" s="14" t="s">
        <v>141</v>
      </c>
      <c r="B110" t="str">
        <f>VLOOKUP(A110,Apps!J:J,1,0)</f>
        <v>hr_work_entry</v>
      </c>
    </row>
    <row r="111" spans="1:2" hidden="1" x14ac:dyDescent="0.25">
      <c r="A111" s="14" t="s">
        <v>142</v>
      </c>
      <c r="B111" t="str">
        <f>VLOOKUP(A111,Apps!J:J,1,0)</f>
        <v>hr_work_entry_contract</v>
      </c>
    </row>
    <row r="112" spans="1:2" hidden="1" x14ac:dyDescent="0.25">
      <c r="A112" s="14" t="s">
        <v>143</v>
      </c>
      <c r="B112" t="str">
        <f>VLOOKUP(A112,Apps!J:J,1,0)</f>
        <v>hr_work_entry_holidays</v>
      </c>
    </row>
    <row r="113" spans="1:2" hidden="1" x14ac:dyDescent="0.25">
      <c r="A113" s="14" t="s">
        <v>1042</v>
      </c>
      <c r="B113" t="str">
        <f>VLOOKUP(A113,Apps!J:J,1,0)</f>
        <v>html_editor</v>
      </c>
    </row>
    <row r="114" spans="1:2" hidden="1" x14ac:dyDescent="0.25">
      <c r="A114" s="14" t="s">
        <v>144</v>
      </c>
      <c r="B114" t="str">
        <f>VLOOKUP(A114,Apps!J:J,1,0)</f>
        <v>http_routing</v>
      </c>
    </row>
    <row r="115" spans="1:2" hidden="1" x14ac:dyDescent="0.25">
      <c r="A115" s="14" t="s">
        <v>148</v>
      </c>
      <c r="B115" t="str">
        <f>VLOOKUP(A115,Apps!J:J,1,0)</f>
        <v>iap</v>
      </c>
    </row>
    <row r="116" spans="1:2" hidden="1" x14ac:dyDescent="0.25">
      <c r="A116" s="14" t="s">
        <v>150</v>
      </c>
      <c r="B116" t="str">
        <f>VLOOKUP(A116,Apps!J:J,1,0)</f>
        <v>iap_crm</v>
      </c>
    </row>
    <row r="117" spans="1:2" hidden="1" x14ac:dyDescent="0.25">
      <c r="A117" s="14" t="s">
        <v>151</v>
      </c>
      <c r="B117" t="str">
        <f>VLOOKUP(A117,Apps!J:J,1,0)</f>
        <v>iap_mail</v>
      </c>
    </row>
    <row r="118" spans="1:2" hidden="1" x14ac:dyDescent="0.25">
      <c r="A118" s="14" t="s">
        <v>152</v>
      </c>
      <c r="B118" t="str">
        <f>VLOOKUP(A118,Apps!J:J,1,0)</f>
        <v>im_livechat</v>
      </c>
    </row>
    <row r="119" spans="1:2" hidden="1" x14ac:dyDescent="0.25">
      <c r="A119" s="14" t="s">
        <v>155</v>
      </c>
      <c r="B119" t="str">
        <f>VLOOKUP(A119,Apps!J:J,1,0)</f>
        <v>l10n_account_edi_ubl_cii_tests</v>
      </c>
    </row>
    <row r="120" spans="1:2" hidden="1" x14ac:dyDescent="0.25">
      <c r="A120" s="14" t="s">
        <v>156</v>
      </c>
      <c r="B120" t="str">
        <f>VLOOKUP(A120,Apps!J:J,1,0)</f>
        <v>l10n_ae</v>
      </c>
    </row>
    <row r="121" spans="1:2" hidden="1" x14ac:dyDescent="0.25">
      <c r="A121" s="14" t="s">
        <v>807</v>
      </c>
      <c r="B121" t="str">
        <f>VLOOKUP(A121,Apps!J:J,1,0)</f>
        <v>l10n_anz_ubl_pint</v>
      </c>
    </row>
    <row r="122" spans="1:2" hidden="1" x14ac:dyDescent="0.25">
      <c r="A122" s="14" t="s">
        <v>161</v>
      </c>
      <c r="B122" t="str">
        <f>VLOOKUP(A122,Apps!J:J,1,0)</f>
        <v>l10n_ar</v>
      </c>
    </row>
    <row r="123" spans="1:2" hidden="1" x14ac:dyDescent="0.25">
      <c r="A123" s="14" t="s">
        <v>808</v>
      </c>
      <c r="B123" t="str">
        <f>VLOOKUP(A123,Apps!J:J,1,0)</f>
        <v>l10n_ar_pos</v>
      </c>
    </row>
    <row r="124" spans="1:2" hidden="1" x14ac:dyDescent="0.25">
      <c r="A124" s="14" t="s">
        <v>164</v>
      </c>
      <c r="B124" t="str">
        <f>VLOOKUP(A124,Apps!J:J,1,0)</f>
        <v>l10n_ar_website_sale</v>
      </c>
    </row>
    <row r="125" spans="1:2" hidden="1" x14ac:dyDescent="0.25">
      <c r="A125" s="14" t="s">
        <v>809</v>
      </c>
      <c r="B125" t="str">
        <f>VLOOKUP(A125,Apps!J:J,1,0)</f>
        <v>l10n_ar_withholding</v>
      </c>
    </row>
    <row r="126" spans="1:2" hidden="1" x14ac:dyDescent="0.25">
      <c r="A126" s="14" t="s">
        <v>165</v>
      </c>
      <c r="B126" t="str">
        <f>VLOOKUP(A126,Apps!J:J,1,0)</f>
        <v>l10n_at</v>
      </c>
    </row>
    <row r="127" spans="1:2" hidden="1" x14ac:dyDescent="0.25">
      <c r="A127" s="14" t="s">
        <v>168</v>
      </c>
      <c r="B127" t="str">
        <f>VLOOKUP(A127,Apps!J:J,1,0)</f>
        <v>l10n_au</v>
      </c>
    </row>
    <row r="128" spans="1:2" hidden="1" x14ac:dyDescent="0.25">
      <c r="A128" s="14" t="s">
        <v>813</v>
      </c>
      <c r="B128" t="str">
        <f>VLOOKUP(A128,Apps!J:J,1,0)</f>
        <v>l10n_bd</v>
      </c>
    </row>
    <row r="129" spans="1:2" hidden="1" x14ac:dyDescent="0.25">
      <c r="A129" s="14" t="s">
        <v>171</v>
      </c>
      <c r="B129" t="str">
        <f>VLOOKUP(A129,Apps!J:J,1,0)</f>
        <v>l10n_be</v>
      </c>
    </row>
    <row r="130" spans="1:2" x14ac:dyDescent="0.25">
      <c r="A130" s="14" t="s">
        <v>1091</v>
      </c>
      <c r="B130" t="str">
        <f>VLOOKUP(A130,Apps!J:J,1,0)</f>
        <v>l10n_be_pos_restaurant</v>
      </c>
    </row>
    <row r="131" spans="1:2" hidden="1" x14ac:dyDescent="0.25">
      <c r="A131" s="14" t="s">
        <v>174</v>
      </c>
      <c r="B131" t="str">
        <f>VLOOKUP(A131,Apps!J:J,1,0)</f>
        <v>l10n_be_pos_sale</v>
      </c>
    </row>
    <row r="132" spans="1:2" hidden="1" x14ac:dyDescent="0.25">
      <c r="A132" s="14" t="s">
        <v>814</v>
      </c>
      <c r="B132" t="str">
        <f>VLOOKUP(A132,Apps!J:J,1,0)</f>
        <v>l10n_bf</v>
      </c>
    </row>
    <row r="133" spans="1:2" hidden="1" x14ac:dyDescent="0.25">
      <c r="A133" s="14" t="s">
        <v>175</v>
      </c>
      <c r="B133" t="str">
        <f>VLOOKUP(A133,Apps!J:J,1,0)</f>
        <v>l10n_bg</v>
      </c>
    </row>
    <row r="134" spans="1:2" x14ac:dyDescent="0.25">
      <c r="A134" s="14" t="s">
        <v>1092</v>
      </c>
      <c r="B134" t="str">
        <f>VLOOKUP(A134,Apps!J:J,1,0)</f>
        <v>l10n_bg_ledger</v>
      </c>
    </row>
    <row r="135" spans="1:2" hidden="1" x14ac:dyDescent="0.25">
      <c r="A135" s="14" t="s">
        <v>815</v>
      </c>
      <c r="B135" t="str">
        <f>VLOOKUP(A135,Apps!J:J,1,0)</f>
        <v>l10n_bh</v>
      </c>
    </row>
    <row r="136" spans="1:2" hidden="1" x14ac:dyDescent="0.25">
      <c r="A136" s="14" t="s">
        <v>816</v>
      </c>
      <c r="B136" t="str">
        <f>VLOOKUP(A136,Apps!J:J,1,0)</f>
        <v>l10n_bj</v>
      </c>
    </row>
    <row r="137" spans="1:2" hidden="1" x14ac:dyDescent="0.25">
      <c r="A137" s="14" t="s">
        <v>178</v>
      </c>
      <c r="B137" t="str">
        <f>VLOOKUP(A137,Apps!J:J,1,0)</f>
        <v>l10n_bo</v>
      </c>
    </row>
    <row r="138" spans="1:2" hidden="1" x14ac:dyDescent="0.25">
      <c r="A138" s="14" t="s">
        <v>180</v>
      </c>
      <c r="B138" t="str">
        <f>VLOOKUP(A138,Apps!J:J,1,0)</f>
        <v>l10n_br</v>
      </c>
    </row>
    <row r="139" spans="1:2" hidden="1" x14ac:dyDescent="0.25">
      <c r="A139" s="14" t="s">
        <v>821</v>
      </c>
      <c r="B139" t="str">
        <f>VLOOKUP(A139,Apps!J:J,1,0)</f>
        <v>l10n_br_sales</v>
      </c>
    </row>
    <row r="140" spans="1:2" hidden="1" x14ac:dyDescent="0.25">
      <c r="A140" s="14" t="s">
        <v>822</v>
      </c>
      <c r="B140" t="str">
        <f>VLOOKUP(A140,Apps!J:J,1,0)</f>
        <v>l10n_br_website_sale</v>
      </c>
    </row>
    <row r="141" spans="1:2" hidden="1" x14ac:dyDescent="0.25">
      <c r="A141" s="14" t="s">
        <v>183</v>
      </c>
      <c r="B141" t="str">
        <f>VLOOKUP(A141,Apps!J:J,1,0)</f>
        <v>l10n_ca</v>
      </c>
    </row>
    <row r="142" spans="1:2" hidden="1" x14ac:dyDescent="0.25">
      <c r="A142" s="14" t="s">
        <v>823</v>
      </c>
      <c r="B142" t="str">
        <f>VLOOKUP(A142,Apps!J:J,1,0)</f>
        <v>l10n_cd</v>
      </c>
    </row>
    <row r="143" spans="1:2" hidden="1" x14ac:dyDescent="0.25">
      <c r="A143" s="14" t="s">
        <v>824</v>
      </c>
      <c r="B143" t="str">
        <f>VLOOKUP(A143,Apps!J:J,1,0)</f>
        <v>l10n_cf</v>
      </c>
    </row>
    <row r="144" spans="1:2" hidden="1" x14ac:dyDescent="0.25">
      <c r="A144" s="14" t="s">
        <v>825</v>
      </c>
      <c r="B144" t="str">
        <f>VLOOKUP(A144,Apps!J:J,1,0)</f>
        <v>l10n_cg</v>
      </c>
    </row>
    <row r="145" spans="1:2" hidden="1" x14ac:dyDescent="0.25">
      <c r="A145" s="14" t="s">
        <v>186</v>
      </c>
      <c r="B145" t="str">
        <f>VLOOKUP(A145,Apps!J:J,1,0)</f>
        <v>l10n_ch</v>
      </c>
    </row>
    <row r="146" spans="1:2" hidden="1" x14ac:dyDescent="0.25">
      <c r="A146" s="14" t="s">
        <v>189</v>
      </c>
      <c r="B146" t="str">
        <f>VLOOKUP(A146,Apps!J:J,1,0)</f>
        <v>l10n_ch_pos</v>
      </c>
    </row>
    <row r="147" spans="1:2" hidden="1" x14ac:dyDescent="0.25">
      <c r="A147" s="14" t="s">
        <v>826</v>
      </c>
      <c r="B147" t="str">
        <f>VLOOKUP(A147,Apps!J:J,1,0)</f>
        <v>l10n_ci</v>
      </c>
    </row>
    <row r="148" spans="1:2" hidden="1" x14ac:dyDescent="0.25">
      <c r="A148" s="14" t="s">
        <v>190</v>
      </c>
      <c r="B148" t="str">
        <f>VLOOKUP(A148,Apps!J:J,1,0)</f>
        <v>l10n_cl</v>
      </c>
    </row>
    <row r="149" spans="1:2" hidden="1" x14ac:dyDescent="0.25">
      <c r="A149" s="14" t="s">
        <v>827</v>
      </c>
      <c r="B149" t="str">
        <f>VLOOKUP(A149,Apps!J:J,1,0)</f>
        <v>l10n_cm</v>
      </c>
    </row>
    <row r="150" spans="1:2" hidden="1" x14ac:dyDescent="0.25">
      <c r="A150" s="14" t="s">
        <v>193</v>
      </c>
      <c r="B150" t="str">
        <f>VLOOKUP(A150,Apps!J:J,1,0)</f>
        <v>l10n_cn</v>
      </c>
    </row>
    <row r="151" spans="1:2" hidden="1" x14ac:dyDescent="0.25">
      <c r="A151" s="14" t="s">
        <v>196</v>
      </c>
      <c r="B151" t="str">
        <f>VLOOKUP(A151,Apps!J:J,1,0)</f>
        <v>l10n_cn_city</v>
      </c>
    </row>
    <row r="152" spans="1:2" hidden="1" x14ac:dyDescent="0.25">
      <c r="A152" s="14" t="s">
        <v>197</v>
      </c>
      <c r="B152" t="str">
        <f>VLOOKUP(A152,Apps!J:J,1,0)</f>
        <v>l10n_co</v>
      </c>
    </row>
    <row r="153" spans="1:2" hidden="1" x14ac:dyDescent="0.25">
      <c r="A153" s="14" t="s">
        <v>200</v>
      </c>
      <c r="B153" t="str">
        <f>VLOOKUP(A153,Apps!J:J,1,0)</f>
        <v>l10n_co_pos</v>
      </c>
    </row>
    <row r="154" spans="1:2" hidden="1" x14ac:dyDescent="0.25">
      <c r="A154" s="14" t="s">
        <v>201</v>
      </c>
      <c r="B154" t="str">
        <f>VLOOKUP(A154,Apps!J:J,1,0)</f>
        <v>l10n_cr</v>
      </c>
    </row>
    <row r="155" spans="1:2" hidden="1" x14ac:dyDescent="0.25">
      <c r="A155" s="14" t="s">
        <v>828</v>
      </c>
      <c r="B155" t="str">
        <f>VLOOKUP(A155,Apps!J:J,1,0)</f>
        <v>l10n_cy</v>
      </c>
    </row>
    <row r="156" spans="1:2" hidden="1" x14ac:dyDescent="0.25">
      <c r="A156" s="14" t="s">
        <v>203</v>
      </c>
      <c r="B156" t="str">
        <f>VLOOKUP(A156,Apps!J:J,1,0)</f>
        <v>l10n_cz</v>
      </c>
    </row>
    <row r="157" spans="1:2" hidden="1" x14ac:dyDescent="0.25">
      <c r="A157" s="14" t="s">
        <v>206</v>
      </c>
      <c r="B157" t="str">
        <f>VLOOKUP(A157,Apps!J:J,1,0)</f>
        <v>l10n_de</v>
      </c>
    </row>
    <row r="158" spans="1:2" hidden="1" x14ac:dyDescent="0.25">
      <c r="A158" s="14" t="s">
        <v>212</v>
      </c>
      <c r="B158" t="str">
        <f>VLOOKUP(A158,Apps!J:J,1,0)</f>
        <v>l10n_din5008</v>
      </c>
    </row>
    <row r="159" spans="1:2" hidden="1" x14ac:dyDescent="0.25">
      <c r="A159" s="14" t="s">
        <v>213</v>
      </c>
      <c r="B159" t="str">
        <f>VLOOKUP(A159,Apps!J:J,1,0)</f>
        <v>l10n_din5008_purchase</v>
      </c>
    </row>
    <row r="160" spans="1:2" hidden="1" x14ac:dyDescent="0.25">
      <c r="A160" s="14" t="s">
        <v>214</v>
      </c>
      <c r="B160" t="str">
        <f>VLOOKUP(A160,Apps!J:J,1,0)</f>
        <v>l10n_din5008_repair</v>
      </c>
    </row>
    <row r="161" spans="1:2" hidden="1" x14ac:dyDescent="0.25">
      <c r="A161" s="14" t="s">
        <v>215</v>
      </c>
      <c r="B161" t="str">
        <f>VLOOKUP(A161,Apps!J:J,1,0)</f>
        <v>l10n_din5008_sale</v>
      </c>
    </row>
    <row r="162" spans="1:2" hidden="1" x14ac:dyDescent="0.25">
      <c r="A162" s="14" t="s">
        <v>216</v>
      </c>
      <c r="B162" t="str">
        <f>VLOOKUP(A162,Apps!J:J,1,0)</f>
        <v>l10n_din5008_stock</v>
      </c>
    </row>
    <row r="163" spans="1:2" hidden="1" x14ac:dyDescent="0.25">
      <c r="A163" s="14" t="s">
        <v>217</v>
      </c>
      <c r="B163" t="str">
        <f>VLOOKUP(A163,Apps!J:J,1,0)</f>
        <v>l10n_dk</v>
      </c>
    </row>
    <row r="164" spans="1:2" hidden="1" x14ac:dyDescent="0.25">
      <c r="A164" s="14" t="s">
        <v>835</v>
      </c>
      <c r="B164" t="str">
        <f>VLOOKUP(A164,Apps!J:J,1,0)</f>
        <v>l10n_dk_oioubl</v>
      </c>
    </row>
    <row r="165" spans="1:2" hidden="1" x14ac:dyDescent="0.25">
      <c r="A165" s="14" t="s">
        <v>220</v>
      </c>
      <c r="B165" t="str">
        <f>VLOOKUP(A165,Apps!J:J,1,0)</f>
        <v>l10n_do</v>
      </c>
    </row>
    <row r="166" spans="1:2" hidden="1" x14ac:dyDescent="0.25">
      <c r="A166" s="14" t="s">
        <v>223</v>
      </c>
      <c r="B166" t="str">
        <f>VLOOKUP(A166,Apps!J:J,1,0)</f>
        <v>l10n_dz</v>
      </c>
    </row>
    <row r="167" spans="1:2" hidden="1" x14ac:dyDescent="0.25">
      <c r="A167" s="14" t="s">
        <v>226</v>
      </c>
      <c r="B167" t="str">
        <f>VLOOKUP(A167,Apps!J:J,1,0)</f>
        <v>l10n_ec</v>
      </c>
    </row>
    <row r="168" spans="1:2" hidden="1" x14ac:dyDescent="0.25">
      <c r="A168" s="14" t="s">
        <v>229</v>
      </c>
      <c r="B168" t="str">
        <f>VLOOKUP(A168,Apps!J:J,1,0)</f>
        <v>l10n_ec_stock</v>
      </c>
    </row>
    <row r="169" spans="1:2" hidden="1" x14ac:dyDescent="0.25">
      <c r="A169" s="14" t="s">
        <v>836</v>
      </c>
      <c r="B169" t="str">
        <f>VLOOKUP(A169,Apps!J:J,1,0)</f>
        <v>l10n_ec_website_sale</v>
      </c>
    </row>
    <row r="170" spans="1:2" hidden="1" x14ac:dyDescent="0.25">
      <c r="A170" s="14" t="s">
        <v>230</v>
      </c>
      <c r="B170" t="str">
        <f>VLOOKUP(A170,Apps!J:J,1,0)</f>
        <v>l10n_ee</v>
      </c>
    </row>
    <row r="171" spans="1:2" hidden="1" x14ac:dyDescent="0.25">
      <c r="A171" s="14" t="s">
        <v>232</v>
      </c>
      <c r="B171" t="str">
        <f>VLOOKUP(A171,Apps!J:J,1,0)</f>
        <v>l10n_eg</v>
      </c>
    </row>
    <row r="172" spans="1:2" hidden="1" x14ac:dyDescent="0.25">
      <c r="A172" s="14" t="s">
        <v>235</v>
      </c>
      <c r="B172" t="str">
        <f>VLOOKUP(A172,Apps!J:J,1,0)</f>
        <v>l10n_eg_edi_eta</v>
      </c>
    </row>
    <row r="173" spans="1:2" hidden="1" x14ac:dyDescent="0.25">
      <c r="A173" s="14" t="s">
        <v>236</v>
      </c>
      <c r="B173" t="str">
        <f>VLOOKUP(A173,Apps!J:J,1,0)</f>
        <v>l10n_es</v>
      </c>
    </row>
    <row r="174" spans="1:2" hidden="1" x14ac:dyDescent="0.25">
      <c r="A174" s="14" t="s">
        <v>838</v>
      </c>
      <c r="B174" t="str">
        <f>VLOOKUP(A174,Apps!J:J,1,0)</f>
        <v>l10n_es_edi_facturae</v>
      </c>
    </row>
    <row r="175" spans="1:2" hidden="1" x14ac:dyDescent="0.25">
      <c r="A175" s="14" t="s">
        <v>238</v>
      </c>
      <c r="B175" t="str">
        <f>VLOOKUP(A175,Apps!J:J,1,0)</f>
        <v>l10n_es_edi_sii</v>
      </c>
    </row>
    <row r="176" spans="1:2" hidden="1" x14ac:dyDescent="0.25">
      <c r="A176" s="14" t="s">
        <v>240</v>
      </c>
      <c r="B176" t="str">
        <f>VLOOKUP(A176,Apps!J:J,1,0)</f>
        <v>l10n_es_edi_tbai</v>
      </c>
    </row>
    <row r="177" spans="1:2" hidden="1" x14ac:dyDescent="0.25">
      <c r="A177" s="14" t="s">
        <v>848</v>
      </c>
      <c r="B177" t="str">
        <f>VLOOKUP(A177,Apps!J:J,1,0)</f>
        <v>l10n_es_edi_tbai_pos</v>
      </c>
    </row>
    <row r="178" spans="1:2" hidden="1" x14ac:dyDescent="0.25">
      <c r="A178" s="14" t="s">
        <v>850</v>
      </c>
      <c r="B178" t="str">
        <f>VLOOKUP(A178,Apps!J:J,1,0)</f>
        <v>l10n_es_modelo130</v>
      </c>
    </row>
    <row r="179" spans="1:2" hidden="1" x14ac:dyDescent="0.25">
      <c r="A179" s="14" t="s">
        <v>851</v>
      </c>
      <c r="B179" t="str">
        <f>VLOOKUP(A179,Apps!J:J,1,0)</f>
        <v>l10n_es_pos</v>
      </c>
    </row>
    <row r="180" spans="1:2" hidden="1" x14ac:dyDescent="0.25">
      <c r="A180" s="14" t="s">
        <v>241</v>
      </c>
      <c r="B180" t="str">
        <f>VLOOKUP(A180,Apps!J:J,1,0)</f>
        <v>l10n_et</v>
      </c>
    </row>
    <row r="181" spans="1:2" hidden="1" x14ac:dyDescent="0.25">
      <c r="A181" s="14" t="s">
        <v>244</v>
      </c>
      <c r="B181" t="str">
        <f>VLOOKUP(A181,Apps!J:J,1,0)</f>
        <v>l10n_eu_oss</v>
      </c>
    </row>
    <row r="182" spans="1:2" hidden="1" x14ac:dyDescent="0.25">
      <c r="A182" s="14" t="s">
        <v>245</v>
      </c>
      <c r="B182" t="str">
        <f>VLOOKUP(A182,Apps!J:J,1,0)</f>
        <v>l10n_fi</v>
      </c>
    </row>
    <row r="183" spans="1:2" hidden="1" x14ac:dyDescent="0.25">
      <c r="A183" s="14" t="s">
        <v>247</v>
      </c>
      <c r="B183" t="str">
        <f>VLOOKUP(A183,Apps!J:J,1,0)</f>
        <v>l10n_fi_sale</v>
      </c>
    </row>
    <row r="184" spans="1:2" hidden="1" x14ac:dyDescent="0.25">
      <c r="A184" s="14" t="s">
        <v>248</v>
      </c>
      <c r="B184" t="str">
        <f>VLOOKUP(A184,Apps!J:J,1,0)</f>
        <v>l10n_fr</v>
      </c>
    </row>
    <row r="185" spans="1:2" hidden="1" x14ac:dyDescent="0.25">
      <c r="A185" s="14" t="s">
        <v>856</v>
      </c>
      <c r="B185" t="str">
        <f>VLOOKUP(A185,Apps!J:J,1,0)</f>
        <v>l10n_fr_account</v>
      </c>
    </row>
    <row r="186" spans="1:2" hidden="1" x14ac:dyDescent="0.25">
      <c r="A186" s="14" t="s">
        <v>251</v>
      </c>
      <c r="B186" t="str">
        <f>VLOOKUP(A186,Apps!J:J,1,0)</f>
        <v>l10n_fr_facturx_chorus_pro</v>
      </c>
    </row>
    <row r="187" spans="1:2" hidden="1" x14ac:dyDescent="0.25">
      <c r="A187" s="14" t="s">
        <v>860</v>
      </c>
      <c r="B187" t="str">
        <f>VLOOKUP(A187,Apps!J:J,1,0)</f>
        <v>l10n_fr_hr_holidays</v>
      </c>
    </row>
    <row r="188" spans="1:2" hidden="1" x14ac:dyDescent="0.25">
      <c r="A188" s="14" t="s">
        <v>861</v>
      </c>
      <c r="B188" t="str">
        <f>VLOOKUP(A188,Apps!J:J,1,0)</f>
        <v>l10n_fr_hr_work_entry_holidays</v>
      </c>
    </row>
    <row r="189" spans="1:2" hidden="1" x14ac:dyDescent="0.25">
      <c r="A189" s="14" t="s">
        <v>254</v>
      </c>
      <c r="B189" t="str">
        <f>VLOOKUP(A189,Apps!J:J,1,0)</f>
        <v>l10n_fr_pos_cert</v>
      </c>
    </row>
    <row r="190" spans="1:2" hidden="1" x14ac:dyDescent="0.25">
      <c r="A190" s="14" t="s">
        <v>863</v>
      </c>
      <c r="B190" t="str">
        <f>VLOOKUP(A190,Apps!J:J,1,0)</f>
        <v>l10n_ga</v>
      </c>
    </row>
    <row r="191" spans="1:2" hidden="1" x14ac:dyDescent="0.25">
      <c r="A191" s="14" t="s">
        <v>255</v>
      </c>
      <c r="B191" t="str">
        <f>VLOOKUP(A191,Apps!J:J,1,0)</f>
        <v>l10n_gcc_invoice</v>
      </c>
    </row>
    <row r="192" spans="1:2" hidden="1" x14ac:dyDescent="0.25">
      <c r="A192" s="14" t="s">
        <v>256</v>
      </c>
      <c r="B192" t="str">
        <f>VLOOKUP(A192,Apps!J:J,1,0)</f>
        <v>l10n_gcc_invoice_stock_account</v>
      </c>
    </row>
    <row r="193" spans="1:2" hidden="1" x14ac:dyDescent="0.25">
      <c r="A193" s="14" t="s">
        <v>257</v>
      </c>
      <c r="B193" t="str">
        <f>VLOOKUP(A193,Apps!J:J,1,0)</f>
        <v>l10n_gcc_pos</v>
      </c>
    </row>
    <row r="194" spans="1:2" hidden="1" x14ac:dyDescent="0.25">
      <c r="A194" s="14" t="s">
        <v>864</v>
      </c>
      <c r="B194" t="str">
        <f>VLOOKUP(A194,Apps!J:J,1,0)</f>
        <v>l10n_gn</v>
      </c>
    </row>
    <row r="195" spans="1:2" hidden="1" x14ac:dyDescent="0.25">
      <c r="A195" s="14" t="s">
        <v>865</v>
      </c>
      <c r="B195" t="str">
        <f>VLOOKUP(A195,Apps!J:J,1,0)</f>
        <v>l10n_gq</v>
      </c>
    </row>
    <row r="196" spans="1:2" hidden="1" x14ac:dyDescent="0.25">
      <c r="A196" s="14" t="s">
        <v>259</v>
      </c>
      <c r="B196" t="str">
        <f>VLOOKUP(A196,Apps!J:J,1,0)</f>
        <v>l10n_gr</v>
      </c>
    </row>
    <row r="197" spans="1:2" hidden="1" x14ac:dyDescent="0.25">
      <c r="A197" s="14" t="s">
        <v>262</v>
      </c>
      <c r="B197" t="str">
        <f>VLOOKUP(A197,Apps!J:J,1,0)</f>
        <v>l10n_gt</v>
      </c>
    </row>
    <row r="198" spans="1:2" hidden="1" x14ac:dyDescent="0.25">
      <c r="A198" s="14" t="s">
        <v>866</v>
      </c>
      <c r="B198" t="str">
        <f>VLOOKUP(A198,Apps!J:J,1,0)</f>
        <v>l10n_gw</v>
      </c>
    </row>
    <row r="199" spans="1:2" hidden="1" x14ac:dyDescent="0.25">
      <c r="A199" s="14" t="s">
        <v>265</v>
      </c>
      <c r="B199" t="str">
        <f>VLOOKUP(A199,Apps!J:J,1,0)</f>
        <v>l10n_hk</v>
      </c>
    </row>
    <row r="200" spans="1:2" hidden="1" x14ac:dyDescent="0.25">
      <c r="A200" s="14" t="s">
        <v>267</v>
      </c>
      <c r="B200" t="str">
        <f>VLOOKUP(A200,Apps!J:J,1,0)</f>
        <v>l10n_hn</v>
      </c>
    </row>
    <row r="201" spans="1:2" hidden="1" x14ac:dyDescent="0.25">
      <c r="A201" s="14" t="s">
        <v>269</v>
      </c>
      <c r="B201" t="str">
        <f>VLOOKUP(A201,Apps!J:J,1,0)</f>
        <v>l10n_hr</v>
      </c>
    </row>
    <row r="202" spans="1:2" hidden="1" x14ac:dyDescent="0.25">
      <c r="A202" s="14" t="s">
        <v>867</v>
      </c>
      <c r="B202" t="str">
        <f>VLOOKUP(A202,Apps!J:J,1,0)</f>
        <v>l10n_hr_kuna</v>
      </c>
    </row>
    <row r="203" spans="1:2" hidden="1" x14ac:dyDescent="0.25">
      <c r="A203" s="14" t="s">
        <v>274</v>
      </c>
      <c r="B203" t="str">
        <f>VLOOKUP(A203,Apps!J:J,1,0)</f>
        <v>l10n_hu</v>
      </c>
    </row>
    <row r="204" spans="1:2" hidden="1" x14ac:dyDescent="0.25">
      <c r="A204" s="14" t="s">
        <v>868</v>
      </c>
      <c r="B204" t="str">
        <f>VLOOKUP(A204,Apps!J:J,1,0)</f>
        <v>l10n_hu_edi</v>
      </c>
    </row>
    <row r="205" spans="1:2" hidden="1" x14ac:dyDescent="0.25">
      <c r="A205" s="14" t="s">
        <v>277</v>
      </c>
      <c r="B205" t="str">
        <f>VLOOKUP(A205,Apps!J:J,1,0)</f>
        <v>l10n_id</v>
      </c>
    </row>
    <row r="206" spans="1:2" hidden="1" x14ac:dyDescent="0.25">
      <c r="A206" s="14" t="s">
        <v>279</v>
      </c>
      <c r="B206" t="str">
        <f>VLOOKUP(A206,Apps!J:J,1,0)</f>
        <v>l10n_id_efaktur</v>
      </c>
    </row>
    <row r="207" spans="1:2" hidden="1" x14ac:dyDescent="0.25">
      <c r="A207" s="14" t="s">
        <v>871</v>
      </c>
      <c r="B207" t="str">
        <f>VLOOKUP(A207,Apps!J:J,1,0)</f>
        <v>l10n_id_efaktur_coretax</v>
      </c>
    </row>
    <row r="208" spans="1:2" x14ac:dyDescent="0.25">
      <c r="A208" s="14" t="s">
        <v>1093</v>
      </c>
      <c r="B208" t="str">
        <f>VLOOKUP(A208,Apps!J:J,1,0)</f>
        <v>l10n_id_pos</v>
      </c>
    </row>
    <row r="209" spans="1:2" hidden="1" x14ac:dyDescent="0.25">
      <c r="A209" s="14" t="s">
        <v>280</v>
      </c>
      <c r="B209" t="str">
        <f>VLOOKUP(A209,Apps!J:J,1,0)</f>
        <v>l10n_ie</v>
      </c>
    </row>
    <row r="210" spans="1:2" hidden="1" x14ac:dyDescent="0.25">
      <c r="A210" s="14" t="s">
        <v>283</v>
      </c>
      <c r="B210" t="str">
        <f>VLOOKUP(A210,Apps!J:J,1,0)</f>
        <v>l10n_il</v>
      </c>
    </row>
    <row r="211" spans="1:2" hidden="1" x14ac:dyDescent="0.25">
      <c r="A211" s="14" t="s">
        <v>286</v>
      </c>
      <c r="B211" t="str">
        <f>VLOOKUP(A211,Apps!J:J,1,0)</f>
        <v>l10n_in</v>
      </c>
    </row>
    <row r="212" spans="1:2" hidden="1" x14ac:dyDescent="0.25">
      <c r="A212" s="14" t="s">
        <v>288</v>
      </c>
      <c r="B212" t="str">
        <f>VLOOKUP(A212,Apps!J:J,1,0)</f>
        <v>l10n_in_edi</v>
      </c>
    </row>
    <row r="213" spans="1:2" hidden="1" x14ac:dyDescent="0.25">
      <c r="A213" s="14" t="s">
        <v>289</v>
      </c>
      <c r="B213" t="str">
        <f>VLOOKUP(A213,Apps!J:J,1,0)</f>
        <v>l10n_in_edi_ewaybill</v>
      </c>
    </row>
    <row r="214" spans="1:2" hidden="1" x14ac:dyDescent="0.25">
      <c r="A214" s="14" t="s">
        <v>873</v>
      </c>
      <c r="B214" t="str">
        <f>VLOOKUP(A214,Apps!J:J,1,0)</f>
        <v>l10n_in_ewaybill_stock</v>
      </c>
    </row>
    <row r="215" spans="1:2" x14ac:dyDescent="0.25">
      <c r="A215" s="14" t="s">
        <v>1094</v>
      </c>
      <c r="B215" t="str">
        <f>VLOOKUP(A215,Apps!J:J,1,0)</f>
        <v>l10n_in_gstin_status</v>
      </c>
    </row>
    <row r="216" spans="1:2" x14ac:dyDescent="0.25">
      <c r="A216" s="14" t="s">
        <v>1095</v>
      </c>
      <c r="B216" t="str">
        <f>VLOOKUP(A216,Apps!J:J,1,0)</f>
        <v>l10n_in_hr_holidays</v>
      </c>
    </row>
    <row r="217" spans="1:2" hidden="1" x14ac:dyDescent="0.25">
      <c r="A217" s="14" t="s">
        <v>290</v>
      </c>
      <c r="B217" t="str">
        <f>VLOOKUP(A217,Apps!J:J,1,0)</f>
        <v>l10n_in_pos</v>
      </c>
    </row>
    <row r="218" spans="1:2" hidden="1" x14ac:dyDescent="0.25">
      <c r="A218" s="14" t="s">
        <v>291</v>
      </c>
      <c r="B218" t="str">
        <f>VLOOKUP(A218,Apps!J:J,1,0)</f>
        <v>l10n_in_purchase</v>
      </c>
    </row>
    <row r="219" spans="1:2" hidden="1" x14ac:dyDescent="0.25">
      <c r="A219" s="14" t="s">
        <v>292</v>
      </c>
      <c r="B219" t="str">
        <f>VLOOKUP(A219,Apps!J:J,1,0)</f>
        <v>l10n_in_purchase_stock</v>
      </c>
    </row>
    <row r="220" spans="1:2" hidden="1" x14ac:dyDescent="0.25">
      <c r="A220" s="14" t="s">
        <v>293</v>
      </c>
      <c r="B220" t="str">
        <f>VLOOKUP(A220,Apps!J:J,1,0)</f>
        <v>l10n_in_sale</v>
      </c>
    </row>
    <row r="221" spans="1:2" hidden="1" x14ac:dyDescent="0.25">
      <c r="A221" s="14" t="s">
        <v>294</v>
      </c>
      <c r="B221" t="str">
        <f>VLOOKUP(A221,Apps!J:J,1,0)</f>
        <v>l10n_in_sale_stock</v>
      </c>
    </row>
    <row r="222" spans="1:2" hidden="1" x14ac:dyDescent="0.25">
      <c r="A222" s="14" t="s">
        <v>295</v>
      </c>
      <c r="B222" t="str">
        <f>VLOOKUP(A222,Apps!J:J,1,0)</f>
        <v>l10n_in_stock</v>
      </c>
    </row>
    <row r="223" spans="1:2" hidden="1" x14ac:dyDescent="0.25">
      <c r="A223" s="14" t="s">
        <v>874</v>
      </c>
      <c r="B223" t="str">
        <f>VLOOKUP(A223,Apps!J:J,1,0)</f>
        <v>l10n_in_withholding</v>
      </c>
    </row>
    <row r="224" spans="1:2" x14ac:dyDescent="0.25">
      <c r="A224" s="14" t="s">
        <v>1096</v>
      </c>
      <c r="B224" t="str">
        <f>VLOOKUP(A224,Apps!J:J,1,0)</f>
        <v>l10n_in_withholding_payment</v>
      </c>
    </row>
    <row r="225" spans="1:2" hidden="1" x14ac:dyDescent="0.25">
      <c r="A225" s="14" t="s">
        <v>877</v>
      </c>
      <c r="B225" t="str">
        <f>VLOOKUP(A225,Apps!J:J,1,0)</f>
        <v>l10n_iq</v>
      </c>
    </row>
    <row r="226" spans="1:2" hidden="1" x14ac:dyDescent="0.25">
      <c r="A226" s="14" t="s">
        <v>299</v>
      </c>
      <c r="B226" t="str">
        <f>VLOOKUP(A226,Apps!J:J,1,0)</f>
        <v>l10n_it</v>
      </c>
    </row>
    <row r="227" spans="1:2" hidden="1" x14ac:dyDescent="0.25">
      <c r="A227" s="14" t="s">
        <v>302</v>
      </c>
      <c r="B227" t="str">
        <f>VLOOKUP(A227,Apps!J:J,1,0)</f>
        <v>l10n_it_edi</v>
      </c>
    </row>
    <row r="228" spans="1:2" hidden="1" x14ac:dyDescent="0.25">
      <c r="A228" s="14" t="s">
        <v>305</v>
      </c>
      <c r="B228" t="str">
        <f>VLOOKUP(A228,Apps!J:J,1,0)</f>
        <v>l10n_it_edi_doi</v>
      </c>
    </row>
    <row r="229" spans="1:2" hidden="1" x14ac:dyDescent="0.25">
      <c r="A229" s="14" t="s">
        <v>878</v>
      </c>
      <c r="B229" t="str">
        <f>VLOOKUP(A229,Apps!J:J,1,0)</f>
        <v>l10n_it_edi_ndd</v>
      </c>
    </row>
    <row r="230" spans="1:2" hidden="1" x14ac:dyDescent="0.25">
      <c r="A230" s="14" t="s">
        <v>879</v>
      </c>
      <c r="B230" t="str">
        <f>VLOOKUP(A230,Apps!J:J,1,0)</f>
        <v>l10n_it_edi_sale</v>
      </c>
    </row>
    <row r="231" spans="1:2" hidden="1" x14ac:dyDescent="0.25">
      <c r="A231" s="14" t="s">
        <v>309</v>
      </c>
      <c r="B231" t="str">
        <f>VLOOKUP(A231,Apps!J:J,1,0)</f>
        <v>l10n_it_edi_website_sale</v>
      </c>
    </row>
    <row r="232" spans="1:2" hidden="1" x14ac:dyDescent="0.25">
      <c r="A232" s="14" t="s">
        <v>310</v>
      </c>
      <c r="B232" t="str">
        <f>VLOOKUP(A232,Apps!J:J,1,0)</f>
        <v>l10n_it_edi_withholding</v>
      </c>
    </row>
    <row r="233" spans="1:2" hidden="1" x14ac:dyDescent="0.25">
      <c r="A233" s="14" t="s">
        <v>313</v>
      </c>
      <c r="B233" t="str">
        <f>VLOOKUP(A233,Apps!J:J,1,0)</f>
        <v>l10n_it_stock_ddt</v>
      </c>
    </row>
    <row r="234" spans="1:2" hidden="1" x14ac:dyDescent="0.25">
      <c r="A234" s="14" t="s">
        <v>880</v>
      </c>
      <c r="B234" t="str">
        <f>VLOOKUP(A234,Apps!J:J,1,0)</f>
        <v>l10n_jo</v>
      </c>
    </row>
    <row r="235" spans="1:2" hidden="1" x14ac:dyDescent="0.25">
      <c r="A235" s="14" t="s">
        <v>881</v>
      </c>
      <c r="B235" t="str">
        <f>VLOOKUP(A235,Apps!J:J,1,0)</f>
        <v>l10n_jo_edi</v>
      </c>
    </row>
    <row r="236" spans="1:2" hidden="1" x14ac:dyDescent="0.25">
      <c r="A236" s="14" t="s">
        <v>314</v>
      </c>
      <c r="B236" t="str">
        <f>VLOOKUP(A236,Apps!J:J,1,0)</f>
        <v>l10n_jp</v>
      </c>
    </row>
    <row r="237" spans="1:2" hidden="1" x14ac:dyDescent="0.25">
      <c r="A237" s="14" t="s">
        <v>882</v>
      </c>
      <c r="B237" t="str">
        <f>VLOOKUP(A237,Apps!J:J,1,0)</f>
        <v>l10n_jp_ubl_pint</v>
      </c>
    </row>
    <row r="238" spans="1:2" hidden="1" x14ac:dyDescent="0.25">
      <c r="A238" s="14" t="s">
        <v>316</v>
      </c>
      <c r="B238" t="str">
        <f>VLOOKUP(A238,Apps!J:J,1,0)</f>
        <v>l10n_ke</v>
      </c>
    </row>
    <row r="239" spans="1:2" hidden="1" x14ac:dyDescent="0.25">
      <c r="A239" s="14" t="s">
        <v>319</v>
      </c>
      <c r="B239" t="str">
        <f>VLOOKUP(A239,Apps!J:J,1,0)</f>
        <v>l10n_ke_edi_tremol</v>
      </c>
    </row>
    <row r="240" spans="1:2" hidden="1" x14ac:dyDescent="0.25">
      <c r="A240" s="14" t="s">
        <v>884</v>
      </c>
      <c r="B240" t="str">
        <f>VLOOKUP(A240,Apps!J:J,1,0)</f>
        <v>l10n_km</v>
      </c>
    </row>
    <row r="241" spans="1:2" x14ac:dyDescent="0.25">
      <c r="A241" s="14" t="s">
        <v>1097</v>
      </c>
      <c r="B241" t="str">
        <f>VLOOKUP(A241,Apps!J:J,1,0)</f>
        <v>l10n_kr</v>
      </c>
    </row>
    <row r="242" spans="1:2" hidden="1" x14ac:dyDescent="0.25">
      <c r="A242" s="14" t="s">
        <v>885</v>
      </c>
      <c r="B242" t="str">
        <f>VLOOKUP(A242,Apps!J:J,1,0)</f>
        <v>l10n_kw</v>
      </c>
    </row>
    <row r="243" spans="1:2" hidden="1" x14ac:dyDescent="0.25">
      <c r="A243" s="14" t="s">
        <v>886</v>
      </c>
      <c r="B243" t="str">
        <f>VLOOKUP(A243,Apps!J:J,1,0)</f>
        <v>l10n_kz</v>
      </c>
    </row>
    <row r="244" spans="1:2" hidden="1" x14ac:dyDescent="0.25">
      <c r="A244" s="14" t="s">
        <v>323</v>
      </c>
      <c r="B244" t="str">
        <f>VLOOKUP(A244,Apps!J:J,1,0)</f>
        <v>l10n_latam_base</v>
      </c>
    </row>
    <row r="245" spans="1:2" hidden="1" x14ac:dyDescent="0.25">
      <c r="A245" s="14" t="s">
        <v>324</v>
      </c>
      <c r="B245" t="str">
        <f>VLOOKUP(A245,Apps!J:J,1,0)</f>
        <v>l10n_latam_check</v>
      </c>
    </row>
    <row r="246" spans="1:2" hidden="1" x14ac:dyDescent="0.25">
      <c r="A246" s="14" t="s">
        <v>325</v>
      </c>
      <c r="B246" t="str">
        <f>VLOOKUP(A246,Apps!J:J,1,0)</f>
        <v>l10n_latam_invoice_document</v>
      </c>
    </row>
    <row r="247" spans="1:2" hidden="1" x14ac:dyDescent="0.25">
      <c r="A247" s="14" t="s">
        <v>889</v>
      </c>
      <c r="B247" t="str">
        <f>VLOOKUP(A247,Apps!J:J,1,0)</f>
        <v>l10n_lb_account</v>
      </c>
    </row>
    <row r="248" spans="1:2" hidden="1" x14ac:dyDescent="0.25">
      <c r="A248" s="14" t="s">
        <v>328</v>
      </c>
      <c r="B248" t="str">
        <f>VLOOKUP(A248,Apps!J:J,1,0)</f>
        <v>l10n_lt</v>
      </c>
    </row>
    <row r="249" spans="1:2" hidden="1" x14ac:dyDescent="0.25">
      <c r="A249" s="14" t="s">
        <v>330</v>
      </c>
      <c r="B249" t="str">
        <f>VLOOKUP(A249,Apps!J:J,1,0)</f>
        <v>l10n_lu</v>
      </c>
    </row>
    <row r="250" spans="1:2" hidden="1" x14ac:dyDescent="0.25">
      <c r="A250" s="14" t="s">
        <v>334</v>
      </c>
      <c r="B250" t="str">
        <f>VLOOKUP(A250,Apps!J:J,1,0)</f>
        <v>l10n_lv</v>
      </c>
    </row>
    <row r="251" spans="1:2" hidden="1" x14ac:dyDescent="0.25">
      <c r="A251" s="14" t="s">
        <v>337</v>
      </c>
      <c r="B251" t="str">
        <f>VLOOKUP(A251,Apps!J:J,1,0)</f>
        <v>l10n_ma</v>
      </c>
    </row>
    <row r="252" spans="1:2" x14ac:dyDescent="0.25">
      <c r="A252" s="14" t="s">
        <v>1098</v>
      </c>
      <c r="B252" t="str">
        <f>VLOOKUP(A252,Apps!J:J,1,0)</f>
        <v>l10n_mc</v>
      </c>
    </row>
    <row r="253" spans="1:2" hidden="1" x14ac:dyDescent="0.25">
      <c r="A253" s="14" t="s">
        <v>892</v>
      </c>
      <c r="B253" t="str">
        <f>VLOOKUP(A253,Apps!J:J,1,0)</f>
        <v>l10n_ml</v>
      </c>
    </row>
    <row r="254" spans="1:2" hidden="1" x14ac:dyDescent="0.25">
      <c r="A254" s="14" t="s">
        <v>340</v>
      </c>
      <c r="B254" t="str">
        <f>VLOOKUP(A254,Apps!J:J,1,0)</f>
        <v>l10n_mn</v>
      </c>
    </row>
    <row r="255" spans="1:2" hidden="1" x14ac:dyDescent="0.25">
      <c r="A255" s="14" t="s">
        <v>893</v>
      </c>
      <c r="B255" t="str">
        <f>VLOOKUP(A255,Apps!J:J,1,0)</f>
        <v>l10n_mt</v>
      </c>
    </row>
    <row r="256" spans="1:2" hidden="1" x14ac:dyDescent="0.25">
      <c r="A256" s="14" t="s">
        <v>894</v>
      </c>
      <c r="B256" t="str">
        <f>VLOOKUP(A256,Apps!J:J,1,0)</f>
        <v>l10n_mt_pos</v>
      </c>
    </row>
    <row r="257" spans="1:2" hidden="1" x14ac:dyDescent="0.25">
      <c r="A257" s="14" t="s">
        <v>895</v>
      </c>
      <c r="B257" t="str">
        <f>VLOOKUP(A257,Apps!J:J,1,0)</f>
        <v>l10n_mu_account</v>
      </c>
    </row>
    <row r="258" spans="1:2" hidden="1" x14ac:dyDescent="0.25">
      <c r="A258" s="14" t="s">
        <v>344</v>
      </c>
      <c r="B258" t="str">
        <f>VLOOKUP(A258,Apps!J:J,1,0)</f>
        <v>l10n_mx</v>
      </c>
    </row>
    <row r="259" spans="1:2" hidden="1" x14ac:dyDescent="0.25">
      <c r="A259" s="14" t="s">
        <v>347</v>
      </c>
      <c r="B259" t="str">
        <f>VLOOKUP(A259,Apps!J:J,1,0)</f>
        <v>l10n_mx_hr</v>
      </c>
    </row>
    <row r="260" spans="1:2" hidden="1" x14ac:dyDescent="0.25">
      <c r="A260" s="14" t="s">
        <v>348</v>
      </c>
      <c r="B260" t="str">
        <f>VLOOKUP(A260,Apps!J:J,1,0)</f>
        <v>l10n_my</v>
      </c>
    </row>
    <row r="261" spans="1:2" hidden="1" x14ac:dyDescent="0.25">
      <c r="A261" s="14" t="s">
        <v>896</v>
      </c>
      <c r="B261" t="str">
        <f>VLOOKUP(A261,Apps!J:J,1,0)</f>
        <v>l10n_my_edi</v>
      </c>
    </row>
    <row r="262" spans="1:2" hidden="1" x14ac:dyDescent="0.25">
      <c r="A262" s="14" t="s">
        <v>897</v>
      </c>
      <c r="B262" t="str">
        <f>VLOOKUP(A262,Apps!J:J,1,0)</f>
        <v>l10n_my_edi_extended</v>
      </c>
    </row>
    <row r="263" spans="1:2" hidden="1" x14ac:dyDescent="0.25">
      <c r="A263" s="14" t="s">
        <v>898</v>
      </c>
      <c r="B263" t="str">
        <f>VLOOKUP(A263,Apps!J:J,1,0)</f>
        <v>l10n_my_ubl_pint</v>
      </c>
    </row>
    <row r="264" spans="1:2" hidden="1" x14ac:dyDescent="0.25">
      <c r="A264" s="14" t="s">
        <v>351</v>
      </c>
      <c r="B264" t="str">
        <f>VLOOKUP(A264,Apps!J:J,1,0)</f>
        <v>l10n_mz</v>
      </c>
    </row>
    <row r="265" spans="1:2" hidden="1" x14ac:dyDescent="0.25">
      <c r="A265" s="14" t="s">
        <v>899</v>
      </c>
      <c r="B265" t="str">
        <f>VLOOKUP(A265,Apps!J:J,1,0)</f>
        <v>l10n_ne</v>
      </c>
    </row>
    <row r="266" spans="1:2" hidden="1" x14ac:dyDescent="0.25">
      <c r="A266" s="14" t="s">
        <v>900</v>
      </c>
      <c r="B266" t="str">
        <f>VLOOKUP(A266,Apps!J:J,1,0)</f>
        <v>l10n_ng</v>
      </c>
    </row>
    <row r="267" spans="1:2" hidden="1" x14ac:dyDescent="0.25">
      <c r="A267" s="14" t="s">
        <v>353</v>
      </c>
      <c r="B267" t="str">
        <f>VLOOKUP(A267,Apps!J:J,1,0)</f>
        <v>l10n_nl</v>
      </c>
    </row>
    <row r="268" spans="1:2" hidden="1" x14ac:dyDescent="0.25">
      <c r="A268" s="14" t="s">
        <v>356</v>
      </c>
      <c r="B268" t="str">
        <f>VLOOKUP(A268,Apps!J:J,1,0)</f>
        <v>l10n_no</v>
      </c>
    </row>
    <row r="269" spans="1:2" hidden="1" x14ac:dyDescent="0.25">
      <c r="A269" s="14" t="s">
        <v>359</v>
      </c>
      <c r="B269" t="str">
        <f>VLOOKUP(A269,Apps!J:J,1,0)</f>
        <v>l10n_nz</v>
      </c>
    </row>
    <row r="270" spans="1:2" hidden="1" x14ac:dyDescent="0.25">
      <c r="A270" s="14" t="s">
        <v>361</v>
      </c>
      <c r="B270" t="str">
        <f>VLOOKUP(A270,Apps!J:J,1,0)</f>
        <v>l10n_pa</v>
      </c>
    </row>
    <row r="271" spans="1:2" hidden="1" x14ac:dyDescent="0.25">
      <c r="A271" s="14" t="s">
        <v>363</v>
      </c>
      <c r="B271" t="str">
        <f>VLOOKUP(A271,Apps!J:J,1,0)</f>
        <v>l10n_pe</v>
      </c>
    </row>
    <row r="272" spans="1:2" hidden="1" x14ac:dyDescent="0.25">
      <c r="A272" s="14" t="s">
        <v>901</v>
      </c>
      <c r="B272" t="str">
        <f>VLOOKUP(A272,Apps!J:J,1,0)</f>
        <v>l10n_pe_pos</v>
      </c>
    </row>
    <row r="273" spans="1:2" hidden="1" x14ac:dyDescent="0.25">
      <c r="A273" s="14" t="s">
        <v>902</v>
      </c>
      <c r="B273" t="str">
        <f>VLOOKUP(A273,Apps!J:J,1,0)</f>
        <v>l10n_pe_website_sale</v>
      </c>
    </row>
    <row r="274" spans="1:2" hidden="1" x14ac:dyDescent="0.25">
      <c r="A274" s="14" t="s">
        <v>366</v>
      </c>
      <c r="B274" t="str">
        <f>VLOOKUP(A274,Apps!J:J,1,0)</f>
        <v>l10n_ph</v>
      </c>
    </row>
    <row r="275" spans="1:2" hidden="1" x14ac:dyDescent="0.25">
      <c r="A275" s="14" t="s">
        <v>369</v>
      </c>
      <c r="B275" t="str">
        <f>VLOOKUP(A275,Apps!J:J,1,0)</f>
        <v>l10n_pk</v>
      </c>
    </row>
    <row r="276" spans="1:2" hidden="1" x14ac:dyDescent="0.25">
      <c r="A276" s="14" t="s">
        <v>372</v>
      </c>
      <c r="B276" t="str">
        <f>VLOOKUP(A276,Apps!J:J,1,0)</f>
        <v>l10n_pl</v>
      </c>
    </row>
    <row r="277" spans="1:2" hidden="1" x14ac:dyDescent="0.25">
      <c r="A277" s="14" t="s">
        <v>378</v>
      </c>
      <c r="B277" t="str">
        <f>VLOOKUP(A277,Apps!J:J,1,0)</f>
        <v>l10n_pt</v>
      </c>
    </row>
    <row r="278" spans="1:2" hidden="1" x14ac:dyDescent="0.25">
      <c r="A278" s="14" t="s">
        <v>903</v>
      </c>
      <c r="B278" t="str">
        <f>VLOOKUP(A278,Apps!J:J,1,0)</f>
        <v>l10n_qa</v>
      </c>
    </row>
    <row r="279" spans="1:2" hidden="1" x14ac:dyDescent="0.25">
      <c r="A279" s="14" t="s">
        <v>381</v>
      </c>
      <c r="B279" t="str">
        <f>VLOOKUP(A279,Apps!J:J,1,0)</f>
        <v>l10n_ro</v>
      </c>
    </row>
    <row r="280" spans="1:2" hidden="1" x14ac:dyDescent="0.25">
      <c r="A280" s="14" t="s">
        <v>904</v>
      </c>
      <c r="B280" t="str">
        <f>VLOOKUP(A280,Apps!J:J,1,0)</f>
        <v>l10n_ro_edi</v>
      </c>
    </row>
    <row r="281" spans="1:2" hidden="1" x14ac:dyDescent="0.25">
      <c r="A281" s="14" t="s">
        <v>906</v>
      </c>
      <c r="B281" t="str">
        <f>VLOOKUP(A281,Apps!J:J,1,0)</f>
        <v>l10n_ro_edi_stock</v>
      </c>
    </row>
    <row r="282" spans="1:2" hidden="1" x14ac:dyDescent="0.25">
      <c r="A282" s="14" t="s">
        <v>907</v>
      </c>
      <c r="B282" t="str">
        <f>VLOOKUP(A282,Apps!J:J,1,0)</f>
        <v>l10n_ro_edi_stock_batch</v>
      </c>
    </row>
    <row r="283" spans="1:2" hidden="1" x14ac:dyDescent="0.25">
      <c r="A283" s="14" t="s">
        <v>384</v>
      </c>
      <c r="B283" t="str">
        <f>VLOOKUP(A283,Apps!J:J,1,0)</f>
        <v>l10n_rs</v>
      </c>
    </row>
    <row r="284" spans="1:2" x14ac:dyDescent="0.25">
      <c r="A284" s="14" t="s">
        <v>1099</v>
      </c>
      <c r="B284" t="str">
        <f>VLOOKUP(A284,Apps!J:J,1,0)</f>
        <v>l10n_rs_edi</v>
      </c>
    </row>
    <row r="285" spans="1:2" hidden="1" x14ac:dyDescent="0.25">
      <c r="A285" s="14" t="s">
        <v>910</v>
      </c>
      <c r="B285" t="str">
        <f>VLOOKUP(A285,Apps!J:J,1,0)</f>
        <v>l10n_rw</v>
      </c>
    </row>
    <row r="286" spans="1:2" hidden="1" x14ac:dyDescent="0.25">
      <c r="A286" s="14" t="s">
        <v>387</v>
      </c>
      <c r="B286" t="str">
        <f>VLOOKUP(A286,Apps!J:J,1,0)</f>
        <v>l10n_sa</v>
      </c>
    </row>
    <row r="287" spans="1:2" hidden="1" x14ac:dyDescent="0.25">
      <c r="A287" s="14" t="s">
        <v>390</v>
      </c>
      <c r="B287" t="str">
        <f>VLOOKUP(A287,Apps!J:J,1,0)</f>
        <v>l10n_sa_edi</v>
      </c>
    </row>
    <row r="288" spans="1:2" hidden="1" x14ac:dyDescent="0.25">
      <c r="A288" s="14" t="s">
        <v>391</v>
      </c>
      <c r="B288" t="str">
        <f>VLOOKUP(A288,Apps!J:J,1,0)</f>
        <v>l10n_sa_edi_pos</v>
      </c>
    </row>
    <row r="289" spans="1:2" hidden="1" x14ac:dyDescent="0.25">
      <c r="A289" s="14" t="s">
        <v>392</v>
      </c>
      <c r="B289" t="str">
        <f>VLOOKUP(A289,Apps!J:J,1,0)</f>
        <v>l10n_sa_pos</v>
      </c>
    </row>
    <row r="290" spans="1:2" hidden="1" x14ac:dyDescent="0.25">
      <c r="A290" s="14" t="s">
        <v>393</v>
      </c>
      <c r="B290" t="str">
        <f>VLOOKUP(A290,Apps!J:J,1,0)</f>
        <v>l10n_se</v>
      </c>
    </row>
    <row r="291" spans="1:2" hidden="1" x14ac:dyDescent="0.25">
      <c r="A291" s="14" t="s">
        <v>396</v>
      </c>
      <c r="B291" t="str">
        <f>VLOOKUP(A291,Apps!J:J,1,0)</f>
        <v>l10n_sg</v>
      </c>
    </row>
    <row r="292" spans="1:2" hidden="1" x14ac:dyDescent="0.25">
      <c r="A292" s="14" t="s">
        <v>912</v>
      </c>
      <c r="B292" t="str">
        <f>VLOOKUP(A292,Apps!J:J,1,0)</f>
        <v>l10n_sg_ubl_pint</v>
      </c>
    </row>
    <row r="293" spans="1:2" hidden="1" x14ac:dyDescent="0.25">
      <c r="A293" s="14" t="s">
        <v>399</v>
      </c>
      <c r="B293" t="str">
        <f>VLOOKUP(A293,Apps!J:J,1,0)</f>
        <v>l10n_si</v>
      </c>
    </row>
    <row r="294" spans="1:2" hidden="1" x14ac:dyDescent="0.25">
      <c r="A294" s="14" t="s">
        <v>402</v>
      </c>
      <c r="B294" t="str">
        <f>VLOOKUP(A294,Apps!J:J,1,0)</f>
        <v>l10n_sk</v>
      </c>
    </row>
    <row r="295" spans="1:2" hidden="1" x14ac:dyDescent="0.25">
      <c r="A295" s="14" t="s">
        <v>913</v>
      </c>
      <c r="B295" t="str">
        <f>VLOOKUP(A295,Apps!J:J,1,0)</f>
        <v>l10n_sn</v>
      </c>
    </row>
    <row r="296" spans="1:2" hidden="1" x14ac:dyDescent="0.25">
      <c r="A296" s="14" t="s">
        <v>405</v>
      </c>
      <c r="B296" t="str">
        <f>VLOOKUP(A296,Apps!J:J,1,0)</f>
        <v>l10n_syscohada</v>
      </c>
    </row>
    <row r="297" spans="1:2" hidden="1" x14ac:dyDescent="0.25">
      <c r="A297" s="14" t="s">
        <v>914</v>
      </c>
      <c r="B297" t="str">
        <f>VLOOKUP(A297,Apps!J:J,1,0)</f>
        <v>l10n_td</v>
      </c>
    </row>
    <row r="298" spans="1:2" x14ac:dyDescent="0.25">
      <c r="A298" s="14" t="s">
        <v>1113</v>
      </c>
      <c r="B298" t="str">
        <f>VLOOKUP(A298,Apps!J:J,1,0)</f>
        <v>l10n_test_pos_qr_payment</v>
      </c>
    </row>
    <row r="299" spans="1:2" hidden="1" x14ac:dyDescent="0.25">
      <c r="A299" s="14" t="s">
        <v>915</v>
      </c>
      <c r="B299" t="str">
        <f>VLOOKUP(A299,Apps!J:J,1,0)</f>
        <v>l10n_tg</v>
      </c>
    </row>
    <row r="300" spans="1:2" hidden="1" x14ac:dyDescent="0.25">
      <c r="A300" s="14" t="s">
        <v>408</v>
      </c>
      <c r="B300" t="str">
        <f>VLOOKUP(A300,Apps!J:J,1,0)</f>
        <v>l10n_th</v>
      </c>
    </row>
    <row r="301" spans="1:2" hidden="1" x14ac:dyDescent="0.25">
      <c r="A301" s="14" t="s">
        <v>916</v>
      </c>
      <c r="B301" t="str">
        <f>VLOOKUP(A301,Apps!J:J,1,0)</f>
        <v>l10n_tn</v>
      </c>
    </row>
    <row r="302" spans="1:2" hidden="1" x14ac:dyDescent="0.25">
      <c r="A302" s="14" t="s">
        <v>410</v>
      </c>
      <c r="B302" t="str">
        <f>VLOOKUP(A302,Apps!J:J,1,0)</f>
        <v>l10n_tr</v>
      </c>
    </row>
    <row r="303" spans="1:2" hidden="1" x14ac:dyDescent="0.25">
      <c r="A303" s="14" t="s">
        <v>917</v>
      </c>
      <c r="B303" t="str">
        <f>VLOOKUP(A303,Apps!J:J,1,0)</f>
        <v>l10n_tr_nilvera</v>
      </c>
    </row>
    <row r="304" spans="1:2" hidden="1" x14ac:dyDescent="0.25">
      <c r="A304" s="14" t="s">
        <v>918</v>
      </c>
      <c r="B304" t="str">
        <f>VLOOKUP(A304,Apps!J:J,1,0)</f>
        <v>l10n_tr_nilvera_einvoice</v>
      </c>
    </row>
    <row r="305" spans="1:2" hidden="1" x14ac:dyDescent="0.25">
      <c r="A305" s="14" t="s">
        <v>413</v>
      </c>
      <c r="B305" t="str">
        <f>VLOOKUP(A305,Apps!J:J,1,0)</f>
        <v>l10n_tw</v>
      </c>
    </row>
    <row r="306" spans="1:2" hidden="1" x14ac:dyDescent="0.25">
      <c r="A306" s="14" t="s">
        <v>919</v>
      </c>
      <c r="B306" t="str">
        <f>VLOOKUP(A306,Apps!J:J,1,0)</f>
        <v>l10n_tz_account</v>
      </c>
    </row>
    <row r="307" spans="1:2" hidden="1" x14ac:dyDescent="0.25">
      <c r="A307" s="14" t="s">
        <v>415</v>
      </c>
      <c r="B307" t="str">
        <f>VLOOKUP(A307,Apps!J:J,1,0)</f>
        <v>l10n_ua</v>
      </c>
    </row>
    <row r="308" spans="1:2" hidden="1" x14ac:dyDescent="0.25">
      <c r="A308" s="14" t="s">
        <v>920</v>
      </c>
      <c r="B308" t="str">
        <f>VLOOKUP(A308,Apps!J:J,1,0)</f>
        <v>l10n_ug</v>
      </c>
    </row>
    <row r="309" spans="1:2" hidden="1" x14ac:dyDescent="0.25">
      <c r="A309" s="14" t="s">
        <v>417</v>
      </c>
      <c r="B309" t="str">
        <f>VLOOKUP(A309,Apps!J:J,1,0)</f>
        <v>l10n_uk</v>
      </c>
    </row>
    <row r="310" spans="1:2" hidden="1" x14ac:dyDescent="0.25">
      <c r="A310" s="14" t="s">
        <v>419</v>
      </c>
      <c r="B310" t="str">
        <f>VLOOKUP(A310,Apps!J:J,1,0)</f>
        <v>l10n_us</v>
      </c>
    </row>
    <row r="311" spans="1:2" x14ac:dyDescent="0.25">
      <c r="A311" s="14" t="s">
        <v>1100</v>
      </c>
      <c r="B311" t="str">
        <f>VLOOKUP(A311,Apps!J:J,1,0)</f>
        <v>l10n_us_account</v>
      </c>
    </row>
    <row r="312" spans="1:2" hidden="1" x14ac:dyDescent="0.25">
      <c r="A312" s="14" t="s">
        <v>420</v>
      </c>
      <c r="B312" t="str">
        <f>VLOOKUP(A312,Apps!J:J,1,0)</f>
        <v>l10n_uy</v>
      </c>
    </row>
    <row r="313" spans="1:2" hidden="1" x14ac:dyDescent="0.25">
      <c r="A313" s="14" t="s">
        <v>423</v>
      </c>
      <c r="B313" t="str">
        <f>VLOOKUP(A313,Apps!J:J,1,0)</f>
        <v>l10n_ve</v>
      </c>
    </row>
    <row r="314" spans="1:2" hidden="1" x14ac:dyDescent="0.25">
      <c r="A314" s="14" t="s">
        <v>426</v>
      </c>
      <c r="B314" t="str">
        <f>VLOOKUP(A314,Apps!J:J,1,0)</f>
        <v>l10n_vn</v>
      </c>
    </row>
    <row r="315" spans="1:2" hidden="1" x14ac:dyDescent="0.25">
      <c r="A315" s="14" t="s">
        <v>922</v>
      </c>
      <c r="B315" t="str">
        <f>VLOOKUP(A315,Apps!J:J,1,0)</f>
        <v>l10n_vn_edi_viettel</v>
      </c>
    </row>
    <row r="316" spans="1:2" hidden="1" x14ac:dyDescent="0.25">
      <c r="A316" s="14" t="s">
        <v>429</v>
      </c>
      <c r="B316" t="str">
        <f>VLOOKUP(A316,Apps!J:J,1,0)</f>
        <v>l10n_za</v>
      </c>
    </row>
    <row r="317" spans="1:2" hidden="1" x14ac:dyDescent="0.25">
      <c r="A317" s="14" t="s">
        <v>923</v>
      </c>
      <c r="B317" t="str">
        <f>VLOOKUP(A317,Apps!J:J,1,0)</f>
        <v>l10n_zm_account</v>
      </c>
    </row>
    <row r="318" spans="1:2" hidden="1" x14ac:dyDescent="0.25">
      <c r="A318" s="14" t="s">
        <v>430</v>
      </c>
      <c r="B318" t="str">
        <f>VLOOKUP(A318,Apps!J:J,1,0)</f>
        <v>link_tracker</v>
      </c>
    </row>
    <row r="319" spans="1:2" hidden="1" x14ac:dyDescent="0.25">
      <c r="A319" s="14" t="s">
        <v>431</v>
      </c>
      <c r="B319" t="str">
        <f>VLOOKUP(A319,Apps!J:J,1,0)</f>
        <v>loyalty</v>
      </c>
    </row>
    <row r="320" spans="1:2" hidden="1" x14ac:dyDescent="0.25">
      <c r="A320" s="14" t="s">
        <v>435</v>
      </c>
      <c r="B320" t="str">
        <f>VLOOKUP(A320,Apps!J:J,1,0)</f>
        <v>lunch</v>
      </c>
    </row>
    <row r="321" spans="1:2" hidden="1" x14ac:dyDescent="0.25">
      <c r="A321" s="14" t="s">
        <v>437</v>
      </c>
      <c r="B321" t="str">
        <f>VLOOKUP(A321,Apps!J:J,1,0)</f>
        <v>mail</v>
      </c>
    </row>
    <row r="322" spans="1:2" hidden="1" x14ac:dyDescent="0.25">
      <c r="A322" s="14" t="s">
        <v>439</v>
      </c>
      <c r="B322" t="str">
        <f>VLOOKUP(A322,Apps!J:J,1,0)</f>
        <v>mail_bot</v>
      </c>
    </row>
    <row r="323" spans="1:2" hidden="1" x14ac:dyDescent="0.25">
      <c r="A323" s="14" t="s">
        <v>440</v>
      </c>
      <c r="B323" t="str">
        <f>VLOOKUP(A323,Apps!J:J,1,0)</f>
        <v>mail_bot_hr</v>
      </c>
    </row>
    <row r="324" spans="1:2" hidden="1" x14ac:dyDescent="0.25">
      <c r="A324" s="14" t="s">
        <v>441</v>
      </c>
      <c r="B324" t="str">
        <f>VLOOKUP(A324,Apps!J:J,1,0)</f>
        <v>mail_group</v>
      </c>
    </row>
    <row r="325" spans="1:2" hidden="1" x14ac:dyDescent="0.25">
      <c r="A325" s="14" t="s">
        <v>444</v>
      </c>
      <c r="B325" t="str">
        <f>VLOOKUP(A325,Apps!J:J,1,0)</f>
        <v>mail_plugin</v>
      </c>
    </row>
    <row r="326" spans="1:2" hidden="1" x14ac:dyDescent="0.25">
      <c r="A326" s="14" t="s">
        <v>445</v>
      </c>
      <c r="B326" t="str">
        <f>VLOOKUP(A326,Apps!J:J,1,0)</f>
        <v>maintenance</v>
      </c>
    </row>
    <row r="327" spans="1:2" hidden="1" x14ac:dyDescent="0.25">
      <c r="A327" s="14" t="s">
        <v>1062</v>
      </c>
      <c r="B327" t="str">
        <f>VLOOKUP(A327,Apps!J:J,1,0)</f>
        <v>marketing_card</v>
      </c>
    </row>
    <row r="328" spans="1:2" hidden="1" x14ac:dyDescent="0.25">
      <c r="A328" s="14" t="s">
        <v>447</v>
      </c>
      <c r="B328" t="str">
        <f>VLOOKUP(A328,Apps!J:J,1,0)</f>
        <v>mass_mailing</v>
      </c>
    </row>
    <row r="329" spans="1:2" hidden="1" x14ac:dyDescent="0.25">
      <c r="A329" s="14" t="s">
        <v>450</v>
      </c>
      <c r="B329" t="str">
        <f>VLOOKUP(A329,Apps!J:J,1,0)</f>
        <v>mass_mailing_crm</v>
      </c>
    </row>
    <row r="330" spans="1:2" hidden="1" x14ac:dyDescent="0.25">
      <c r="A330" s="14" t="s">
        <v>451</v>
      </c>
      <c r="B330" t="str">
        <f>VLOOKUP(A330,Apps!J:J,1,0)</f>
        <v>mass_mailing_crm_sms</v>
      </c>
    </row>
    <row r="331" spans="1:2" hidden="1" x14ac:dyDescent="0.25">
      <c r="A331" s="14" t="s">
        <v>452</v>
      </c>
      <c r="B331" t="str">
        <f>VLOOKUP(A331,Apps!J:J,1,0)</f>
        <v>mass_mailing_event</v>
      </c>
    </row>
    <row r="332" spans="1:2" hidden="1" x14ac:dyDescent="0.25">
      <c r="A332" s="14" t="s">
        <v>453</v>
      </c>
      <c r="B332" t="str">
        <f>VLOOKUP(A332,Apps!J:J,1,0)</f>
        <v>mass_mailing_event_sms</v>
      </c>
    </row>
    <row r="333" spans="1:2" hidden="1" x14ac:dyDescent="0.25">
      <c r="A333" s="14" t="s">
        <v>454</v>
      </c>
      <c r="B333" t="str">
        <f>VLOOKUP(A333,Apps!J:J,1,0)</f>
        <v>mass_mailing_event_track</v>
      </c>
    </row>
    <row r="334" spans="1:2" hidden="1" x14ac:dyDescent="0.25">
      <c r="A334" s="14" t="s">
        <v>455</v>
      </c>
      <c r="B334" t="str">
        <f>VLOOKUP(A334,Apps!J:J,1,0)</f>
        <v>mass_mailing_event_track_sms</v>
      </c>
    </row>
    <row r="335" spans="1:2" hidden="1" x14ac:dyDescent="0.25">
      <c r="A335" s="14" t="s">
        <v>456</v>
      </c>
      <c r="B335" t="str">
        <f>VLOOKUP(A335,Apps!J:J,1,0)</f>
        <v>mass_mailing_sale</v>
      </c>
    </row>
    <row r="336" spans="1:2" hidden="1" x14ac:dyDescent="0.25">
      <c r="A336" s="14" t="s">
        <v>457</v>
      </c>
      <c r="B336" t="str">
        <f>VLOOKUP(A336,Apps!J:J,1,0)</f>
        <v>mass_mailing_sale_sms</v>
      </c>
    </row>
    <row r="337" spans="1:2" hidden="1" x14ac:dyDescent="0.25">
      <c r="A337" s="14" t="s">
        <v>458</v>
      </c>
      <c r="B337" t="str">
        <f>VLOOKUP(A337,Apps!J:J,1,0)</f>
        <v>mass_mailing_slides</v>
      </c>
    </row>
    <row r="338" spans="1:2" hidden="1" x14ac:dyDescent="0.25">
      <c r="A338" s="14" t="s">
        <v>459</v>
      </c>
      <c r="B338" t="str">
        <f>VLOOKUP(A338,Apps!J:J,1,0)</f>
        <v>mass_mailing_sms</v>
      </c>
    </row>
    <row r="339" spans="1:2" hidden="1" x14ac:dyDescent="0.25">
      <c r="A339" s="14" t="s">
        <v>462</v>
      </c>
      <c r="B339" t="str">
        <f>VLOOKUP(A339,Apps!J:J,1,0)</f>
        <v>mass_mailing_themes</v>
      </c>
    </row>
    <row r="340" spans="1:2" hidden="1" x14ac:dyDescent="0.25">
      <c r="A340" s="14" t="s">
        <v>465</v>
      </c>
      <c r="B340" t="str">
        <f>VLOOKUP(A340,Apps!J:J,1,0)</f>
        <v>membership</v>
      </c>
    </row>
    <row r="341" spans="1:2" hidden="1" x14ac:dyDescent="0.25">
      <c r="A341" s="14" t="s">
        <v>466</v>
      </c>
      <c r="B341" t="str">
        <f>VLOOKUP(A341,Apps!J:J,1,0)</f>
        <v>microsoft_account</v>
      </c>
    </row>
    <row r="342" spans="1:2" hidden="1" x14ac:dyDescent="0.25">
      <c r="A342" s="14" t="s">
        <v>467</v>
      </c>
      <c r="B342" t="str">
        <f>VLOOKUP(A342,Apps!J:J,1,0)</f>
        <v>microsoft_calendar</v>
      </c>
    </row>
    <row r="343" spans="1:2" hidden="1" x14ac:dyDescent="0.25">
      <c r="A343" s="14" t="s">
        <v>469</v>
      </c>
      <c r="B343" t="str">
        <f>VLOOKUP(A343,Apps!J:J,1,0)</f>
        <v>microsoft_outlook</v>
      </c>
    </row>
    <row r="344" spans="1:2" hidden="1" x14ac:dyDescent="0.25">
      <c r="A344" s="14" t="s">
        <v>470</v>
      </c>
      <c r="B344" t="str">
        <f>VLOOKUP(A344,Apps!J:J,1,0)</f>
        <v>mrp</v>
      </c>
    </row>
    <row r="345" spans="1:2" hidden="1" x14ac:dyDescent="0.25">
      <c r="A345" s="14" t="s">
        <v>472</v>
      </c>
      <c r="B345" t="str">
        <f>VLOOKUP(A345,Apps!J:J,1,0)</f>
        <v>mrp_account</v>
      </c>
    </row>
    <row r="346" spans="1:2" hidden="1" x14ac:dyDescent="0.25">
      <c r="A346" s="14" t="s">
        <v>474</v>
      </c>
      <c r="B346" t="str">
        <f>VLOOKUP(A346,Apps!J:J,1,0)</f>
        <v>mrp_landed_costs</v>
      </c>
    </row>
    <row r="347" spans="1:2" hidden="1" x14ac:dyDescent="0.25">
      <c r="A347" s="14" t="s">
        <v>475</v>
      </c>
      <c r="B347" t="str">
        <f>VLOOKUP(A347,Apps!J:J,1,0)</f>
        <v>mrp_product_expiry</v>
      </c>
    </row>
    <row r="348" spans="1:2" hidden="1" x14ac:dyDescent="0.25">
      <c r="A348" s="14" t="s">
        <v>476</v>
      </c>
      <c r="B348" t="str">
        <f>VLOOKUP(A348,Apps!J:J,1,0)</f>
        <v>mrp_repair</v>
      </c>
    </row>
    <row r="349" spans="1:2" hidden="1" x14ac:dyDescent="0.25">
      <c r="A349" s="14" t="s">
        <v>477</v>
      </c>
      <c r="B349" t="str">
        <f>VLOOKUP(A349,Apps!J:J,1,0)</f>
        <v>mrp_subcontracting</v>
      </c>
    </row>
    <row r="350" spans="1:2" hidden="1" x14ac:dyDescent="0.25">
      <c r="A350" s="14" t="s">
        <v>478</v>
      </c>
      <c r="B350" t="str">
        <f>VLOOKUP(A350,Apps!J:J,1,0)</f>
        <v>mrp_subcontracting_account</v>
      </c>
    </row>
    <row r="351" spans="1:2" ht="30" hidden="1" x14ac:dyDescent="0.25">
      <c r="A351" s="14" t="s">
        <v>479</v>
      </c>
      <c r="B351" t="str">
        <f>VLOOKUP(A351,Apps!J:J,1,0)</f>
        <v>mrp_subcontracting_dropshipping</v>
      </c>
    </row>
    <row r="352" spans="1:2" ht="30" hidden="1" x14ac:dyDescent="0.25">
      <c r="A352" s="14" t="s">
        <v>931</v>
      </c>
      <c r="B352" t="str">
        <f>VLOOKUP(A352,Apps!J:J,1,0)</f>
        <v>mrp_subcontracting_landed_costs</v>
      </c>
    </row>
    <row r="353" spans="1:2" hidden="1" x14ac:dyDescent="0.25">
      <c r="A353" s="14" t="s">
        <v>480</v>
      </c>
      <c r="B353" t="str">
        <f>VLOOKUP(A353,Apps!J:J,1,0)</f>
        <v>mrp_subcontracting_purchase</v>
      </c>
    </row>
    <row r="354" spans="1:2" hidden="1" x14ac:dyDescent="0.25">
      <c r="A354" s="14" t="s">
        <v>481</v>
      </c>
      <c r="B354" t="str">
        <f>VLOOKUP(A354,Apps!J:J,1,0)</f>
        <v>mrp_subcontracting_repair</v>
      </c>
    </row>
    <row r="355" spans="1:2" hidden="1" x14ac:dyDescent="0.25">
      <c r="A355" s="14" t="s">
        <v>485</v>
      </c>
      <c r="B355" t="str">
        <f>VLOOKUP(A355,Apps!J:J,1,0)</f>
        <v>onboarding</v>
      </c>
    </row>
    <row r="356" spans="1:2" hidden="1" x14ac:dyDescent="0.25">
      <c r="A356" s="14" t="s">
        <v>487</v>
      </c>
      <c r="B356" t="str">
        <f>VLOOKUP(A356,Apps!J:J,1,0)</f>
        <v>partner_autocomplete</v>
      </c>
    </row>
    <row r="357" spans="1:2" hidden="1" x14ac:dyDescent="0.25">
      <c r="A357" s="14" t="s">
        <v>488</v>
      </c>
      <c r="B357" t="str">
        <f>VLOOKUP(A357,Apps!J:J,1,0)</f>
        <v>payment</v>
      </c>
    </row>
    <row r="358" spans="1:2" hidden="1" x14ac:dyDescent="0.25">
      <c r="A358" s="14" t="s">
        <v>490</v>
      </c>
      <c r="B358" t="str">
        <f>VLOOKUP(A358,Apps!J:J,1,0)</f>
        <v>payment_adyen</v>
      </c>
    </row>
    <row r="359" spans="1:2" hidden="1" x14ac:dyDescent="0.25">
      <c r="A359" s="14" t="s">
        <v>492</v>
      </c>
      <c r="B359" t="str">
        <f>VLOOKUP(A359,Apps!J:J,1,0)</f>
        <v>payment_aps</v>
      </c>
    </row>
    <row r="360" spans="1:2" hidden="1" x14ac:dyDescent="0.25">
      <c r="A360" s="14" t="s">
        <v>493</v>
      </c>
      <c r="B360" t="str">
        <f>VLOOKUP(A360,Apps!J:J,1,0)</f>
        <v>payment_asiapay</v>
      </c>
    </row>
    <row r="361" spans="1:2" hidden="1" x14ac:dyDescent="0.25">
      <c r="A361" s="14" t="s">
        <v>494</v>
      </c>
      <c r="B361" t="str">
        <f>VLOOKUP(A361,Apps!J:J,1,0)</f>
        <v>payment_authorize</v>
      </c>
    </row>
    <row r="362" spans="1:2" hidden="1" x14ac:dyDescent="0.25">
      <c r="A362" s="14" t="s">
        <v>495</v>
      </c>
      <c r="B362" t="str">
        <f>VLOOKUP(A362,Apps!J:J,1,0)</f>
        <v>payment_buckaroo</v>
      </c>
    </row>
    <row r="363" spans="1:2" hidden="1" x14ac:dyDescent="0.25">
      <c r="A363" s="14" t="s">
        <v>496</v>
      </c>
      <c r="B363" t="str">
        <f>VLOOKUP(A363,Apps!J:J,1,0)</f>
        <v>payment_custom</v>
      </c>
    </row>
    <row r="364" spans="1:2" hidden="1" x14ac:dyDescent="0.25">
      <c r="A364" s="14" t="s">
        <v>497</v>
      </c>
      <c r="B364" t="str">
        <f>VLOOKUP(A364,Apps!J:J,1,0)</f>
        <v>payment_demo</v>
      </c>
    </row>
    <row r="365" spans="1:2" hidden="1" x14ac:dyDescent="0.25">
      <c r="A365" s="14" t="s">
        <v>499</v>
      </c>
      <c r="B365" t="str">
        <f>VLOOKUP(A365,Apps!J:J,1,0)</f>
        <v>payment_flutterwave</v>
      </c>
    </row>
    <row r="366" spans="1:2" hidden="1" x14ac:dyDescent="0.25">
      <c r="A366" s="14" t="s">
        <v>500</v>
      </c>
      <c r="B366" t="str">
        <f>VLOOKUP(A366,Apps!J:J,1,0)</f>
        <v>payment_mercado_pago</v>
      </c>
    </row>
    <row r="367" spans="1:2" hidden="1" x14ac:dyDescent="0.25">
      <c r="A367" s="14" t="s">
        <v>501</v>
      </c>
      <c r="B367" t="str">
        <f>VLOOKUP(A367,Apps!J:J,1,0)</f>
        <v>payment_mollie</v>
      </c>
    </row>
    <row r="368" spans="1:2" x14ac:dyDescent="0.25">
      <c r="A368" s="14" t="s">
        <v>1111</v>
      </c>
      <c r="B368" t="str">
        <f>VLOOKUP(A368,Apps!J:J,1,0)</f>
        <v>payment_nuvei</v>
      </c>
    </row>
    <row r="369" spans="1:2" hidden="1" x14ac:dyDescent="0.25">
      <c r="A369" s="14" t="s">
        <v>503</v>
      </c>
      <c r="B369" t="str">
        <f>VLOOKUP(A369,Apps!J:J,1,0)</f>
        <v>payment_paypal</v>
      </c>
    </row>
    <row r="370" spans="1:2" hidden="1" x14ac:dyDescent="0.25">
      <c r="A370" s="14" t="s">
        <v>507</v>
      </c>
      <c r="B370" t="str">
        <f>VLOOKUP(A370,Apps!J:J,1,0)</f>
        <v>payment_razorpay</v>
      </c>
    </row>
    <row r="371" spans="1:2" hidden="1" x14ac:dyDescent="0.25">
      <c r="A371" s="14" t="s">
        <v>937</v>
      </c>
      <c r="B371" t="str">
        <f>VLOOKUP(A371,Apps!J:J,1,0)</f>
        <v>payment_razorpay_oauth</v>
      </c>
    </row>
    <row r="372" spans="1:2" hidden="1" x14ac:dyDescent="0.25">
      <c r="A372" s="14" t="s">
        <v>509</v>
      </c>
      <c r="B372" t="str">
        <f>VLOOKUP(A372,Apps!J:J,1,0)</f>
        <v>payment_stripe</v>
      </c>
    </row>
    <row r="373" spans="1:2" hidden="1" x14ac:dyDescent="0.25">
      <c r="A373" s="14" t="s">
        <v>938</v>
      </c>
      <c r="B373" t="str">
        <f>VLOOKUP(A373,Apps!J:J,1,0)</f>
        <v>payment_worldline</v>
      </c>
    </row>
    <row r="374" spans="1:2" hidden="1" x14ac:dyDescent="0.25">
      <c r="A374" s="14" t="s">
        <v>940</v>
      </c>
      <c r="B374" t="str">
        <f>VLOOKUP(A374,Apps!J:J,1,0)</f>
        <v>payment_xendit</v>
      </c>
    </row>
    <row r="375" spans="1:2" hidden="1" x14ac:dyDescent="0.25">
      <c r="A375" s="14" t="s">
        <v>510</v>
      </c>
      <c r="B375" t="str">
        <f>VLOOKUP(A375,Apps!J:J,1,0)</f>
        <v>phone_validation</v>
      </c>
    </row>
    <row r="376" spans="1:2" hidden="1" x14ac:dyDescent="0.25">
      <c r="A376" s="14" t="s">
        <v>511</v>
      </c>
      <c r="B376" t="str">
        <f>VLOOKUP(A376,Apps!J:J,1,0)</f>
        <v>point_of_sale</v>
      </c>
    </row>
    <row r="377" spans="1:2" hidden="1" x14ac:dyDescent="0.25">
      <c r="A377" s="14" t="s">
        <v>513</v>
      </c>
      <c r="B377" t="str">
        <f>VLOOKUP(A377,Apps!J:J,1,0)</f>
        <v>portal</v>
      </c>
    </row>
    <row r="378" spans="1:2" hidden="1" x14ac:dyDescent="0.25">
      <c r="A378" s="14" t="s">
        <v>515</v>
      </c>
      <c r="B378" t="str">
        <f>VLOOKUP(A378,Apps!J:J,1,0)</f>
        <v>portal_rating</v>
      </c>
    </row>
    <row r="379" spans="1:2" x14ac:dyDescent="0.25">
      <c r="A379" s="14" t="s">
        <v>1101</v>
      </c>
      <c r="B379" t="str">
        <f>VLOOKUP(A379,Apps!J:J,1,0)</f>
        <v>pos_account_tax_python</v>
      </c>
    </row>
    <row r="380" spans="1:2" hidden="1" x14ac:dyDescent="0.25">
      <c r="A380" s="14" t="s">
        <v>516</v>
      </c>
      <c r="B380" t="str">
        <f>VLOOKUP(A380,Apps!J:J,1,0)</f>
        <v>pos_adyen</v>
      </c>
    </row>
    <row r="381" spans="1:2" hidden="1" x14ac:dyDescent="0.25">
      <c r="A381" s="14" t="s">
        <v>520</v>
      </c>
      <c r="B381" t="str">
        <f>VLOOKUP(A381,Apps!J:J,1,0)</f>
        <v>pos_discount</v>
      </c>
    </row>
    <row r="382" spans="1:2" hidden="1" x14ac:dyDescent="0.25">
      <c r="A382" s="14" t="s">
        <v>521</v>
      </c>
      <c r="B382" t="str">
        <f>VLOOKUP(A382,Apps!J:J,1,0)</f>
        <v>pos_epson_printer</v>
      </c>
    </row>
    <row r="383" spans="1:2" hidden="1" x14ac:dyDescent="0.25">
      <c r="A383" s="14" t="s">
        <v>1051</v>
      </c>
      <c r="B383" t="str">
        <f>VLOOKUP(A383,Apps!J:J,1,0)</f>
        <v>pos_event</v>
      </c>
    </row>
    <row r="384" spans="1:2" hidden="1" x14ac:dyDescent="0.25">
      <c r="A384" s="14" t="s">
        <v>523</v>
      </c>
      <c r="B384" t="str">
        <f>VLOOKUP(A384,Apps!J:J,1,0)</f>
        <v>pos_hr</v>
      </c>
    </row>
    <row r="385" spans="1:2" hidden="1" x14ac:dyDescent="0.25">
      <c r="A385" s="14" t="s">
        <v>524</v>
      </c>
      <c r="B385" t="str">
        <f>VLOOKUP(A385,Apps!J:J,1,0)</f>
        <v>pos_hr_restaurant</v>
      </c>
    </row>
    <row r="386" spans="1:2" hidden="1" x14ac:dyDescent="0.25">
      <c r="A386" s="14" t="s">
        <v>525</v>
      </c>
      <c r="B386" t="str">
        <f>VLOOKUP(A386,Apps!J:J,1,0)</f>
        <v>pos_loyalty</v>
      </c>
    </row>
    <row r="387" spans="1:2" hidden="1" x14ac:dyDescent="0.25">
      <c r="A387" s="14" t="s">
        <v>944</v>
      </c>
      <c r="B387" t="str">
        <f>VLOOKUP(A387,Apps!J:J,1,0)</f>
        <v>pos_mercado_pago</v>
      </c>
    </row>
    <row r="388" spans="1:2" hidden="1" x14ac:dyDescent="0.25">
      <c r="A388" s="14" t="s">
        <v>527</v>
      </c>
      <c r="B388" t="str">
        <f>VLOOKUP(A388,Apps!J:J,1,0)</f>
        <v>pos_mrp</v>
      </c>
    </row>
    <row r="389" spans="1:2" hidden="1" x14ac:dyDescent="0.25">
      <c r="A389" s="14" t="s">
        <v>945</v>
      </c>
      <c r="B389" t="str">
        <f>VLOOKUP(A389,Apps!J:J,1,0)</f>
        <v>pos_online_payment</v>
      </c>
    </row>
    <row r="390" spans="1:2" hidden="1" x14ac:dyDescent="0.25">
      <c r="A390" s="14" t="s">
        <v>946</v>
      </c>
      <c r="B390" t="str">
        <f>VLOOKUP(A390,Apps!J:J,1,0)</f>
        <v>pos_online_payment_self_order</v>
      </c>
    </row>
    <row r="391" spans="1:2" hidden="1" x14ac:dyDescent="0.25">
      <c r="A391" s="14" t="s">
        <v>947</v>
      </c>
      <c r="B391" t="str">
        <f>VLOOKUP(A391,Apps!J:J,1,0)</f>
        <v>pos_paytm</v>
      </c>
    </row>
    <row r="392" spans="1:2" x14ac:dyDescent="0.25">
      <c r="A392" s="14" t="s">
        <v>1084</v>
      </c>
      <c r="B392" t="str">
        <f>VLOOKUP(A392,Apps!J:J,1,0)</f>
        <v>pos_pine_labs</v>
      </c>
    </row>
    <row r="393" spans="1:2" hidden="1" x14ac:dyDescent="0.25">
      <c r="A393" s="14" t="s">
        <v>948</v>
      </c>
      <c r="B393" t="str">
        <f>VLOOKUP(A393,Apps!J:J,1,0)</f>
        <v>pos_razorpay</v>
      </c>
    </row>
    <row r="394" spans="1:2" hidden="1" x14ac:dyDescent="0.25">
      <c r="A394" s="14" t="s">
        <v>528</v>
      </c>
      <c r="B394" t="str">
        <f>VLOOKUP(A394,Apps!J:J,1,0)</f>
        <v>pos_restaurant</v>
      </c>
    </row>
    <row r="395" spans="1:2" hidden="1" x14ac:dyDescent="0.25">
      <c r="A395" s="14" t="s">
        <v>531</v>
      </c>
      <c r="B395" t="str">
        <f>VLOOKUP(A395,Apps!J:J,1,0)</f>
        <v>pos_restaurant_adyen</v>
      </c>
    </row>
    <row r="396" spans="1:2" hidden="1" x14ac:dyDescent="0.25">
      <c r="A396" s="14" t="s">
        <v>951</v>
      </c>
      <c r="B396" t="str">
        <f>VLOOKUP(A396,Apps!J:J,1,0)</f>
        <v>pos_restaurant_loyalty</v>
      </c>
    </row>
    <row r="397" spans="1:2" hidden="1" x14ac:dyDescent="0.25">
      <c r="A397" s="14" t="s">
        <v>532</v>
      </c>
      <c r="B397" t="str">
        <f>VLOOKUP(A397,Apps!J:J,1,0)</f>
        <v>pos_restaurant_stripe</v>
      </c>
    </row>
    <row r="398" spans="1:2" hidden="1" x14ac:dyDescent="0.25">
      <c r="A398" s="14" t="s">
        <v>533</v>
      </c>
      <c r="B398" t="str">
        <f>VLOOKUP(A398,Apps!J:J,1,0)</f>
        <v>pos_sale</v>
      </c>
    </row>
    <row r="399" spans="1:2" hidden="1" x14ac:dyDescent="0.25">
      <c r="A399" s="14" t="s">
        <v>534</v>
      </c>
      <c r="B399" t="str">
        <f>VLOOKUP(A399,Apps!J:J,1,0)</f>
        <v>pos_sale_loyalty</v>
      </c>
    </row>
    <row r="400" spans="1:2" hidden="1" x14ac:dyDescent="0.25">
      <c r="A400" s="14" t="s">
        <v>535</v>
      </c>
      <c r="B400" t="str">
        <f>VLOOKUP(A400,Apps!J:J,1,0)</f>
        <v>pos_sale_margin</v>
      </c>
    </row>
    <row r="401" spans="1:2" hidden="1" x14ac:dyDescent="0.25">
      <c r="A401" s="14" t="s">
        <v>953</v>
      </c>
      <c r="B401" t="str">
        <f>VLOOKUP(A401,Apps!J:J,1,0)</f>
        <v>pos_self_order</v>
      </c>
    </row>
    <row r="402" spans="1:2" hidden="1" x14ac:dyDescent="0.25">
      <c r="A402" s="14" t="s">
        <v>955</v>
      </c>
      <c r="B402" t="str">
        <f>VLOOKUP(A402,Apps!J:J,1,0)</f>
        <v>pos_self_order_adyen</v>
      </c>
    </row>
    <row r="403" spans="1:2" hidden="1" x14ac:dyDescent="0.25">
      <c r="A403" s="14" t="s">
        <v>956</v>
      </c>
      <c r="B403" t="str">
        <f>VLOOKUP(A403,Apps!J:J,1,0)</f>
        <v>pos_self_order_epson_printer</v>
      </c>
    </row>
    <row r="404" spans="1:2" x14ac:dyDescent="0.25">
      <c r="A404" s="14" t="s">
        <v>1102</v>
      </c>
      <c r="B404" t="str">
        <f>VLOOKUP(A404,Apps!J:J,1,0)</f>
        <v>pos_self_order_razorpay</v>
      </c>
    </row>
    <row r="405" spans="1:2" hidden="1" x14ac:dyDescent="0.25">
      <c r="A405" s="14" t="s">
        <v>957</v>
      </c>
      <c r="B405" t="str">
        <f>VLOOKUP(A405,Apps!J:J,1,0)</f>
        <v>pos_self_order_sale</v>
      </c>
    </row>
    <row r="406" spans="1:2" hidden="1" x14ac:dyDescent="0.25">
      <c r="A406" s="14" t="s">
        <v>958</v>
      </c>
      <c r="B406" t="str">
        <f>VLOOKUP(A406,Apps!J:J,1,0)</f>
        <v>pos_self_order_stripe</v>
      </c>
    </row>
    <row r="407" spans="1:2" hidden="1" x14ac:dyDescent="0.25">
      <c r="A407" s="14" t="s">
        <v>537</v>
      </c>
      <c r="B407" t="str">
        <f>VLOOKUP(A407,Apps!J:J,1,0)</f>
        <v>pos_six</v>
      </c>
    </row>
    <row r="408" spans="1:2" hidden="1" x14ac:dyDescent="0.25">
      <c r="A408" s="14" t="s">
        <v>1052</v>
      </c>
      <c r="B408" t="str">
        <f>VLOOKUP(A408,Apps!J:J,1,0)</f>
        <v>pos_sms</v>
      </c>
    </row>
    <row r="409" spans="1:2" hidden="1" x14ac:dyDescent="0.25">
      <c r="A409" s="14" t="s">
        <v>538</v>
      </c>
      <c r="B409" t="str">
        <f>VLOOKUP(A409,Apps!J:J,1,0)</f>
        <v>pos_stripe</v>
      </c>
    </row>
    <row r="410" spans="1:2" hidden="1" x14ac:dyDescent="0.25">
      <c r="A410" s="14" t="s">
        <v>959</v>
      </c>
      <c r="B410" t="str">
        <f>VLOOKUP(A410,Apps!J:J,1,0)</f>
        <v>pos_viva_wallet</v>
      </c>
    </row>
    <row r="411" spans="1:2" hidden="1" x14ac:dyDescent="0.25">
      <c r="A411" s="14" t="s">
        <v>539</v>
      </c>
      <c r="B411" t="str">
        <f>VLOOKUP(A411,Apps!J:J,1,0)</f>
        <v>privacy_lookup</v>
      </c>
    </row>
    <row r="412" spans="1:2" hidden="1" x14ac:dyDescent="0.25">
      <c r="A412" s="14" t="s">
        <v>540</v>
      </c>
      <c r="B412" t="str">
        <f>VLOOKUP(A412,Apps!J:J,1,0)</f>
        <v>product</v>
      </c>
    </row>
    <row r="413" spans="1:2" hidden="1" x14ac:dyDescent="0.25">
      <c r="A413" s="14" t="s">
        <v>542</v>
      </c>
      <c r="B413" t="str">
        <f>VLOOKUP(A413,Apps!J:J,1,0)</f>
        <v>product_email_template</v>
      </c>
    </row>
    <row r="414" spans="1:2" hidden="1" x14ac:dyDescent="0.25">
      <c r="A414" s="14" t="s">
        <v>543</v>
      </c>
      <c r="B414" t="str">
        <f>VLOOKUP(A414,Apps!J:J,1,0)</f>
        <v>product_expiry</v>
      </c>
    </row>
    <row r="415" spans="1:2" hidden="1" x14ac:dyDescent="0.25">
      <c r="A415" s="14" t="s">
        <v>544</v>
      </c>
      <c r="B415" t="str">
        <f>VLOOKUP(A415,Apps!J:J,1,0)</f>
        <v>product_images</v>
      </c>
    </row>
    <row r="416" spans="1:2" hidden="1" x14ac:dyDescent="0.25">
      <c r="A416" s="14" t="s">
        <v>545</v>
      </c>
      <c r="B416" t="str">
        <f>VLOOKUP(A416,Apps!J:J,1,0)</f>
        <v>product_margin</v>
      </c>
    </row>
    <row r="417" spans="1:2" hidden="1" x14ac:dyDescent="0.25">
      <c r="A417" s="14" t="s">
        <v>546</v>
      </c>
      <c r="B417" t="str">
        <f>VLOOKUP(A417,Apps!J:J,1,0)</f>
        <v>product_matrix</v>
      </c>
    </row>
    <row r="418" spans="1:2" x14ac:dyDescent="0.25">
      <c r="A418" s="14" t="s">
        <v>1147</v>
      </c>
      <c r="B418" t="str">
        <f>VLOOKUP(A418,Apps!J:J,1,0)</f>
        <v>product_unique_code</v>
      </c>
    </row>
    <row r="419" spans="1:2" hidden="1" x14ac:dyDescent="0.25">
      <c r="A419" s="14" t="s">
        <v>547</v>
      </c>
      <c r="B419" t="str">
        <f>VLOOKUP(A419,Apps!J:J,1,0)</f>
        <v>project</v>
      </c>
    </row>
    <row r="420" spans="1:2" hidden="1" x14ac:dyDescent="0.25">
      <c r="A420" s="14" t="s">
        <v>964</v>
      </c>
      <c r="B420" t="str">
        <f>VLOOKUP(A420,Apps!J:J,1,0)</f>
        <v>project_account</v>
      </c>
    </row>
    <row r="421" spans="1:2" hidden="1" x14ac:dyDescent="0.25">
      <c r="A421" s="14" t="s">
        <v>549</v>
      </c>
      <c r="B421" t="str">
        <f>VLOOKUP(A421,Apps!J:J,1,0)</f>
        <v>project_hr_expense</v>
      </c>
    </row>
    <row r="422" spans="1:2" hidden="1" x14ac:dyDescent="0.25">
      <c r="A422" s="14" t="s">
        <v>1053</v>
      </c>
      <c r="B422" t="str">
        <f>VLOOKUP(A422,Apps!J:J,1,0)</f>
        <v>project_hr_skills</v>
      </c>
    </row>
    <row r="423" spans="1:2" hidden="1" x14ac:dyDescent="0.25">
      <c r="A423" s="14" t="s">
        <v>550</v>
      </c>
      <c r="B423" t="str">
        <f>VLOOKUP(A423,Apps!J:J,1,0)</f>
        <v>project_mail_plugin</v>
      </c>
    </row>
    <row r="424" spans="1:2" hidden="1" x14ac:dyDescent="0.25">
      <c r="A424" s="14" t="s">
        <v>551</v>
      </c>
      <c r="B424" t="str">
        <f>VLOOKUP(A424,Apps!J:J,1,0)</f>
        <v>project_mrp</v>
      </c>
    </row>
    <row r="425" spans="1:2" hidden="1" x14ac:dyDescent="0.25">
      <c r="A425" s="14" t="s">
        <v>1063</v>
      </c>
      <c r="B425" t="str">
        <f>VLOOKUP(A425,Apps!J:J,1,0)</f>
        <v>project_mrp_account</v>
      </c>
    </row>
    <row r="426" spans="1:2" hidden="1" x14ac:dyDescent="0.25">
      <c r="A426" s="14" t="s">
        <v>1064</v>
      </c>
      <c r="B426" t="str">
        <f>VLOOKUP(A426,Apps!J:J,1,0)</f>
        <v>project_mrp_sale</v>
      </c>
    </row>
    <row r="427" spans="1:2" x14ac:dyDescent="0.25">
      <c r="A427" s="14" t="s">
        <v>1103</v>
      </c>
      <c r="B427" t="str">
        <f>VLOOKUP(A427,Apps!J:J,1,0)</f>
        <v>project_mrp_stock_landed_costs</v>
      </c>
    </row>
    <row r="428" spans="1:2" x14ac:dyDescent="0.25">
      <c r="A428" s="14" t="s">
        <v>1148</v>
      </c>
      <c r="B428" t="str">
        <f>VLOOKUP(A428,Apps!J:J,1,0)</f>
        <v>project_parent</v>
      </c>
    </row>
    <row r="429" spans="1:2" hidden="1" x14ac:dyDescent="0.25">
      <c r="A429" s="14" t="s">
        <v>552</v>
      </c>
      <c r="B429" t="str">
        <f>VLOOKUP(A429,Apps!J:J,1,0)</f>
        <v>project_purchase</v>
      </c>
    </row>
    <row r="430" spans="1:2" hidden="1" x14ac:dyDescent="0.25">
      <c r="A430" s="14" t="s">
        <v>1054</v>
      </c>
      <c r="B430" t="str">
        <f>VLOOKUP(A430,Apps!J:J,1,0)</f>
        <v>project_purchase_stock</v>
      </c>
    </row>
    <row r="431" spans="1:2" x14ac:dyDescent="0.25">
      <c r="A431" s="14" t="s">
        <v>1149</v>
      </c>
      <c r="B431" t="str">
        <f>VLOOKUP(A431,Apps!J:J,1,0)</f>
        <v>project_role</v>
      </c>
    </row>
    <row r="432" spans="1:2" hidden="1" x14ac:dyDescent="0.25">
      <c r="A432" s="14" t="s">
        <v>553</v>
      </c>
      <c r="B432" t="str">
        <f>VLOOKUP(A432,Apps!J:J,1,0)</f>
        <v>project_sale_expense</v>
      </c>
    </row>
    <row r="433" spans="1:2" x14ac:dyDescent="0.25">
      <c r="A433" s="14" t="s">
        <v>1150</v>
      </c>
      <c r="B433" t="str">
        <f>VLOOKUP(A433,Apps!J:J,1,0)</f>
        <v>project_sequence</v>
      </c>
    </row>
    <row r="434" spans="1:2" hidden="1" x14ac:dyDescent="0.25">
      <c r="A434" s="14" t="s">
        <v>554</v>
      </c>
      <c r="B434" t="str">
        <f>VLOOKUP(A434,Apps!J:J,1,0)</f>
        <v>project_sms</v>
      </c>
    </row>
    <row r="435" spans="1:2" hidden="1" x14ac:dyDescent="0.25">
      <c r="A435" s="14" t="s">
        <v>1055</v>
      </c>
      <c r="B435" t="str">
        <f>VLOOKUP(A435,Apps!J:J,1,0)</f>
        <v>project_stock</v>
      </c>
    </row>
    <row r="436" spans="1:2" hidden="1" x14ac:dyDescent="0.25">
      <c r="A436" s="14" t="s">
        <v>1056</v>
      </c>
      <c r="B436" t="str">
        <f>VLOOKUP(A436,Apps!J:J,1,0)</f>
        <v>project_stock_account</v>
      </c>
    </row>
    <row r="437" spans="1:2" x14ac:dyDescent="0.25">
      <c r="A437" s="14" t="s">
        <v>1104</v>
      </c>
      <c r="B437" t="str">
        <f>VLOOKUP(A437,Apps!J:J,1,0)</f>
        <v>project_stock_landed_costs</v>
      </c>
    </row>
    <row r="438" spans="1:2" x14ac:dyDescent="0.25">
      <c r="A438" s="14" t="s">
        <v>1151</v>
      </c>
      <c r="B438" t="str">
        <f>VLOOKUP(A438,Apps!J:J,1,0)</f>
        <v>project_tag_hierarchy</v>
      </c>
    </row>
    <row r="439" spans="1:2" x14ac:dyDescent="0.25">
      <c r="A439" s="14" t="s">
        <v>1152</v>
      </c>
      <c r="B439" t="str">
        <f>VLOOKUP(A439,Apps!J:J,1,0)</f>
        <v>project_tag_multicompany</v>
      </c>
    </row>
    <row r="440" spans="1:2" x14ac:dyDescent="0.25">
      <c r="A440" s="14" t="s">
        <v>1153</v>
      </c>
      <c r="B440" t="str">
        <f>VLOOKUP(A440,Apps!J:J,1,0)</f>
        <v>project_task_default_stage</v>
      </c>
    </row>
    <row r="441" spans="1:2" x14ac:dyDescent="0.25">
      <c r="A441" s="14" t="s">
        <v>1154</v>
      </c>
      <c r="B441" t="str">
        <f>VLOOKUP(A441,Apps!J:J,1,0)</f>
        <v>project_task_stage_state</v>
      </c>
    </row>
    <row r="442" spans="1:2" hidden="1" x14ac:dyDescent="0.25">
      <c r="A442" s="14" t="s">
        <v>555</v>
      </c>
      <c r="B442" t="str">
        <f>VLOOKUP(A442,Apps!J:J,1,0)</f>
        <v>project_timesheet_holidays</v>
      </c>
    </row>
    <row r="443" spans="1:2" x14ac:dyDescent="0.25">
      <c r="A443" s="14" t="s">
        <v>1155</v>
      </c>
      <c r="B443" t="str">
        <f>VLOOKUP(A443,Apps!J:J,1,0)</f>
        <v>project_timesheet_time_control</v>
      </c>
    </row>
    <row r="444" spans="1:2" hidden="1" x14ac:dyDescent="0.25">
      <c r="A444" s="14" t="s">
        <v>556</v>
      </c>
      <c r="B444" t="str">
        <f>VLOOKUP(A444,Apps!J:J,1,0)</f>
        <v>project_todo</v>
      </c>
    </row>
    <row r="445" spans="1:2" x14ac:dyDescent="0.25">
      <c r="A445" s="14" t="s">
        <v>1156</v>
      </c>
      <c r="B445" t="str">
        <f>VLOOKUP(A445,Apps!J:J,1,0)</f>
        <v>project_type</v>
      </c>
    </row>
    <row r="446" spans="1:2" x14ac:dyDescent="0.25">
      <c r="A446" s="14" t="s">
        <v>1157</v>
      </c>
      <c r="B446" t="str">
        <f>VLOOKUP(A446,Apps!J:J,1,0)</f>
        <v>project_unique_code</v>
      </c>
    </row>
    <row r="447" spans="1:2" hidden="1" x14ac:dyDescent="0.25">
      <c r="A447" s="14" t="s">
        <v>559</v>
      </c>
      <c r="B447" t="str">
        <f>VLOOKUP(A447,Apps!J:J,1,0)</f>
        <v>purchase</v>
      </c>
    </row>
    <row r="448" spans="1:2" hidden="1" x14ac:dyDescent="0.25">
      <c r="A448" s="14" t="s">
        <v>1057</v>
      </c>
      <c r="B448" t="str">
        <f>VLOOKUP(A448,Apps!J:J,1,0)</f>
        <v>purchase_edi_ubl_bis3</v>
      </c>
    </row>
    <row r="449" spans="1:2" hidden="1" x14ac:dyDescent="0.25">
      <c r="A449" s="14" t="s">
        <v>561</v>
      </c>
      <c r="B449" t="str">
        <f>VLOOKUP(A449,Apps!J:J,1,0)</f>
        <v>purchase_mrp</v>
      </c>
    </row>
    <row r="450" spans="1:2" hidden="1" x14ac:dyDescent="0.25">
      <c r="A450" s="14" t="s">
        <v>564</v>
      </c>
      <c r="B450" t="str">
        <f>VLOOKUP(A450,Apps!J:J,1,0)</f>
        <v>purchase_product_matrix</v>
      </c>
    </row>
    <row r="451" spans="1:2" hidden="1" x14ac:dyDescent="0.25">
      <c r="A451" s="14" t="s">
        <v>1065</v>
      </c>
      <c r="B451" t="str">
        <f>VLOOKUP(A451,Apps!J:J,1,0)</f>
        <v>purchase_repair</v>
      </c>
    </row>
    <row r="452" spans="1:2" hidden="1" x14ac:dyDescent="0.25">
      <c r="A452" s="14" t="s">
        <v>565</v>
      </c>
      <c r="B452" t="str">
        <f>VLOOKUP(A452,Apps!J:J,1,0)</f>
        <v>purchase_requisition</v>
      </c>
    </row>
    <row r="453" spans="1:2" hidden="1" x14ac:dyDescent="0.25">
      <c r="A453" s="14" t="s">
        <v>968</v>
      </c>
      <c r="B453" t="str">
        <f>VLOOKUP(A453,Apps!J:J,1,0)</f>
        <v>purchase_requisition_sale</v>
      </c>
    </row>
    <row r="454" spans="1:2" hidden="1" x14ac:dyDescent="0.25">
      <c r="A454" s="14" t="s">
        <v>567</v>
      </c>
      <c r="B454" t="str">
        <f>VLOOKUP(A454,Apps!J:J,1,0)</f>
        <v>purchase_requisition_stock</v>
      </c>
    </row>
    <row r="455" spans="1:2" hidden="1" x14ac:dyDescent="0.25">
      <c r="A455" s="14" t="s">
        <v>568</v>
      </c>
      <c r="B455" t="str">
        <f>VLOOKUP(A455,Apps!J:J,1,0)</f>
        <v>purchase_stock</v>
      </c>
    </row>
    <row r="456" spans="1:2" hidden="1" x14ac:dyDescent="0.25">
      <c r="A456" s="14" t="s">
        <v>570</v>
      </c>
      <c r="B456" t="str">
        <f>VLOOKUP(A456,Apps!J:J,1,0)</f>
        <v>rating</v>
      </c>
    </row>
    <row r="457" spans="1:2" hidden="1" x14ac:dyDescent="0.25">
      <c r="A457" s="14" t="s">
        <v>572</v>
      </c>
      <c r="B457" t="str">
        <f>VLOOKUP(A457,Apps!J:J,1,0)</f>
        <v>repair</v>
      </c>
    </row>
    <row r="458" spans="1:2" hidden="1" x14ac:dyDescent="0.25">
      <c r="A458" s="14" t="s">
        <v>575</v>
      </c>
      <c r="B458" t="str">
        <f>VLOOKUP(A458,Apps!J:J,1,0)</f>
        <v>resource</v>
      </c>
    </row>
    <row r="459" spans="1:2" hidden="1" x14ac:dyDescent="0.25">
      <c r="A459" s="14" t="s">
        <v>1043</v>
      </c>
      <c r="B459" t="str">
        <f>VLOOKUP(A459,Apps!J:J,1,0)</f>
        <v>resource_mail</v>
      </c>
    </row>
    <row r="460" spans="1:2" hidden="1" x14ac:dyDescent="0.25">
      <c r="A460" s="14" t="s">
        <v>577</v>
      </c>
      <c r="B460" t="str">
        <f>VLOOKUP(A460,Apps!J:J,1,0)</f>
        <v>sale</v>
      </c>
    </row>
    <row r="461" spans="1:2" hidden="1" x14ac:dyDescent="0.25">
      <c r="A461" s="14" t="s">
        <v>973</v>
      </c>
      <c r="B461" t="str">
        <f>VLOOKUP(A461,Apps!J:J,1,0)</f>
        <v>sale_async_emails</v>
      </c>
    </row>
    <row r="462" spans="1:2" hidden="1" x14ac:dyDescent="0.25">
      <c r="A462" s="14" t="s">
        <v>579</v>
      </c>
      <c r="B462" t="str">
        <f>VLOOKUP(A462,Apps!J:J,1,0)</f>
        <v>sale_crm</v>
      </c>
    </row>
    <row r="463" spans="1:2" hidden="1" x14ac:dyDescent="0.25">
      <c r="A463" s="14" t="s">
        <v>1046</v>
      </c>
      <c r="B463" t="str">
        <f>VLOOKUP(A463,Apps!J:J,1,0)</f>
        <v>sale_edi_ubl</v>
      </c>
    </row>
    <row r="464" spans="1:2" hidden="1" x14ac:dyDescent="0.25">
      <c r="A464" s="14" t="s">
        <v>580</v>
      </c>
      <c r="B464" t="str">
        <f>VLOOKUP(A464,Apps!J:J,1,0)</f>
        <v>sale_expense</v>
      </c>
    </row>
    <row r="465" spans="1:2" hidden="1" x14ac:dyDescent="0.25">
      <c r="A465" s="14" t="s">
        <v>581</v>
      </c>
      <c r="B465" t="str">
        <f>VLOOKUP(A465,Apps!J:J,1,0)</f>
        <v>sale_expense_margin</v>
      </c>
    </row>
    <row r="466" spans="1:2" x14ac:dyDescent="0.25">
      <c r="A466" s="14" t="s">
        <v>1105</v>
      </c>
      <c r="B466" t="str">
        <f>VLOOKUP(A466,Apps!J:J,1,0)</f>
        <v>sale_gelato</v>
      </c>
    </row>
    <row r="467" spans="1:2" x14ac:dyDescent="0.25">
      <c r="A467" s="14" t="s">
        <v>1106</v>
      </c>
      <c r="B467" t="str">
        <f>VLOOKUP(A467,Apps!J:J,1,0)</f>
        <v>sale_gelato_stock</v>
      </c>
    </row>
    <row r="468" spans="1:2" hidden="1" x14ac:dyDescent="0.25">
      <c r="A468" s="14" t="s">
        <v>582</v>
      </c>
      <c r="B468" t="str">
        <f>VLOOKUP(A468,Apps!J:J,1,0)</f>
        <v>sale_loyalty</v>
      </c>
    </row>
    <row r="469" spans="1:2" hidden="1" x14ac:dyDescent="0.25">
      <c r="A469" s="14" t="s">
        <v>583</v>
      </c>
      <c r="B469" t="str">
        <f>VLOOKUP(A469,Apps!J:J,1,0)</f>
        <v>sale_loyalty_delivery</v>
      </c>
    </row>
    <row r="470" spans="1:2" hidden="1" x14ac:dyDescent="0.25">
      <c r="A470" s="14" t="s">
        <v>585</v>
      </c>
      <c r="B470" t="str">
        <f>VLOOKUP(A470,Apps!J:J,1,0)</f>
        <v>sale_management</v>
      </c>
    </row>
    <row r="471" spans="1:2" hidden="1" x14ac:dyDescent="0.25">
      <c r="A471" s="14" t="s">
        <v>587</v>
      </c>
      <c r="B471" t="str">
        <f>VLOOKUP(A471,Apps!J:J,1,0)</f>
        <v>sale_margin</v>
      </c>
    </row>
    <row r="472" spans="1:2" hidden="1" x14ac:dyDescent="0.25">
      <c r="A472" s="14" t="s">
        <v>588</v>
      </c>
      <c r="B472" t="str">
        <f>VLOOKUP(A472,Apps!J:J,1,0)</f>
        <v>sale_mrp</v>
      </c>
    </row>
    <row r="473" spans="1:2" hidden="1" x14ac:dyDescent="0.25">
      <c r="A473" s="14" t="s">
        <v>589</v>
      </c>
      <c r="B473" t="str">
        <f>VLOOKUP(A473,Apps!J:J,1,0)</f>
        <v>sale_mrp_margin</v>
      </c>
    </row>
    <row r="474" spans="1:2" hidden="1" x14ac:dyDescent="0.25">
      <c r="A474" s="14" t="s">
        <v>590</v>
      </c>
      <c r="B474" t="str">
        <f>VLOOKUP(A474,Apps!J:J,1,0)</f>
        <v>sale_pdf_quote_builder</v>
      </c>
    </row>
    <row r="475" spans="1:2" hidden="1" x14ac:dyDescent="0.25">
      <c r="A475" s="14" t="s">
        <v>594</v>
      </c>
      <c r="B475" t="str">
        <f>VLOOKUP(A475,Apps!J:J,1,0)</f>
        <v>sale_product_matrix</v>
      </c>
    </row>
    <row r="476" spans="1:2" hidden="1" x14ac:dyDescent="0.25">
      <c r="A476" s="14" t="s">
        <v>595</v>
      </c>
      <c r="B476" t="str">
        <f>VLOOKUP(A476,Apps!J:J,1,0)</f>
        <v>sale_project</v>
      </c>
    </row>
    <row r="477" spans="1:2" hidden="1" x14ac:dyDescent="0.25">
      <c r="A477" s="14" t="s">
        <v>597</v>
      </c>
      <c r="B477" t="str">
        <f>VLOOKUP(A477,Apps!J:J,1,0)</f>
        <v>sale_project_stock</v>
      </c>
    </row>
    <row r="478" spans="1:2" hidden="1" x14ac:dyDescent="0.25">
      <c r="A478" s="14" t="s">
        <v>1058</v>
      </c>
      <c r="B478" t="str">
        <f>VLOOKUP(A478,Apps!J:J,1,0)</f>
        <v>sale_project_stock_account</v>
      </c>
    </row>
    <row r="479" spans="1:2" hidden="1" x14ac:dyDescent="0.25">
      <c r="A479" s="14" t="s">
        <v>598</v>
      </c>
      <c r="B479" t="str">
        <f>VLOOKUP(A479,Apps!J:J,1,0)</f>
        <v>sale_purchase</v>
      </c>
    </row>
    <row r="480" spans="1:2" hidden="1" x14ac:dyDescent="0.25">
      <c r="A480" s="14" t="s">
        <v>1059</v>
      </c>
      <c r="B480" t="str">
        <f>VLOOKUP(A480,Apps!J:J,1,0)</f>
        <v>sale_purchase_project</v>
      </c>
    </row>
    <row r="481" spans="1:2" hidden="1" x14ac:dyDescent="0.25">
      <c r="A481" s="14" t="s">
        <v>599</v>
      </c>
      <c r="B481" t="str">
        <f>VLOOKUP(A481,Apps!J:J,1,0)</f>
        <v>sale_purchase_stock</v>
      </c>
    </row>
    <row r="482" spans="1:2" hidden="1" x14ac:dyDescent="0.25">
      <c r="A482" s="14" t="s">
        <v>978</v>
      </c>
      <c r="B482" t="str">
        <f>VLOOKUP(A482,Apps!J:J,1,0)</f>
        <v>sale_service</v>
      </c>
    </row>
    <row r="483" spans="1:2" hidden="1" x14ac:dyDescent="0.25">
      <c r="A483" s="14" t="s">
        <v>602</v>
      </c>
      <c r="B483" t="str">
        <f>VLOOKUP(A483,Apps!J:J,1,0)</f>
        <v>sale_sms</v>
      </c>
    </row>
    <row r="484" spans="1:2" hidden="1" x14ac:dyDescent="0.25">
      <c r="A484" s="14" t="s">
        <v>603</v>
      </c>
      <c r="B484" t="str">
        <f>VLOOKUP(A484,Apps!J:J,1,0)</f>
        <v>sale_stock</v>
      </c>
    </row>
    <row r="485" spans="1:2" hidden="1" x14ac:dyDescent="0.25">
      <c r="A485" s="14" t="s">
        <v>604</v>
      </c>
      <c r="B485" t="str">
        <f>VLOOKUP(A485,Apps!J:J,1,0)</f>
        <v>sale_stock_margin</v>
      </c>
    </row>
    <row r="486" spans="1:2" hidden="1" x14ac:dyDescent="0.25">
      <c r="A486" s="14" t="s">
        <v>605</v>
      </c>
      <c r="B486" t="str">
        <f>VLOOKUP(A486,Apps!J:J,1,0)</f>
        <v>sale_timesheet</v>
      </c>
    </row>
    <row r="487" spans="1:2" hidden="1" x14ac:dyDescent="0.25">
      <c r="A487" s="14" t="s">
        <v>607</v>
      </c>
      <c r="B487" t="str">
        <f>VLOOKUP(A487,Apps!J:J,1,0)</f>
        <v>sale_timesheet_margin</v>
      </c>
    </row>
    <row r="488" spans="1:2" hidden="1" x14ac:dyDescent="0.25">
      <c r="A488" s="14" t="s">
        <v>608</v>
      </c>
      <c r="B488" t="str">
        <f>VLOOKUP(A488,Apps!J:J,1,0)</f>
        <v>sales_team</v>
      </c>
    </row>
    <row r="489" spans="1:2" x14ac:dyDescent="0.25">
      <c r="A489" s="14" t="s">
        <v>1158</v>
      </c>
      <c r="B489" t="str">
        <f>VLOOKUP(A489,Apps!J:J,1,0)</f>
        <v>sequence_choice</v>
      </c>
    </row>
    <row r="490" spans="1:2" hidden="1" x14ac:dyDescent="0.25">
      <c r="A490" s="14" t="s">
        <v>609</v>
      </c>
      <c r="B490" t="str">
        <f>VLOOKUP(A490,Apps!J:J,1,0)</f>
        <v>sms</v>
      </c>
    </row>
    <row r="491" spans="1:2" hidden="1" x14ac:dyDescent="0.25">
      <c r="A491" s="14" t="s">
        <v>611</v>
      </c>
      <c r="B491" t="str">
        <f>VLOOKUP(A491,Apps!J:J,1,0)</f>
        <v>snailmail</v>
      </c>
    </row>
    <row r="492" spans="1:2" hidden="1" x14ac:dyDescent="0.25">
      <c r="A492" s="14" t="s">
        <v>613</v>
      </c>
      <c r="B492" t="str">
        <f>VLOOKUP(A492,Apps!J:J,1,0)</f>
        <v>snailmail_account</v>
      </c>
    </row>
    <row r="493" spans="1:2" hidden="1" x14ac:dyDescent="0.25">
      <c r="A493" s="14" t="s">
        <v>615</v>
      </c>
      <c r="B493" t="str">
        <f>VLOOKUP(A493,Apps!J:J,1,0)</f>
        <v>social_media</v>
      </c>
    </row>
    <row r="494" spans="1:2" hidden="1" x14ac:dyDescent="0.25">
      <c r="A494" s="14" t="s">
        <v>616</v>
      </c>
      <c r="B494" t="str">
        <f>VLOOKUP(A494,Apps!J:J,1,0)</f>
        <v>spreadsheet</v>
      </c>
    </row>
    <row r="495" spans="1:2" hidden="1" x14ac:dyDescent="0.25">
      <c r="A495" s="14" t="s">
        <v>618</v>
      </c>
      <c r="B495" t="str">
        <f>VLOOKUP(A495,Apps!J:J,1,0)</f>
        <v>spreadsheet_account</v>
      </c>
    </row>
    <row r="496" spans="1:2" hidden="1" x14ac:dyDescent="0.25">
      <c r="A496" s="14" t="s">
        <v>619</v>
      </c>
      <c r="B496" t="str">
        <f>VLOOKUP(A496,Apps!J:J,1,0)</f>
        <v>spreadsheet_dashboard</v>
      </c>
    </row>
    <row r="497" spans="1:2" hidden="1" x14ac:dyDescent="0.25">
      <c r="A497" s="14" t="s">
        <v>621</v>
      </c>
      <c r="B497" t="str">
        <f>VLOOKUP(A497,Apps!J:J,1,0)</f>
        <v>spreadsheet_dashboard_account</v>
      </c>
    </row>
    <row r="498" spans="1:2" ht="30" hidden="1" x14ac:dyDescent="0.25">
      <c r="A498" s="14" t="s">
        <v>622</v>
      </c>
      <c r="B498" t="str">
        <f>VLOOKUP(A498,Apps!J:J,1,0)</f>
        <v>spreadsheet_dashboard_event_sale</v>
      </c>
    </row>
    <row r="499" spans="1:2" ht="30" hidden="1" x14ac:dyDescent="0.25">
      <c r="A499" s="14" t="s">
        <v>623</v>
      </c>
      <c r="B499" t="str">
        <f>VLOOKUP(A499,Apps!J:J,1,0)</f>
        <v>spreadsheet_dashboard_hr_expense</v>
      </c>
    </row>
    <row r="500" spans="1:2" ht="30" hidden="1" x14ac:dyDescent="0.25">
      <c r="A500" s="14" t="s">
        <v>624</v>
      </c>
      <c r="B500" t="str">
        <f>VLOOKUP(A500,Apps!J:J,1,0)</f>
        <v>spreadsheet_dashboard_hr_timesheet</v>
      </c>
    </row>
    <row r="501" spans="1:2" ht="30" hidden="1" x14ac:dyDescent="0.25">
      <c r="A501" s="14" t="s">
        <v>625</v>
      </c>
      <c r="B501" t="str">
        <f>VLOOKUP(A501,Apps!J:J,1,0)</f>
        <v>spreadsheet_dashboard_im_livechat</v>
      </c>
    </row>
    <row r="502" spans="1:2" hidden="1" x14ac:dyDescent="0.25">
      <c r="A502" s="14" t="s">
        <v>626</v>
      </c>
      <c r="B502" t="str">
        <f>VLOOKUP(A502,Apps!J:J,1,0)</f>
        <v>spreadsheet_dashboard_pos_hr</v>
      </c>
    </row>
    <row r="503" spans="1:2" ht="30" hidden="1" x14ac:dyDescent="0.25">
      <c r="A503" s="14" t="s">
        <v>1066</v>
      </c>
      <c r="B503" t="str">
        <f>VLOOKUP(A503,Apps!J:J,1,0)</f>
        <v>spreadsheet_dashboard_pos_restaurant</v>
      </c>
    </row>
    <row r="504" spans="1:2" hidden="1" x14ac:dyDescent="0.25">
      <c r="A504" s="14" t="s">
        <v>629</v>
      </c>
      <c r="B504" t="str">
        <f>VLOOKUP(A504,Apps!J:J,1,0)</f>
        <v>spreadsheet_dashboard_sale</v>
      </c>
    </row>
    <row r="505" spans="1:2" ht="30" hidden="1" x14ac:dyDescent="0.25">
      <c r="A505" s="14" t="s">
        <v>632</v>
      </c>
      <c r="B505" t="str">
        <f>VLOOKUP(A505,Apps!J:J,1,0)</f>
        <v>spreadsheet_dashboard_sale_timesheet</v>
      </c>
    </row>
    <row r="506" spans="1:2" ht="30" hidden="1" x14ac:dyDescent="0.25">
      <c r="A506" s="14" t="s">
        <v>633</v>
      </c>
      <c r="B506" t="str">
        <f>VLOOKUP(A506,Apps!J:J,1,0)</f>
        <v>spreadsheet_dashboard_stock_account</v>
      </c>
    </row>
    <row r="507" spans="1:2" ht="30" hidden="1" x14ac:dyDescent="0.25">
      <c r="A507" s="14" t="s">
        <v>981</v>
      </c>
      <c r="B507" t="str">
        <f>VLOOKUP(A507,Apps!J:J,1,0)</f>
        <v>spreadsheet_dashboard_website_sale</v>
      </c>
    </row>
    <row r="508" spans="1:2" ht="30" hidden="1" x14ac:dyDescent="0.25">
      <c r="A508" s="14" t="s">
        <v>634</v>
      </c>
      <c r="B508" t="str">
        <f>VLOOKUP(A508,Apps!J:J,1,0)</f>
        <v>spreadsheet_dashboard_website_sale_slides</v>
      </c>
    </row>
    <row r="509" spans="1:2" hidden="1" x14ac:dyDescent="0.25">
      <c r="A509" s="14" t="s">
        <v>635</v>
      </c>
      <c r="B509" t="str">
        <f>VLOOKUP(A509,Apps!J:J,1,0)</f>
        <v>stock</v>
      </c>
    </row>
    <row r="510" spans="1:2" hidden="1" x14ac:dyDescent="0.25">
      <c r="A510" s="14" t="s">
        <v>637</v>
      </c>
      <c r="B510" t="str">
        <f>VLOOKUP(A510,Apps!J:J,1,0)</f>
        <v>stock_account</v>
      </c>
    </row>
    <row r="511" spans="1:2" hidden="1" x14ac:dyDescent="0.25">
      <c r="A511" s="14" t="s">
        <v>986</v>
      </c>
      <c r="B511" t="str">
        <f>VLOOKUP(A511,Apps!J:J,1,0)</f>
        <v>stock_delivery</v>
      </c>
    </row>
    <row r="512" spans="1:2" hidden="1" x14ac:dyDescent="0.25">
      <c r="A512" s="14" t="s">
        <v>639</v>
      </c>
      <c r="B512" t="str">
        <f>VLOOKUP(A512,Apps!J:J,1,0)</f>
        <v>stock_dropshipping</v>
      </c>
    </row>
    <row r="513" spans="1:2" x14ac:dyDescent="0.25">
      <c r="A513" s="14" t="s">
        <v>1107</v>
      </c>
      <c r="B513" t="str">
        <f>VLOOKUP(A513,Apps!J:J,1,0)</f>
        <v>stock_fleet</v>
      </c>
    </row>
    <row r="514" spans="1:2" hidden="1" x14ac:dyDescent="0.25">
      <c r="A514" s="14" t="s">
        <v>641</v>
      </c>
      <c r="B514" t="str">
        <f>VLOOKUP(A514,Apps!J:J,1,0)</f>
        <v>stock_landed_costs</v>
      </c>
    </row>
    <row r="515" spans="1:2" hidden="1" x14ac:dyDescent="0.25">
      <c r="A515" s="14" t="s">
        <v>642</v>
      </c>
      <c r="B515" t="str">
        <f>VLOOKUP(A515,Apps!J:J,1,0)</f>
        <v>stock_picking_batch</v>
      </c>
    </row>
    <row r="516" spans="1:2" hidden="1" x14ac:dyDescent="0.25">
      <c r="A516" s="14" t="s">
        <v>644</v>
      </c>
      <c r="B516" t="str">
        <f>VLOOKUP(A516,Apps!J:J,1,0)</f>
        <v>stock_sms</v>
      </c>
    </row>
    <row r="517" spans="1:2" hidden="1" x14ac:dyDescent="0.25">
      <c r="A517" s="14" t="s">
        <v>645</v>
      </c>
      <c r="B517" t="str">
        <f>VLOOKUP(A517,Apps!J:J,1,0)</f>
        <v>survey</v>
      </c>
    </row>
    <row r="518" spans="1:2" hidden="1" x14ac:dyDescent="0.25">
      <c r="A518" s="14" t="s">
        <v>991</v>
      </c>
      <c r="B518" t="str">
        <f>VLOOKUP(A518,Apps!J:J,1,0)</f>
        <v>test_access_rights</v>
      </c>
    </row>
    <row r="519" spans="1:2" hidden="1" x14ac:dyDescent="0.25">
      <c r="A519" s="14" t="s">
        <v>992</v>
      </c>
      <c r="B519" t="str">
        <f>VLOOKUP(A519,Apps!J:J,1,0)</f>
        <v>test_action_bindings</v>
      </c>
    </row>
    <row r="520" spans="1:2" hidden="1" x14ac:dyDescent="0.25">
      <c r="A520" s="14" t="s">
        <v>993</v>
      </c>
      <c r="B520" t="str">
        <f>VLOOKUP(A520,Apps!J:J,1,0)</f>
        <v>test_apikeys</v>
      </c>
    </row>
    <row r="521" spans="1:2" hidden="1" x14ac:dyDescent="0.25">
      <c r="A521" s="14" t="s">
        <v>994</v>
      </c>
      <c r="B521" t="str">
        <f>VLOOKUP(A521,Apps!J:J,1,0)</f>
        <v>test_assetsbundle</v>
      </c>
    </row>
    <row r="522" spans="1:2" hidden="1" x14ac:dyDescent="0.25">
      <c r="A522" s="14" t="s">
        <v>995</v>
      </c>
      <c r="B522" t="str">
        <f>VLOOKUP(A522,Apps!J:J,1,0)</f>
        <v>test_auth_custom</v>
      </c>
    </row>
    <row r="523" spans="1:2" hidden="1" x14ac:dyDescent="0.25">
      <c r="A523" s="14" t="s">
        <v>647</v>
      </c>
      <c r="B523" t="str">
        <f>VLOOKUP(A523,Apps!J:J,1,0)</f>
        <v>test_base_automation</v>
      </c>
    </row>
    <row r="524" spans="1:2" hidden="1" x14ac:dyDescent="0.25">
      <c r="A524" s="14" t="s">
        <v>997</v>
      </c>
      <c r="B524" t="str">
        <f>VLOOKUP(A524,Apps!J:J,1,0)</f>
        <v>test_convert</v>
      </c>
    </row>
    <row r="525" spans="1:2" hidden="1" x14ac:dyDescent="0.25">
      <c r="A525" s="14" t="s">
        <v>998</v>
      </c>
      <c r="B525" t="str">
        <f>VLOOKUP(A525,Apps!J:J,1,0)</f>
        <v>test_converter</v>
      </c>
    </row>
    <row r="526" spans="1:2" hidden="1" x14ac:dyDescent="0.25">
      <c r="A526" s="14" t="s">
        <v>648</v>
      </c>
      <c r="B526" t="str">
        <f>VLOOKUP(A526,Apps!J:J,1,0)</f>
        <v>test_crm_full</v>
      </c>
    </row>
    <row r="527" spans="1:2" hidden="1" x14ac:dyDescent="0.25">
      <c r="A527" s="14" t="s">
        <v>999</v>
      </c>
      <c r="B527" t="str">
        <f>VLOOKUP(A527,Apps!J:J,1,0)</f>
        <v>test_data_module</v>
      </c>
    </row>
    <row r="528" spans="1:2" hidden="1" x14ac:dyDescent="0.25">
      <c r="A528" s="14" t="s">
        <v>1000</v>
      </c>
      <c r="B528" t="str">
        <f>VLOOKUP(A528,Apps!J:J,1,0)</f>
        <v>test_data_module_install</v>
      </c>
    </row>
    <row r="529" spans="1:2" hidden="1" x14ac:dyDescent="0.25">
      <c r="A529" s="14" t="s">
        <v>649</v>
      </c>
      <c r="B529" t="str">
        <f>VLOOKUP(A529,Apps!J:J,1,0)</f>
        <v>test_discuss_full</v>
      </c>
    </row>
    <row r="530" spans="1:2" hidden="1" x14ac:dyDescent="0.25">
      <c r="A530" s="14" t="s">
        <v>650</v>
      </c>
      <c r="B530" t="str">
        <f>VLOOKUP(A530,Apps!J:J,1,0)</f>
        <v>test_event_full</v>
      </c>
    </row>
    <row r="531" spans="1:2" hidden="1" x14ac:dyDescent="0.25">
      <c r="A531" s="14" t="s">
        <v>1001</v>
      </c>
      <c r="B531" t="str">
        <f>VLOOKUP(A531,Apps!J:J,1,0)</f>
        <v>test_exceptions</v>
      </c>
    </row>
    <row r="532" spans="1:2" x14ac:dyDescent="0.25">
      <c r="A532" s="14" t="s">
        <v>1108</v>
      </c>
      <c r="B532" t="str">
        <f>VLOOKUP(A532,Apps!J:J,1,0)</f>
        <v>test_hr_contract_calendar</v>
      </c>
    </row>
    <row r="533" spans="1:2" hidden="1" x14ac:dyDescent="0.25">
      <c r="A533" s="14" t="s">
        <v>1002</v>
      </c>
      <c r="B533" t="str">
        <f>VLOOKUP(A533,Apps!J:J,1,0)</f>
        <v>test_html_field_history</v>
      </c>
    </row>
    <row r="534" spans="1:2" hidden="1" x14ac:dyDescent="0.25">
      <c r="A534" s="14" t="s">
        <v>1003</v>
      </c>
      <c r="B534" t="str">
        <f>VLOOKUP(A534,Apps!J:J,1,0)</f>
        <v>test_http</v>
      </c>
    </row>
    <row r="535" spans="1:2" x14ac:dyDescent="0.25">
      <c r="A535" s="14" t="s">
        <v>1112</v>
      </c>
      <c r="B535" t="str">
        <f>VLOOKUP(A535,Apps!J:J,1,0)</f>
        <v>test_import_export</v>
      </c>
    </row>
    <row r="536" spans="1:2" hidden="1" x14ac:dyDescent="0.25">
      <c r="A536" s="14" t="s">
        <v>1005</v>
      </c>
      <c r="B536" t="str">
        <f>VLOOKUP(A536,Apps!J:J,1,0)</f>
        <v>test_inherit</v>
      </c>
    </row>
    <row r="537" spans="1:2" hidden="1" x14ac:dyDescent="0.25">
      <c r="A537" s="14" t="s">
        <v>1006</v>
      </c>
      <c r="B537" t="str">
        <f>VLOOKUP(A537,Apps!J:J,1,0)</f>
        <v>test_inherit_depends</v>
      </c>
    </row>
    <row r="538" spans="1:2" hidden="1" x14ac:dyDescent="0.25">
      <c r="A538" s="14" t="s">
        <v>1007</v>
      </c>
      <c r="B538" t="str">
        <f>VLOOKUP(A538,Apps!J:J,1,0)</f>
        <v>test_inherits</v>
      </c>
    </row>
    <row r="539" spans="1:2" hidden="1" x14ac:dyDescent="0.25">
      <c r="A539" s="14" t="s">
        <v>1008</v>
      </c>
      <c r="B539" t="str">
        <f>VLOOKUP(A539,Apps!J:J,1,0)</f>
        <v>test_inherits_depends</v>
      </c>
    </row>
    <row r="540" spans="1:2" hidden="1" x14ac:dyDescent="0.25">
      <c r="A540" s="14" t="s">
        <v>1009</v>
      </c>
      <c r="B540" t="str">
        <f>VLOOKUP(A540,Apps!J:J,1,0)</f>
        <v>test_limits</v>
      </c>
    </row>
    <row r="541" spans="1:2" hidden="1" x14ac:dyDescent="0.25">
      <c r="A541" s="14" t="s">
        <v>1010</v>
      </c>
      <c r="B541" t="str">
        <f>VLOOKUP(A541,Apps!J:J,1,0)</f>
        <v>test_lint</v>
      </c>
    </row>
    <row r="542" spans="1:2" hidden="1" x14ac:dyDescent="0.25">
      <c r="A542" s="14" t="s">
        <v>651</v>
      </c>
      <c r="B542" t="str">
        <f>VLOOKUP(A542,Apps!J:J,1,0)</f>
        <v>test_mail</v>
      </c>
    </row>
    <row r="543" spans="1:2" hidden="1" x14ac:dyDescent="0.25">
      <c r="A543" s="14" t="s">
        <v>652</v>
      </c>
      <c r="B543" t="str">
        <f>VLOOKUP(A543,Apps!J:J,1,0)</f>
        <v>test_mail_full</v>
      </c>
    </row>
    <row r="544" spans="1:2" hidden="1" x14ac:dyDescent="0.25">
      <c r="A544" s="14" t="s">
        <v>653</v>
      </c>
      <c r="B544" t="str">
        <f>VLOOKUP(A544,Apps!J:J,1,0)</f>
        <v>test_mail_sms</v>
      </c>
    </row>
    <row r="545" spans="1:2" hidden="1" x14ac:dyDescent="0.25">
      <c r="A545" s="14" t="s">
        <v>1011</v>
      </c>
      <c r="B545" t="str">
        <f>VLOOKUP(A545,Apps!J:J,1,0)</f>
        <v>test_main_flows</v>
      </c>
    </row>
    <row r="546" spans="1:2" hidden="1" x14ac:dyDescent="0.25">
      <c r="A546" s="14" t="s">
        <v>654</v>
      </c>
      <c r="B546" t="str">
        <f>VLOOKUP(A546,Apps!J:J,1,0)</f>
        <v>test_mass_mailing</v>
      </c>
    </row>
    <row r="547" spans="1:2" hidden="1" x14ac:dyDescent="0.25">
      <c r="A547" s="14" t="s">
        <v>1012</v>
      </c>
      <c r="B547" t="str">
        <f>VLOOKUP(A547,Apps!J:J,1,0)</f>
        <v>test_mimetypes</v>
      </c>
    </row>
    <row r="548" spans="1:2" hidden="1" x14ac:dyDescent="0.25">
      <c r="A548" s="14" t="s">
        <v>1013</v>
      </c>
      <c r="B548" t="str">
        <f>VLOOKUP(A548,Apps!J:J,1,0)</f>
        <v>test_new_api</v>
      </c>
    </row>
    <row r="549" spans="1:2" hidden="1" x14ac:dyDescent="0.25">
      <c r="A549" s="14" t="s">
        <v>1014</v>
      </c>
      <c r="B549" t="str">
        <f>VLOOKUP(A549,Apps!J:J,1,0)</f>
        <v>test_performance</v>
      </c>
    </row>
    <row r="550" spans="1:2" hidden="1" x14ac:dyDescent="0.25">
      <c r="A550" s="14" t="s">
        <v>1016</v>
      </c>
      <c r="B550" t="str">
        <f>VLOOKUP(A550,Apps!J:J,1,0)</f>
        <v>test_read_group</v>
      </c>
    </row>
    <row r="551" spans="1:2" hidden="1" x14ac:dyDescent="0.25">
      <c r="A551" s="14" t="s">
        <v>655</v>
      </c>
      <c r="B551" t="str">
        <f>VLOOKUP(A551,Apps!J:J,1,0)</f>
        <v>test_resource</v>
      </c>
    </row>
    <row r="552" spans="1:2" hidden="1" x14ac:dyDescent="0.25">
      <c r="A552" s="14" t="s">
        <v>1017</v>
      </c>
      <c r="B552" t="str">
        <f>VLOOKUP(A552,Apps!J:J,1,0)</f>
        <v>test_rpc</v>
      </c>
    </row>
    <row r="553" spans="1:2" hidden="1" x14ac:dyDescent="0.25">
      <c r="A553" s="14" t="s">
        <v>656</v>
      </c>
      <c r="B553" t="str">
        <f>VLOOKUP(A553,Apps!J:J,1,0)</f>
        <v>test_sale_product_configurators</v>
      </c>
    </row>
    <row r="554" spans="1:2" x14ac:dyDescent="0.25">
      <c r="A554" s="14" t="s">
        <v>1109</v>
      </c>
      <c r="B554" t="str">
        <f>VLOOKUP(A554,Apps!J:J,1,0)</f>
        <v>test_sale_purchase_edi_ubl</v>
      </c>
    </row>
    <row r="555" spans="1:2" hidden="1" x14ac:dyDescent="0.25">
      <c r="A555" s="14" t="s">
        <v>1018</v>
      </c>
      <c r="B555" t="str">
        <f>VLOOKUP(A555,Apps!J:J,1,0)</f>
        <v>test_search_panel</v>
      </c>
    </row>
    <row r="556" spans="1:2" hidden="1" x14ac:dyDescent="0.25">
      <c r="A556" s="14" t="s">
        <v>1019</v>
      </c>
      <c r="B556" t="str">
        <f>VLOOKUP(A556,Apps!J:J,1,0)</f>
        <v>test_spreadsheet</v>
      </c>
    </row>
    <row r="557" spans="1:2" hidden="1" x14ac:dyDescent="0.25">
      <c r="A557" s="14" t="s">
        <v>1020</v>
      </c>
      <c r="B557" t="str">
        <f>VLOOKUP(A557,Apps!J:J,1,0)</f>
        <v>test_testing_utilities</v>
      </c>
    </row>
    <row r="558" spans="1:2" hidden="1" x14ac:dyDescent="0.25">
      <c r="A558" s="14" t="s">
        <v>1021</v>
      </c>
      <c r="B558" t="str">
        <f>VLOOKUP(A558,Apps!J:J,1,0)</f>
        <v>test_translation_import</v>
      </c>
    </row>
    <row r="559" spans="1:2" hidden="1" x14ac:dyDescent="0.25">
      <c r="A559" s="14" t="s">
        <v>1022</v>
      </c>
      <c r="B559" t="str">
        <f>VLOOKUP(A559,Apps!J:J,1,0)</f>
        <v>test_uninstall</v>
      </c>
    </row>
    <row r="560" spans="1:2" hidden="1" x14ac:dyDescent="0.25">
      <c r="A560" s="14" t="s">
        <v>657</v>
      </c>
      <c r="B560" t="str">
        <f>VLOOKUP(A560,Apps!J:J,1,0)</f>
        <v>test_website</v>
      </c>
    </row>
    <row r="561" spans="1:2" hidden="1" x14ac:dyDescent="0.25">
      <c r="A561" s="14" t="s">
        <v>658</v>
      </c>
      <c r="B561" t="str">
        <f>VLOOKUP(A561,Apps!J:J,1,0)</f>
        <v>test_website_modules</v>
      </c>
    </row>
    <row r="562" spans="1:2" hidden="1" x14ac:dyDescent="0.25">
      <c r="A562" s="14" t="s">
        <v>659</v>
      </c>
      <c r="B562" t="str">
        <f>VLOOKUP(A562,Apps!J:J,1,0)</f>
        <v>test_website_slides_full</v>
      </c>
    </row>
    <row r="563" spans="1:2" hidden="1" x14ac:dyDescent="0.25">
      <c r="A563" s="14" t="s">
        <v>662</v>
      </c>
      <c r="B563" t="str">
        <f>VLOOKUP(A563,Apps!J:J,1,0)</f>
        <v>transifex</v>
      </c>
    </row>
    <row r="564" spans="1:2" hidden="1" x14ac:dyDescent="0.25">
      <c r="A564" s="14" t="s">
        <v>663</v>
      </c>
      <c r="B564" t="str">
        <f>VLOOKUP(A564,Apps!J:J,1,0)</f>
        <v>uom</v>
      </c>
    </row>
    <row r="565" spans="1:2" hidden="1" x14ac:dyDescent="0.25">
      <c r="A565" s="14" t="s">
        <v>664</v>
      </c>
      <c r="B565" t="str">
        <f>VLOOKUP(A565,Apps!J:J,1,0)</f>
        <v>utm</v>
      </c>
    </row>
    <row r="566" spans="1:2" hidden="1" x14ac:dyDescent="0.25">
      <c r="A566" s="14" t="s">
        <v>665</v>
      </c>
      <c r="B566" t="str">
        <f>VLOOKUP(A566,Apps!J:J,1,0)</f>
        <v>web</v>
      </c>
    </row>
    <row r="567" spans="1:2" hidden="1" x14ac:dyDescent="0.25">
      <c r="A567" s="14" t="s">
        <v>666</v>
      </c>
      <c r="B567" t="str">
        <f>VLOOKUP(A567,Apps!J:J,1,0)</f>
        <v>web_editor</v>
      </c>
    </row>
    <row r="568" spans="1:2" hidden="1" x14ac:dyDescent="0.25">
      <c r="A568" s="14" t="s">
        <v>1024</v>
      </c>
      <c r="B568" t="str">
        <f>VLOOKUP(A568,Apps!J:J,1,0)</f>
        <v>web_hierarchy</v>
      </c>
    </row>
    <row r="569" spans="1:2" hidden="1" x14ac:dyDescent="0.25">
      <c r="A569" s="14" t="s">
        <v>670</v>
      </c>
      <c r="B569" t="str">
        <f>VLOOKUP(A569,Apps!J:J,1,0)</f>
        <v>web_tour</v>
      </c>
    </row>
    <row r="570" spans="1:2" hidden="1" x14ac:dyDescent="0.25">
      <c r="A570" s="14" t="s">
        <v>671</v>
      </c>
      <c r="B570" t="str">
        <f>VLOOKUP(A570,Apps!J:J,1,0)</f>
        <v>web_unsplash</v>
      </c>
    </row>
    <row r="571" spans="1:2" hidden="1" x14ac:dyDescent="0.25">
      <c r="A571" s="14" t="s">
        <v>672</v>
      </c>
      <c r="B571" t="str">
        <f>VLOOKUP(A571,Apps!J:J,1,0)</f>
        <v>website</v>
      </c>
    </row>
    <row r="572" spans="1:2" hidden="1" x14ac:dyDescent="0.25">
      <c r="A572" s="14" t="s">
        <v>674</v>
      </c>
      <c r="B572" t="str">
        <f>VLOOKUP(A572,Apps!J:J,1,0)</f>
        <v>website_blog</v>
      </c>
    </row>
    <row r="573" spans="1:2" hidden="1" x14ac:dyDescent="0.25">
      <c r="A573" s="14" t="s">
        <v>1028</v>
      </c>
      <c r="B573" t="str">
        <f>VLOOKUP(A573,Apps!J:J,1,0)</f>
        <v>website_cf_turnstile</v>
      </c>
    </row>
    <row r="574" spans="1:2" hidden="1" x14ac:dyDescent="0.25">
      <c r="A574" s="14" t="s">
        <v>676</v>
      </c>
      <c r="B574" t="str">
        <f>VLOOKUP(A574,Apps!J:J,1,0)</f>
        <v>website_crm</v>
      </c>
    </row>
    <row r="575" spans="1:2" hidden="1" x14ac:dyDescent="0.25">
      <c r="A575" s="14" t="s">
        <v>677</v>
      </c>
      <c r="B575" t="str">
        <f>VLOOKUP(A575,Apps!J:J,1,0)</f>
        <v>website_crm_iap_reveal</v>
      </c>
    </row>
    <row r="576" spans="1:2" hidden="1" x14ac:dyDescent="0.25">
      <c r="A576" s="14" t="s">
        <v>678</v>
      </c>
      <c r="B576" t="str">
        <f>VLOOKUP(A576,Apps!J:J,1,0)</f>
        <v>website_crm_livechat</v>
      </c>
    </row>
    <row r="577" spans="1:2" hidden="1" x14ac:dyDescent="0.25">
      <c r="A577" s="14" t="s">
        <v>679</v>
      </c>
      <c r="B577" t="str">
        <f>VLOOKUP(A577,Apps!J:J,1,0)</f>
        <v>website_crm_partner_assign</v>
      </c>
    </row>
    <row r="578" spans="1:2" hidden="1" x14ac:dyDescent="0.25">
      <c r="A578" s="14" t="s">
        <v>680</v>
      </c>
      <c r="B578" t="str">
        <f>VLOOKUP(A578,Apps!J:J,1,0)</f>
        <v>website_crm_sms</v>
      </c>
    </row>
    <row r="579" spans="1:2" hidden="1" x14ac:dyDescent="0.25">
      <c r="A579" s="14" t="s">
        <v>681</v>
      </c>
      <c r="B579" t="str">
        <f>VLOOKUP(A579,Apps!J:J,1,0)</f>
        <v>website_customer</v>
      </c>
    </row>
    <row r="580" spans="1:2" hidden="1" x14ac:dyDescent="0.25">
      <c r="A580" s="14" t="s">
        <v>682</v>
      </c>
      <c r="B580" t="str">
        <f>VLOOKUP(A580,Apps!J:J,1,0)</f>
        <v>website_event</v>
      </c>
    </row>
    <row r="581" spans="1:2" hidden="1" x14ac:dyDescent="0.25">
      <c r="A581" s="14" t="s">
        <v>684</v>
      </c>
      <c r="B581" t="str">
        <f>VLOOKUP(A581,Apps!J:J,1,0)</f>
        <v>website_event_booth</v>
      </c>
    </row>
    <row r="582" spans="1:2" hidden="1" x14ac:dyDescent="0.25">
      <c r="A582" s="14" t="s">
        <v>685</v>
      </c>
      <c r="B582" t="str">
        <f>VLOOKUP(A582,Apps!J:J,1,0)</f>
        <v>website_event_booth_exhibitor</v>
      </c>
    </row>
    <row r="583" spans="1:2" hidden="1" x14ac:dyDescent="0.25">
      <c r="A583" s="14" t="s">
        <v>686</v>
      </c>
      <c r="B583" t="str">
        <f>VLOOKUP(A583,Apps!J:J,1,0)</f>
        <v>website_event_booth_sale</v>
      </c>
    </row>
    <row r="584" spans="1:2" ht="30" hidden="1" x14ac:dyDescent="0.25">
      <c r="A584" s="14" t="s">
        <v>687</v>
      </c>
      <c r="B584" t="str">
        <f>VLOOKUP(A584,Apps!J:J,1,0)</f>
        <v>website_event_booth_sale_exhibitor</v>
      </c>
    </row>
    <row r="585" spans="1:2" hidden="1" x14ac:dyDescent="0.25">
      <c r="A585" s="14" t="s">
        <v>688</v>
      </c>
      <c r="B585" t="str">
        <f>VLOOKUP(A585,Apps!J:J,1,0)</f>
        <v>website_event_crm</v>
      </c>
    </row>
    <row r="586" spans="1:2" hidden="1" x14ac:dyDescent="0.25">
      <c r="A586" s="14" t="s">
        <v>691</v>
      </c>
      <c r="B586" t="str">
        <f>VLOOKUP(A586,Apps!J:J,1,0)</f>
        <v>website_event_exhibitor</v>
      </c>
    </row>
    <row r="587" spans="1:2" hidden="1" x14ac:dyDescent="0.25">
      <c r="A587" s="14" t="s">
        <v>692</v>
      </c>
      <c r="B587" t="str">
        <f>VLOOKUP(A587,Apps!J:J,1,0)</f>
        <v>website_event_jitsi</v>
      </c>
    </row>
    <row r="588" spans="1:2" hidden="1" x14ac:dyDescent="0.25">
      <c r="A588" s="14" t="s">
        <v>693</v>
      </c>
      <c r="B588" t="str">
        <f>VLOOKUP(A588,Apps!J:J,1,0)</f>
        <v>website_event_meet</v>
      </c>
    </row>
    <row r="589" spans="1:2" hidden="1" x14ac:dyDescent="0.25">
      <c r="A589" s="14" t="s">
        <v>694</v>
      </c>
      <c r="B589" t="str">
        <f>VLOOKUP(A589,Apps!J:J,1,0)</f>
        <v>website_event_meet_quiz</v>
      </c>
    </row>
    <row r="590" spans="1:2" hidden="1" x14ac:dyDescent="0.25">
      <c r="A590" s="14" t="s">
        <v>697</v>
      </c>
      <c r="B590" t="str">
        <f>VLOOKUP(A590,Apps!J:J,1,0)</f>
        <v>website_event_sale</v>
      </c>
    </row>
    <row r="591" spans="1:2" hidden="1" x14ac:dyDescent="0.25">
      <c r="A591" s="14" t="s">
        <v>698</v>
      </c>
      <c r="B591" t="str">
        <f>VLOOKUP(A591,Apps!J:J,1,0)</f>
        <v>website_event_track</v>
      </c>
    </row>
    <row r="592" spans="1:2" hidden="1" x14ac:dyDescent="0.25">
      <c r="A592" s="14" t="s">
        <v>700</v>
      </c>
      <c r="B592" t="str">
        <f>VLOOKUP(A592,Apps!J:J,1,0)</f>
        <v>website_event_track_live</v>
      </c>
    </row>
    <row r="593" spans="1:2" hidden="1" x14ac:dyDescent="0.25">
      <c r="A593" s="14" t="s">
        <v>701</v>
      </c>
      <c r="B593" t="str">
        <f>VLOOKUP(A593,Apps!J:J,1,0)</f>
        <v>website_event_track_live_quiz</v>
      </c>
    </row>
    <row r="594" spans="1:2" hidden="1" x14ac:dyDescent="0.25">
      <c r="A594" s="14" t="s">
        <v>702</v>
      </c>
      <c r="B594" t="str">
        <f>VLOOKUP(A594,Apps!J:J,1,0)</f>
        <v>website_event_track_quiz</v>
      </c>
    </row>
    <row r="595" spans="1:2" hidden="1" x14ac:dyDescent="0.25">
      <c r="A595" s="14" t="s">
        <v>704</v>
      </c>
      <c r="B595" t="str">
        <f>VLOOKUP(A595,Apps!J:J,1,0)</f>
        <v>website_forum</v>
      </c>
    </row>
    <row r="596" spans="1:2" hidden="1" x14ac:dyDescent="0.25">
      <c r="A596" s="14" t="s">
        <v>706</v>
      </c>
      <c r="B596" t="str">
        <f>VLOOKUP(A596,Apps!J:J,1,0)</f>
        <v>website_google_map</v>
      </c>
    </row>
    <row r="597" spans="1:2" hidden="1" x14ac:dyDescent="0.25">
      <c r="A597" s="14" t="s">
        <v>707</v>
      </c>
      <c r="B597" t="str">
        <f>VLOOKUP(A597,Apps!J:J,1,0)</f>
        <v>website_hr_recruitment</v>
      </c>
    </row>
    <row r="598" spans="1:2" hidden="1" x14ac:dyDescent="0.25">
      <c r="A598" s="14" t="s">
        <v>709</v>
      </c>
      <c r="B598" t="str">
        <f>VLOOKUP(A598,Apps!J:J,1,0)</f>
        <v>website_jitsi</v>
      </c>
    </row>
    <row r="599" spans="1:2" hidden="1" x14ac:dyDescent="0.25">
      <c r="A599" s="14" t="s">
        <v>710</v>
      </c>
      <c r="B599" t="str">
        <f>VLOOKUP(A599,Apps!J:J,1,0)</f>
        <v>website_links</v>
      </c>
    </row>
    <row r="600" spans="1:2" hidden="1" x14ac:dyDescent="0.25">
      <c r="A600" s="14" t="s">
        <v>711</v>
      </c>
      <c r="B600" t="str">
        <f>VLOOKUP(A600,Apps!J:J,1,0)</f>
        <v>website_livechat</v>
      </c>
    </row>
    <row r="601" spans="1:2" hidden="1" x14ac:dyDescent="0.25">
      <c r="A601" s="14" t="s">
        <v>712</v>
      </c>
      <c r="B601" t="str">
        <f>VLOOKUP(A601,Apps!J:J,1,0)</f>
        <v>website_mail</v>
      </c>
    </row>
    <row r="602" spans="1:2" hidden="1" x14ac:dyDescent="0.25">
      <c r="A602" s="14" t="s">
        <v>713</v>
      </c>
      <c r="B602" t="str">
        <f>VLOOKUP(A602,Apps!J:J,1,0)</f>
        <v>website_mail_group</v>
      </c>
    </row>
    <row r="603" spans="1:2" hidden="1" x14ac:dyDescent="0.25">
      <c r="A603" s="14" t="s">
        <v>714</v>
      </c>
      <c r="B603" t="str">
        <f>VLOOKUP(A603,Apps!J:J,1,0)</f>
        <v>website_mass_mailing</v>
      </c>
    </row>
    <row r="604" spans="1:2" hidden="1" x14ac:dyDescent="0.25">
      <c r="A604" s="14" t="s">
        <v>715</v>
      </c>
      <c r="B604" t="str">
        <f>VLOOKUP(A604,Apps!J:J,1,0)</f>
        <v>website_mass_mailing_sms</v>
      </c>
    </row>
    <row r="605" spans="1:2" hidden="1" x14ac:dyDescent="0.25">
      <c r="A605" s="14" t="s">
        <v>716</v>
      </c>
      <c r="B605" t="str">
        <f>VLOOKUP(A605,Apps!J:J,1,0)</f>
        <v>website_membership</v>
      </c>
    </row>
    <row r="606" spans="1:2" hidden="1" x14ac:dyDescent="0.25">
      <c r="A606" s="14" t="s">
        <v>717</v>
      </c>
      <c r="B606" t="str">
        <f>VLOOKUP(A606,Apps!J:J,1,0)</f>
        <v>website_partner</v>
      </c>
    </row>
    <row r="607" spans="1:2" hidden="1" x14ac:dyDescent="0.25">
      <c r="A607" s="14" t="s">
        <v>718</v>
      </c>
      <c r="B607" t="str">
        <f>VLOOKUP(A607,Apps!J:J,1,0)</f>
        <v>website_payment</v>
      </c>
    </row>
    <row r="608" spans="1:2" hidden="1" x14ac:dyDescent="0.25">
      <c r="A608" s="14" t="s">
        <v>719</v>
      </c>
      <c r="B608" t="str">
        <f>VLOOKUP(A608,Apps!J:J,1,0)</f>
        <v>website_payment_authorize</v>
      </c>
    </row>
    <row r="609" spans="1:2" hidden="1" x14ac:dyDescent="0.25">
      <c r="A609" s="14" t="s">
        <v>721</v>
      </c>
      <c r="B609" t="str">
        <f>VLOOKUP(A609,Apps!J:J,1,0)</f>
        <v>website_profile</v>
      </c>
    </row>
    <row r="610" spans="1:2" hidden="1" x14ac:dyDescent="0.25">
      <c r="A610" s="14" t="s">
        <v>1032</v>
      </c>
      <c r="B610" t="str">
        <f>VLOOKUP(A610,Apps!J:J,1,0)</f>
        <v>website_project</v>
      </c>
    </row>
    <row r="611" spans="1:2" hidden="1" x14ac:dyDescent="0.25">
      <c r="A611" s="14" t="s">
        <v>722</v>
      </c>
      <c r="B611" t="str">
        <f>VLOOKUP(A611,Apps!J:J,1,0)</f>
        <v>website_sale</v>
      </c>
    </row>
    <row r="612" spans="1:2" hidden="1" x14ac:dyDescent="0.25">
      <c r="A612" s="14" t="s">
        <v>724</v>
      </c>
      <c r="B612" t="str">
        <f>VLOOKUP(A612,Apps!J:J,1,0)</f>
        <v>website_sale_autocomplete</v>
      </c>
    </row>
    <row r="613" spans="1:2" hidden="1" x14ac:dyDescent="0.25">
      <c r="A613" s="14" t="s">
        <v>1035</v>
      </c>
      <c r="B613" t="str">
        <f>VLOOKUP(A613,Apps!J:J,1,0)</f>
        <v>website_sale_collect</v>
      </c>
    </row>
    <row r="614" spans="1:2" hidden="1" x14ac:dyDescent="0.25">
      <c r="A614" s="14" t="s">
        <v>725</v>
      </c>
      <c r="B614" t="str">
        <f>VLOOKUP(A614,Apps!J:J,1,0)</f>
        <v>website_sale_comparison</v>
      </c>
    </row>
    <row r="615" spans="1:2" ht="30" hidden="1" x14ac:dyDescent="0.25">
      <c r="A615" s="14" t="s">
        <v>726</v>
      </c>
      <c r="B615" t="str">
        <f>VLOOKUP(A615,Apps!J:J,1,0)</f>
        <v>website_sale_comparison_wishlist</v>
      </c>
    </row>
    <row r="616" spans="1:2" x14ac:dyDescent="0.25">
      <c r="A616" s="14" t="s">
        <v>1110</v>
      </c>
      <c r="B616" t="str">
        <f>VLOOKUP(A616,Apps!J:J,1,0)</f>
        <v>website_sale_gelato</v>
      </c>
    </row>
    <row r="617" spans="1:2" hidden="1" x14ac:dyDescent="0.25">
      <c r="A617" s="14" t="s">
        <v>732</v>
      </c>
      <c r="B617" t="str">
        <f>VLOOKUP(A617,Apps!J:J,1,0)</f>
        <v>website_sale_loyalty</v>
      </c>
    </row>
    <row r="618" spans="1:2" hidden="1" x14ac:dyDescent="0.25">
      <c r="A618" s="14" t="s">
        <v>1067</v>
      </c>
      <c r="B618" t="str">
        <f>VLOOKUP(A618,Apps!J:J,1,0)</f>
        <v>website_sale_mass_mailing</v>
      </c>
    </row>
    <row r="619" spans="1:2" hidden="1" x14ac:dyDescent="0.25">
      <c r="A619" s="14" t="s">
        <v>735</v>
      </c>
      <c r="B619" t="str">
        <f>VLOOKUP(A619,Apps!J:J,1,0)</f>
        <v>website_sale_mondialrelay</v>
      </c>
    </row>
    <row r="620" spans="1:2" hidden="1" x14ac:dyDescent="0.25">
      <c r="A620" s="14" t="s">
        <v>741</v>
      </c>
      <c r="B620" t="str">
        <f>VLOOKUP(A620,Apps!J:J,1,0)</f>
        <v>website_sale_slides</v>
      </c>
    </row>
    <row r="621" spans="1:2" hidden="1" x14ac:dyDescent="0.25">
      <c r="A621" s="14" t="s">
        <v>742</v>
      </c>
      <c r="B621" t="str">
        <f>VLOOKUP(A621,Apps!J:J,1,0)</f>
        <v>website_sale_stock</v>
      </c>
    </row>
    <row r="622" spans="1:2" hidden="1" x14ac:dyDescent="0.25">
      <c r="A622" s="14" t="s">
        <v>745</v>
      </c>
      <c r="B622" t="str">
        <f>VLOOKUP(A622,Apps!J:J,1,0)</f>
        <v>website_sale_stock_wishlist</v>
      </c>
    </row>
    <row r="623" spans="1:2" hidden="1" x14ac:dyDescent="0.25">
      <c r="A623" s="14" t="s">
        <v>746</v>
      </c>
      <c r="B623" t="str">
        <f>VLOOKUP(A623,Apps!J:J,1,0)</f>
        <v>website_sale_wishlist</v>
      </c>
    </row>
    <row r="624" spans="1:2" hidden="1" x14ac:dyDescent="0.25">
      <c r="A624" s="14" t="s">
        <v>747</v>
      </c>
      <c r="B624" t="str">
        <f>VLOOKUP(A624,Apps!J:J,1,0)</f>
        <v>website_slides</v>
      </c>
    </row>
    <row r="625" spans="1:2" hidden="1" x14ac:dyDescent="0.25">
      <c r="A625" s="14" t="s">
        <v>749</v>
      </c>
      <c r="B625" t="str">
        <f>VLOOKUP(A625,Apps!J:J,1,0)</f>
        <v>website_slides_forum</v>
      </c>
    </row>
    <row r="626" spans="1:2" hidden="1" x14ac:dyDescent="0.25">
      <c r="A626" s="14" t="s">
        <v>750</v>
      </c>
      <c r="B626" t="str">
        <f>VLOOKUP(A626,Apps!J:J,1,0)</f>
        <v>website_slides_survey</v>
      </c>
    </row>
    <row r="627" spans="1:2" hidden="1" x14ac:dyDescent="0.25">
      <c r="A627" s="14" t="s">
        <v>751</v>
      </c>
      <c r="B627" t="str">
        <f>VLOOKUP(A627,Apps!J:J,1,0)</f>
        <v>website_sms</v>
      </c>
    </row>
  </sheetData>
  <autoFilter ref="A1:B627" xr:uid="{FA26E8EF-FA0D-43EE-A376-891C08C4CFCC}">
    <filterColumn colId="1">
      <filters>
        <filter val="#I/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44F0-CA26-48F4-BD9D-D577D3D06943}">
  <dimension ref="A1:E635"/>
  <sheetViews>
    <sheetView workbookViewId="0">
      <selection activeCell="A19" sqref="A19"/>
    </sheetView>
  </sheetViews>
  <sheetFormatPr baseColWidth="10" defaultRowHeight="15" x14ac:dyDescent="0.25"/>
  <cols>
    <col min="1" max="1" width="8.5703125" customWidth="1"/>
    <col min="2" max="2" width="46.42578125" bestFit="1" customWidth="1"/>
    <col min="3" max="3" width="18.7109375" bestFit="1" customWidth="1"/>
    <col min="4" max="4" width="6" bestFit="1" customWidth="1"/>
    <col min="5" max="6" width="9.140625" bestFit="1" customWidth="1"/>
    <col min="7" max="7" width="22.28515625" bestFit="1" customWidth="1"/>
    <col min="8" max="8" width="24.5703125" bestFit="1" customWidth="1"/>
  </cols>
  <sheetData>
    <row r="1" spans="1:5" x14ac:dyDescent="0.25">
      <c r="B1" t="s">
        <v>1167</v>
      </c>
      <c r="D1">
        <v>3</v>
      </c>
    </row>
    <row r="2" spans="1:5" x14ac:dyDescent="0.25">
      <c r="A2" t="s">
        <v>1162</v>
      </c>
      <c r="B2" t="s">
        <v>1041</v>
      </c>
      <c r="C2">
        <v>3</v>
      </c>
      <c r="D2">
        <v>0.3</v>
      </c>
    </row>
    <row r="4" spans="1:5" x14ac:dyDescent="0.25">
      <c r="A4" t="s">
        <v>1162</v>
      </c>
      <c r="B4" s="11" t="s">
        <v>762</v>
      </c>
      <c r="C4" s="11" t="s">
        <v>757</v>
      </c>
    </row>
    <row r="5" spans="1:5" x14ac:dyDescent="0.25">
      <c r="B5" s="11" t="s">
        <v>760</v>
      </c>
      <c r="C5" t="s">
        <v>753</v>
      </c>
      <c r="D5" t="s">
        <v>1038</v>
      </c>
      <c r="E5" t="s">
        <v>759</v>
      </c>
    </row>
    <row r="6" spans="1:5" x14ac:dyDescent="0.25">
      <c r="A6">
        <f>IF(C6="",SUMPRODUCT($C$1:$D$1,$C6:$D6),SUMPRODUCT($C$2:$D$2,$C6:$D6))</f>
        <v>240</v>
      </c>
      <c r="B6" s="12" t="s">
        <v>0</v>
      </c>
      <c r="C6">
        <v>0</v>
      </c>
      <c r="D6">
        <v>800</v>
      </c>
      <c r="E6">
        <v>800</v>
      </c>
    </row>
    <row r="7" spans="1:5" x14ac:dyDescent="0.25">
      <c r="A7">
        <f t="shared" ref="A7:A70" si="0">IF(C7="",SUMPRODUCT($C$1:$D$1,$C7:$D7),SUMPRODUCT($C$2:$D$2,$C7:$D7))</f>
        <v>0</v>
      </c>
      <c r="B7" s="12" t="s">
        <v>765</v>
      </c>
      <c r="D7">
        <v>0</v>
      </c>
      <c r="E7">
        <v>0</v>
      </c>
    </row>
    <row r="8" spans="1:5" x14ac:dyDescent="0.25">
      <c r="A8">
        <f t="shared" si="0"/>
        <v>7.5</v>
      </c>
      <c r="B8" s="12" t="s">
        <v>4</v>
      </c>
      <c r="C8">
        <v>0</v>
      </c>
      <c r="D8">
        <v>25</v>
      </c>
      <c r="E8">
        <v>25</v>
      </c>
    </row>
    <row r="9" spans="1:5" x14ac:dyDescent="0.25">
      <c r="A9">
        <f t="shared" si="0"/>
        <v>34.5</v>
      </c>
      <c r="B9" s="12" t="s">
        <v>6</v>
      </c>
      <c r="C9">
        <v>10</v>
      </c>
      <c r="D9">
        <v>15</v>
      </c>
      <c r="E9">
        <v>25</v>
      </c>
    </row>
    <row r="10" spans="1:5" x14ac:dyDescent="0.25">
      <c r="A10">
        <f t="shared" si="0"/>
        <v>0</v>
      </c>
      <c r="B10" s="12" t="s">
        <v>9</v>
      </c>
      <c r="C10">
        <v>0</v>
      </c>
      <c r="D10">
        <v>0</v>
      </c>
      <c r="E10">
        <v>0</v>
      </c>
    </row>
    <row r="11" spans="1:5" x14ac:dyDescent="0.25">
      <c r="A11">
        <f t="shared" si="0"/>
        <v>81</v>
      </c>
      <c r="B11" s="12" t="s">
        <v>11</v>
      </c>
      <c r="C11">
        <v>25</v>
      </c>
      <c r="D11">
        <v>20</v>
      </c>
      <c r="E11">
        <v>45</v>
      </c>
    </row>
    <row r="12" spans="1:5" x14ac:dyDescent="0.25">
      <c r="A12">
        <f t="shared" si="0"/>
        <v>12.299999999999999</v>
      </c>
      <c r="B12" s="12" t="s">
        <v>14</v>
      </c>
      <c r="C12">
        <v>0</v>
      </c>
      <c r="D12">
        <v>41</v>
      </c>
      <c r="E12">
        <v>41</v>
      </c>
    </row>
    <row r="13" spans="1:5" x14ac:dyDescent="0.25">
      <c r="A13">
        <f t="shared" si="0"/>
        <v>0</v>
      </c>
      <c r="B13" s="12" t="s">
        <v>16</v>
      </c>
      <c r="C13">
        <v>0</v>
      </c>
      <c r="D13">
        <v>0</v>
      </c>
      <c r="E13">
        <v>0</v>
      </c>
    </row>
    <row r="14" spans="1:5" x14ac:dyDescent="0.25">
      <c r="A14">
        <f t="shared" si="0"/>
        <v>7.5</v>
      </c>
      <c r="B14" s="12" t="s">
        <v>18</v>
      </c>
      <c r="C14">
        <v>0</v>
      </c>
      <c r="D14">
        <v>25</v>
      </c>
      <c r="E14">
        <v>25</v>
      </c>
    </row>
    <row r="15" spans="1:5" x14ac:dyDescent="0.25">
      <c r="A15">
        <f t="shared" si="0"/>
        <v>30</v>
      </c>
      <c r="B15" s="12" t="s">
        <v>19</v>
      </c>
      <c r="C15">
        <v>10</v>
      </c>
      <c r="D15">
        <v>0</v>
      </c>
      <c r="E15">
        <v>10</v>
      </c>
    </row>
    <row r="16" spans="1:5" x14ac:dyDescent="0.25">
      <c r="A16">
        <f t="shared" si="0"/>
        <v>3.3</v>
      </c>
      <c r="B16" s="12" t="s">
        <v>20</v>
      </c>
      <c r="C16">
        <v>0</v>
      </c>
      <c r="D16">
        <v>11</v>
      </c>
      <c r="E16">
        <v>11</v>
      </c>
    </row>
    <row r="17" spans="1:5" x14ac:dyDescent="0.25">
      <c r="A17">
        <f t="shared" si="0"/>
        <v>0</v>
      </c>
      <c r="B17" s="12" t="s">
        <v>22</v>
      </c>
      <c r="C17">
        <v>0</v>
      </c>
      <c r="E17">
        <v>0</v>
      </c>
    </row>
    <row r="18" spans="1:5" x14ac:dyDescent="0.25">
      <c r="A18">
        <f t="shared" si="0"/>
        <v>0</v>
      </c>
      <c r="B18" s="12" t="s">
        <v>769</v>
      </c>
      <c r="D18">
        <v>0</v>
      </c>
      <c r="E18">
        <v>0</v>
      </c>
    </row>
    <row r="19" spans="1:5" x14ac:dyDescent="0.25">
      <c r="A19">
        <f t="shared" si="0"/>
        <v>258</v>
      </c>
      <c r="B19" s="12" t="s">
        <v>770</v>
      </c>
      <c r="D19">
        <v>86</v>
      </c>
      <c r="E19">
        <v>86</v>
      </c>
    </row>
    <row r="20" spans="1:5" x14ac:dyDescent="0.25">
      <c r="A20">
        <f>IF(C20="",SUMPRODUCT($C$1:$D$1,$C20:$D20),SUMPRODUCT($C$2:$D$2,$C20:$D20))</f>
        <v>45</v>
      </c>
      <c r="B20" s="12" t="s">
        <v>773</v>
      </c>
      <c r="D20">
        <v>15</v>
      </c>
      <c r="E20">
        <v>15</v>
      </c>
    </row>
    <row r="21" spans="1:5" x14ac:dyDescent="0.25">
      <c r="A21">
        <f t="shared" si="0"/>
        <v>3</v>
      </c>
      <c r="B21" s="12" t="s">
        <v>24</v>
      </c>
      <c r="C21">
        <v>0</v>
      </c>
      <c r="D21">
        <v>10</v>
      </c>
      <c r="E21">
        <v>10</v>
      </c>
    </row>
    <row r="22" spans="1:5" x14ac:dyDescent="0.25">
      <c r="A22">
        <f t="shared" si="0"/>
        <v>0</v>
      </c>
      <c r="B22" s="12" t="s">
        <v>26</v>
      </c>
      <c r="C22">
        <v>0</v>
      </c>
      <c r="E22">
        <v>0</v>
      </c>
    </row>
    <row r="23" spans="1:5" x14ac:dyDescent="0.25">
      <c r="A23">
        <f t="shared" si="0"/>
        <v>82.5</v>
      </c>
      <c r="B23" s="12" t="s">
        <v>28</v>
      </c>
      <c r="C23">
        <v>25</v>
      </c>
      <c r="D23">
        <v>25</v>
      </c>
      <c r="E23">
        <v>50</v>
      </c>
    </row>
    <row r="24" spans="1:5" x14ac:dyDescent="0.25">
      <c r="A24">
        <f t="shared" si="0"/>
        <v>33</v>
      </c>
      <c r="B24" s="12" t="s">
        <v>30</v>
      </c>
      <c r="C24">
        <v>10</v>
      </c>
      <c r="D24">
        <v>10</v>
      </c>
      <c r="E24">
        <v>20</v>
      </c>
    </row>
    <row r="25" spans="1:5" x14ac:dyDescent="0.25">
      <c r="A25">
        <f t="shared" si="0"/>
        <v>0</v>
      </c>
      <c r="B25" s="12" t="s">
        <v>31</v>
      </c>
      <c r="C25">
        <v>0</v>
      </c>
      <c r="D25">
        <v>0</v>
      </c>
      <c r="E25">
        <v>0</v>
      </c>
    </row>
    <row r="26" spans="1:5" x14ac:dyDescent="0.25">
      <c r="A26">
        <f t="shared" si="0"/>
        <v>0</v>
      </c>
      <c r="B26" s="12" t="s">
        <v>32</v>
      </c>
      <c r="C26">
        <v>0</v>
      </c>
      <c r="D26">
        <v>0</v>
      </c>
      <c r="E26">
        <v>0</v>
      </c>
    </row>
    <row r="27" spans="1:5" x14ac:dyDescent="0.25">
      <c r="A27">
        <f t="shared" si="0"/>
        <v>0</v>
      </c>
      <c r="B27" s="12" t="s">
        <v>34</v>
      </c>
      <c r="C27">
        <v>0</v>
      </c>
      <c r="E27">
        <v>0</v>
      </c>
    </row>
    <row r="28" spans="1:5" x14ac:dyDescent="0.25">
      <c r="A28">
        <f t="shared" si="0"/>
        <v>3</v>
      </c>
      <c r="B28" s="12" t="s">
        <v>36</v>
      </c>
      <c r="C28">
        <v>0</v>
      </c>
      <c r="D28">
        <v>10</v>
      </c>
      <c r="E28">
        <v>10</v>
      </c>
    </row>
    <row r="29" spans="1:5" x14ac:dyDescent="0.25">
      <c r="A29">
        <f t="shared" si="0"/>
        <v>0</v>
      </c>
      <c r="B29" s="12" t="s">
        <v>37</v>
      </c>
      <c r="C29">
        <v>0</v>
      </c>
      <c r="D29">
        <v>0</v>
      </c>
      <c r="E29">
        <v>0</v>
      </c>
    </row>
    <row r="30" spans="1:5" x14ac:dyDescent="0.25">
      <c r="A30">
        <f t="shared" si="0"/>
        <v>0</v>
      </c>
      <c r="B30" s="12" t="s">
        <v>38</v>
      </c>
      <c r="C30">
        <v>0</v>
      </c>
      <c r="D30">
        <v>0</v>
      </c>
      <c r="E30">
        <v>0</v>
      </c>
    </row>
    <row r="31" spans="1:5" x14ac:dyDescent="0.25">
      <c r="A31">
        <f t="shared" si="0"/>
        <v>3</v>
      </c>
      <c r="B31" s="12" t="s">
        <v>39</v>
      </c>
      <c r="C31">
        <v>0</v>
      </c>
      <c r="D31">
        <v>10</v>
      </c>
      <c r="E31">
        <v>10</v>
      </c>
    </row>
    <row r="32" spans="1:5" x14ac:dyDescent="0.25">
      <c r="A32">
        <f t="shared" si="0"/>
        <v>33</v>
      </c>
      <c r="B32" s="12" t="s">
        <v>40</v>
      </c>
      <c r="C32">
        <v>10</v>
      </c>
      <c r="D32">
        <v>10</v>
      </c>
      <c r="E32">
        <v>20</v>
      </c>
    </row>
    <row r="33" spans="1:5" x14ac:dyDescent="0.25">
      <c r="A33">
        <f t="shared" si="0"/>
        <v>3</v>
      </c>
      <c r="B33" s="12" t="s">
        <v>41</v>
      </c>
      <c r="C33">
        <v>0</v>
      </c>
      <c r="D33">
        <v>10</v>
      </c>
      <c r="E33">
        <v>10</v>
      </c>
    </row>
    <row r="34" spans="1:5" x14ac:dyDescent="0.25">
      <c r="A34">
        <f t="shared" si="0"/>
        <v>0</v>
      </c>
      <c r="B34" s="12" t="s">
        <v>42</v>
      </c>
      <c r="C34">
        <v>0</v>
      </c>
      <c r="D34">
        <v>0</v>
      </c>
      <c r="E34">
        <v>0</v>
      </c>
    </row>
    <row r="35" spans="1:5" x14ac:dyDescent="0.25">
      <c r="A35">
        <f t="shared" si="0"/>
        <v>0</v>
      </c>
      <c r="B35" s="12" t="s">
        <v>44</v>
      </c>
      <c r="C35">
        <v>0</v>
      </c>
      <c r="D35">
        <v>0</v>
      </c>
      <c r="E35">
        <v>0</v>
      </c>
    </row>
    <row r="36" spans="1:5" x14ac:dyDescent="0.25">
      <c r="A36">
        <f t="shared" si="0"/>
        <v>3</v>
      </c>
      <c r="B36" s="12" t="s">
        <v>45</v>
      </c>
      <c r="C36">
        <v>0</v>
      </c>
      <c r="D36">
        <v>10</v>
      </c>
      <c r="E36">
        <v>10</v>
      </c>
    </row>
    <row r="37" spans="1:5" x14ac:dyDescent="0.25">
      <c r="A37">
        <f t="shared" si="0"/>
        <v>0</v>
      </c>
      <c r="B37" s="12" t="s">
        <v>46</v>
      </c>
      <c r="C37">
        <v>0</v>
      </c>
      <c r="D37">
        <v>0</v>
      </c>
      <c r="E37">
        <v>0</v>
      </c>
    </row>
    <row r="38" spans="1:5" x14ac:dyDescent="0.25">
      <c r="A38">
        <f t="shared" si="0"/>
        <v>3</v>
      </c>
      <c r="B38" s="12" t="s">
        <v>47</v>
      </c>
      <c r="C38">
        <v>0</v>
      </c>
      <c r="D38">
        <v>10</v>
      </c>
      <c r="E38">
        <v>10</v>
      </c>
    </row>
    <row r="39" spans="1:5" x14ac:dyDescent="0.25">
      <c r="A39">
        <f t="shared" si="0"/>
        <v>0</v>
      </c>
      <c r="B39" s="12" t="s">
        <v>48</v>
      </c>
      <c r="C39">
        <v>0</v>
      </c>
      <c r="D39">
        <v>0</v>
      </c>
      <c r="E39">
        <v>0</v>
      </c>
    </row>
    <row r="40" spans="1:5" x14ac:dyDescent="0.25">
      <c r="A40">
        <f t="shared" si="0"/>
        <v>0</v>
      </c>
      <c r="B40" s="12" t="s">
        <v>49</v>
      </c>
      <c r="C40">
        <v>0</v>
      </c>
      <c r="D40">
        <v>0</v>
      </c>
      <c r="E40">
        <v>0</v>
      </c>
    </row>
    <row r="41" spans="1:5" x14ac:dyDescent="0.25">
      <c r="A41">
        <f t="shared" si="0"/>
        <v>0</v>
      </c>
      <c r="B41" s="12" t="s">
        <v>775</v>
      </c>
      <c r="D41">
        <v>0</v>
      </c>
      <c r="E41">
        <v>0</v>
      </c>
    </row>
    <row r="42" spans="1:5" x14ac:dyDescent="0.25">
      <c r="A42">
        <f t="shared" si="0"/>
        <v>0</v>
      </c>
      <c r="B42" s="12" t="s">
        <v>50</v>
      </c>
      <c r="C42">
        <v>0</v>
      </c>
      <c r="D42">
        <v>0</v>
      </c>
      <c r="E42">
        <v>0</v>
      </c>
    </row>
    <row r="43" spans="1:5" x14ac:dyDescent="0.25">
      <c r="A43">
        <f t="shared" si="0"/>
        <v>288.00000000000006</v>
      </c>
      <c r="B43" s="12" t="s">
        <v>51</v>
      </c>
      <c r="C43">
        <v>95.000000000000014</v>
      </c>
      <c r="D43">
        <v>10</v>
      </c>
      <c r="E43">
        <v>105.00000000000001</v>
      </c>
    </row>
    <row r="44" spans="1:5" x14ac:dyDescent="0.25">
      <c r="A44">
        <f t="shared" si="0"/>
        <v>0</v>
      </c>
      <c r="B44" s="12" t="s">
        <v>54</v>
      </c>
      <c r="C44">
        <v>0</v>
      </c>
      <c r="D44">
        <v>0</v>
      </c>
      <c r="E44">
        <v>0</v>
      </c>
    </row>
    <row r="45" spans="1:5" x14ac:dyDescent="0.25">
      <c r="A45">
        <f t="shared" si="0"/>
        <v>3</v>
      </c>
      <c r="B45" s="12" t="s">
        <v>55</v>
      </c>
      <c r="C45">
        <v>0</v>
      </c>
      <c r="D45">
        <v>10</v>
      </c>
      <c r="E45">
        <v>10</v>
      </c>
    </row>
    <row r="46" spans="1:5" x14ac:dyDescent="0.25">
      <c r="A46">
        <f t="shared" si="0"/>
        <v>0</v>
      </c>
      <c r="B46" s="12" t="s">
        <v>56</v>
      </c>
      <c r="C46">
        <v>0</v>
      </c>
      <c r="D46">
        <v>0</v>
      </c>
      <c r="E46">
        <v>0</v>
      </c>
    </row>
    <row r="47" spans="1:5" x14ac:dyDescent="0.25">
      <c r="A47">
        <f t="shared" si="0"/>
        <v>0</v>
      </c>
      <c r="B47" s="12" t="s">
        <v>58</v>
      </c>
      <c r="C47">
        <v>0</v>
      </c>
      <c r="D47">
        <v>0</v>
      </c>
      <c r="E47">
        <v>0</v>
      </c>
    </row>
    <row r="48" spans="1:5" x14ac:dyDescent="0.25">
      <c r="A48">
        <f t="shared" si="0"/>
        <v>3</v>
      </c>
      <c r="B48" s="12" t="s">
        <v>60</v>
      </c>
      <c r="C48">
        <v>0</v>
      </c>
      <c r="D48">
        <v>10</v>
      </c>
      <c r="E48">
        <v>10</v>
      </c>
    </row>
    <row r="49" spans="1:5" x14ac:dyDescent="0.25">
      <c r="A49">
        <f t="shared" si="0"/>
        <v>0</v>
      </c>
      <c r="B49" s="12" t="s">
        <v>61</v>
      </c>
      <c r="C49">
        <v>0</v>
      </c>
      <c r="D49">
        <v>0</v>
      </c>
      <c r="E49">
        <v>0</v>
      </c>
    </row>
    <row r="50" spans="1:5" x14ac:dyDescent="0.25">
      <c r="A50">
        <f t="shared" si="0"/>
        <v>0</v>
      </c>
      <c r="B50" s="12" t="s">
        <v>62</v>
      </c>
      <c r="C50">
        <v>0</v>
      </c>
      <c r="D50">
        <v>0</v>
      </c>
      <c r="E50">
        <v>0</v>
      </c>
    </row>
    <row r="51" spans="1:5" x14ac:dyDescent="0.25">
      <c r="A51">
        <f t="shared" si="0"/>
        <v>0</v>
      </c>
      <c r="B51" s="12" t="s">
        <v>63</v>
      </c>
      <c r="C51">
        <v>0</v>
      </c>
      <c r="D51">
        <v>0</v>
      </c>
      <c r="E51">
        <v>0</v>
      </c>
    </row>
    <row r="52" spans="1:5" x14ac:dyDescent="0.25">
      <c r="A52">
        <f t="shared" si="0"/>
        <v>0</v>
      </c>
      <c r="B52" s="12" t="s">
        <v>65</v>
      </c>
      <c r="C52">
        <v>0</v>
      </c>
      <c r="D52">
        <v>0</v>
      </c>
      <c r="E52">
        <v>0</v>
      </c>
    </row>
    <row r="53" spans="1:5" x14ac:dyDescent="0.25">
      <c r="A53">
        <f t="shared" si="0"/>
        <v>0</v>
      </c>
      <c r="B53" s="12" t="s">
        <v>66</v>
      </c>
      <c r="C53">
        <v>0</v>
      </c>
      <c r="D53">
        <v>0</v>
      </c>
      <c r="E53">
        <v>0</v>
      </c>
    </row>
    <row r="54" spans="1:5" x14ac:dyDescent="0.25">
      <c r="A54">
        <f t="shared" si="0"/>
        <v>4.8</v>
      </c>
      <c r="B54" s="12" t="s">
        <v>67</v>
      </c>
      <c r="C54">
        <v>0</v>
      </c>
      <c r="D54">
        <v>16</v>
      </c>
      <c r="E54">
        <v>16</v>
      </c>
    </row>
    <row r="55" spans="1:5" x14ac:dyDescent="0.25">
      <c r="A55">
        <f t="shared" si="0"/>
        <v>0</v>
      </c>
      <c r="B55" s="12" t="s">
        <v>69</v>
      </c>
      <c r="C55">
        <v>0</v>
      </c>
      <c r="D55">
        <v>0</v>
      </c>
      <c r="E55">
        <v>0</v>
      </c>
    </row>
    <row r="56" spans="1:5" x14ac:dyDescent="0.25">
      <c r="A56">
        <f t="shared" si="0"/>
        <v>3</v>
      </c>
      <c r="B56" s="12" t="s">
        <v>71</v>
      </c>
      <c r="C56">
        <v>0</v>
      </c>
      <c r="D56">
        <v>10</v>
      </c>
      <c r="E56">
        <v>10</v>
      </c>
    </row>
    <row r="57" spans="1:5" x14ac:dyDescent="0.25">
      <c r="A57">
        <f t="shared" si="0"/>
        <v>4.8</v>
      </c>
      <c r="B57" s="12" t="s">
        <v>72</v>
      </c>
      <c r="C57">
        <v>0</v>
      </c>
      <c r="D57">
        <v>16</v>
      </c>
      <c r="E57">
        <v>16</v>
      </c>
    </row>
    <row r="58" spans="1:5" x14ac:dyDescent="0.25">
      <c r="A58">
        <f t="shared" si="0"/>
        <v>0</v>
      </c>
      <c r="B58" s="12" t="s">
        <v>74</v>
      </c>
      <c r="C58">
        <v>0</v>
      </c>
      <c r="D58">
        <v>0</v>
      </c>
      <c r="E58">
        <v>0</v>
      </c>
    </row>
    <row r="59" spans="1:5" x14ac:dyDescent="0.25">
      <c r="A59">
        <f t="shared" si="0"/>
        <v>30</v>
      </c>
      <c r="B59" s="12" t="s">
        <v>75</v>
      </c>
      <c r="C59">
        <v>10</v>
      </c>
      <c r="D59">
        <v>0</v>
      </c>
      <c r="E59">
        <v>10</v>
      </c>
    </row>
    <row r="60" spans="1:5" x14ac:dyDescent="0.25">
      <c r="A60">
        <f t="shared" si="0"/>
        <v>0</v>
      </c>
      <c r="B60" s="12" t="s">
        <v>76</v>
      </c>
      <c r="C60">
        <v>0</v>
      </c>
      <c r="D60">
        <v>0</v>
      </c>
      <c r="E60">
        <v>0</v>
      </c>
    </row>
    <row r="61" spans="1:5" x14ac:dyDescent="0.25">
      <c r="A61">
        <f t="shared" si="0"/>
        <v>33</v>
      </c>
      <c r="B61" s="12" t="s">
        <v>77</v>
      </c>
      <c r="C61">
        <v>10</v>
      </c>
      <c r="D61">
        <v>10</v>
      </c>
      <c r="E61">
        <v>20</v>
      </c>
    </row>
    <row r="62" spans="1:5" x14ac:dyDescent="0.25">
      <c r="A62">
        <f t="shared" si="0"/>
        <v>3</v>
      </c>
      <c r="B62" s="12" t="s">
        <v>78</v>
      </c>
      <c r="C62">
        <v>0</v>
      </c>
      <c r="D62">
        <v>10</v>
      </c>
      <c r="E62">
        <v>10</v>
      </c>
    </row>
    <row r="63" spans="1:5" x14ac:dyDescent="0.25">
      <c r="A63">
        <f t="shared" si="0"/>
        <v>0</v>
      </c>
      <c r="B63" s="12" t="s">
        <v>79</v>
      </c>
      <c r="C63">
        <v>0</v>
      </c>
      <c r="D63">
        <v>0</v>
      </c>
      <c r="E63">
        <v>0</v>
      </c>
    </row>
    <row r="64" spans="1:5" x14ac:dyDescent="0.25">
      <c r="A64">
        <f t="shared" si="0"/>
        <v>15</v>
      </c>
      <c r="B64" s="12" t="s">
        <v>80</v>
      </c>
      <c r="C64">
        <v>0</v>
      </c>
      <c r="D64">
        <v>50</v>
      </c>
      <c r="E64">
        <v>50</v>
      </c>
    </row>
    <row r="65" spans="1:5" x14ac:dyDescent="0.25">
      <c r="A65">
        <f t="shared" si="0"/>
        <v>0</v>
      </c>
      <c r="B65" s="12" t="s">
        <v>82</v>
      </c>
      <c r="C65">
        <v>0</v>
      </c>
      <c r="D65">
        <v>0</v>
      </c>
      <c r="E65">
        <v>0</v>
      </c>
    </row>
    <row r="66" spans="1:5" x14ac:dyDescent="0.25">
      <c r="A66">
        <f t="shared" si="0"/>
        <v>0</v>
      </c>
      <c r="B66" s="12" t="s">
        <v>83</v>
      </c>
      <c r="C66">
        <v>0</v>
      </c>
      <c r="D66">
        <v>0</v>
      </c>
      <c r="E66">
        <v>0</v>
      </c>
    </row>
    <row r="67" spans="1:5" x14ac:dyDescent="0.25">
      <c r="A67">
        <f t="shared" si="0"/>
        <v>0</v>
      </c>
      <c r="B67" s="12" t="s">
        <v>84</v>
      </c>
      <c r="C67">
        <v>0</v>
      </c>
      <c r="D67">
        <v>0</v>
      </c>
      <c r="E67">
        <v>0</v>
      </c>
    </row>
    <row r="68" spans="1:5" x14ac:dyDescent="0.25">
      <c r="A68">
        <f t="shared" si="0"/>
        <v>69.600000000000009</v>
      </c>
      <c r="B68" s="12" t="s">
        <v>86</v>
      </c>
      <c r="C68">
        <v>0</v>
      </c>
      <c r="D68">
        <v>232.00000000000003</v>
      </c>
      <c r="E68">
        <v>232.00000000000003</v>
      </c>
    </row>
    <row r="69" spans="1:5" x14ac:dyDescent="0.25">
      <c r="A69">
        <f t="shared" si="0"/>
        <v>105</v>
      </c>
      <c r="B69" s="12" t="s">
        <v>88</v>
      </c>
      <c r="C69">
        <v>35</v>
      </c>
      <c r="D69">
        <v>0</v>
      </c>
      <c r="E69">
        <v>35</v>
      </c>
    </row>
    <row r="70" spans="1:5" x14ac:dyDescent="0.25">
      <c r="A70">
        <f t="shared" si="0"/>
        <v>81</v>
      </c>
      <c r="B70" s="12" t="s">
        <v>91</v>
      </c>
      <c r="C70">
        <v>25</v>
      </c>
      <c r="D70">
        <v>20</v>
      </c>
      <c r="E70">
        <v>45</v>
      </c>
    </row>
    <row r="71" spans="1:5" x14ac:dyDescent="0.25">
      <c r="A71">
        <f t="shared" ref="A71:A134" si="1">IF(C71="",SUMPRODUCT($C$1:$D$1,$C71:$D71),SUMPRODUCT($C$2:$D$2,$C71:$D71))</f>
        <v>9</v>
      </c>
      <c r="B71" s="12" t="s">
        <v>92</v>
      </c>
      <c r="C71">
        <v>0</v>
      </c>
      <c r="D71">
        <v>30</v>
      </c>
      <c r="E71">
        <v>30</v>
      </c>
    </row>
    <row r="72" spans="1:5" x14ac:dyDescent="0.25">
      <c r="A72">
        <f t="shared" si="1"/>
        <v>33</v>
      </c>
      <c r="B72" s="12" t="s">
        <v>93</v>
      </c>
      <c r="C72">
        <v>10</v>
      </c>
      <c r="D72">
        <v>10</v>
      </c>
      <c r="E72">
        <v>20</v>
      </c>
    </row>
    <row r="73" spans="1:5" x14ac:dyDescent="0.25">
      <c r="A73">
        <f t="shared" si="1"/>
        <v>28.799999999999997</v>
      </c>
      <c r="B73" s="12" t="s">
        <v>94</v>
      </c>
      <c r="C73">
        <v>0</v>
      </c>
      <c r="D73">
        <v>96</v>
      </c>
      <c r="E73">
        <v>96</v>
      </c>
    </row>
    <row r="74" spans="1:5" x14ac:dyDescent="0.25">
      <c r="A74">
        <f t="shared" si="1"/>
        <v>0</v>
      </c>
      <c r="B74" s="12" t="s">
        <v>96</v>
      </c>
      <c r="C74">
        <v>0</v>
      </c>
      <c r="D74">
        <v>0</v>
      </c>
      <c r="E74">
        <v>0</v>
      </c>
    </row>
    <row r="75" spans="1:5" x14ac:dyDescent="0.25">
      <c r="A75">
        <f t="shared" si="1"/>
        <v>18</v>
      </c>
      <c r="B75" s="12" t="s">
        <v>97</v>
      </c>
      <c r="C75">
        <v>0</v>
      </c>
      <c r="D75">
        <v>60</v>
      </c>
      <c r="E75">
        <v>60</v>
      </c>
    </row>
    <row r="76" spans="1:5" x14ac:dyDescent="0.25">
      <c r="A76">
        <f t="shared" si="1"/>
        <v>0</v>
      </c>
      <c r="B76" s="12" t="s">
        <v>99</v>
      </c>
      <c r="C76">
        <v>0</v>
      </c>
      <c r="D76">
        <v>0</v>
      </c>
      <c r="E76">
        <v>0</v>
      </c>
    </row>
    <row r="77" spans="1:5" x14ac:dyDescent="0.25">
      <c r="A77">
        <f t="shared" si="1"/>
        <v>3</v>
      </c>
      <c r="B77" s="12" t="s">
        <v>101</v>
      </c>
      <c r="C77">
        <v>0</v>
      </c>
      <c r="D77">
        <v>10</v>
      </c>
      <c r="E77">
        <v>10</v>
      </c>
    </row>
    <row r="78" spans="1:5" x14ac:dyDescent="0.25">
      <c r="A78">
        <f t="shared" si="1"/>
        <v>0</v>
      </c>
      <c r="B78" s="12" t="s">
        <v>102</v>
      </c>
      <c r="C78">
        <v>0</v>
      </c>
      <c r="D78">
        <v>0</v>
      </c>
      <c r="E78">
        <v>0</v>
      </c>
    </row>
    <row r="79" spans="1:5" x14ac:dyDescent="0.25">
      <c r="A79">
        <f t="shared" si="1"/>
        <v>27.3</v>
      </c>
      <c r="B79" s="12" t="s">
        <v>103</v>
      </c>
      <c r="C79">
        <v>0</v>
      </c>
      <c r="D79">
        <v>91</v>
      </c>
      <c r="E79">
        <v>91</v>
      </c>
    </row>
    <row r="80" spans="1:5" x14ac:dyDescent="0.25">
      <c r="A80">
        <f t="shared" si="1"/>
        <v>0</v>
      </c>
      <c r="B80" s="12" t="s">
        <v>104</v>
      </c>
      <c r="C80">
        <v>0</v>
      </c>
      <c r="D80">
        <v>0</v>
      </c>
      <c r="E80">
        <v>0</v>
      </c>
    </row>
    <row r="81" spans="1:5" x14ac:dyDescent="0.25">
      <c r="A81">
        <f t="shared" si="1"/>
        <v>3</v>
      </c>
      <c r="B81" s="12" t="s">
        <v>105</v>
      </c>
      <c r="C81">
        <v>0</v>
      </c>
      <c r="D81">
        <v>10</v>
      </c>
      <c r="E81">
        <v>10</v>
      </c>
    </row>
    <row r="82" spans="1:5" x14ac:dyDescent="0.25">
      <c r="A82">
        <f t="shared" si="1"/>
        <v>45.9</v>
      </c>
      <c r="B82" s="12" t="s">
        <v>106</v>
      </c>
      <c r="C82">
        <v>0</v>
      </c>
      <c r="D82">
        <v>153</v>
      </c>
      <c r="E82">
        <v>153</v>
      </c>
    </row>
    <row r="83" spans="1:5" x14ac:dyDescent="0.25">
      <c r="A83">
        <f t="shared" si="1"/>
        <v>19.799999999999994</v>
      </c>
      <c r="B83" s="12" t="s">
        <v>108</v>
      </c>
      <c r="C83">
        <v>0</v>
      </c>
      <c r="D83">
        <v>65.999999999999986</v>
      </c>
      <c r="E83">
        <v>65.999999999999986</v>
      </c>
    </row>
    <row r="84" spans="1:5" x14ac:dyDescent="0.25">
      <c r="A84">
        <f t="shared" si="1"/>
        <v>4.5</v>
      </c>
      <c r="B84" s="12" t="s">
        <v>110</v>
      </c>
      <c r="C84">
        <v>0</v>
      </c>
      <c r="D84">
        <v>15</v>
      </c>
      <c r="E84">
        <v>15</v>
      </c>
    </row>
    <row r="85" spans="1:5" x14ac:dyDescent="0.25">
      <c r="A85">
        <f t="shared" si="1"/>
        <v>12</v>
      </c>
      <c r="B85" s="12" t="s">
        <v>112</v>
      </c>
      <c r="C85">
        <v>0</v>
      </c>
      <c r="D85">
        <v>40</v>
      </c>
      <c r="E85">
        <v>40</v>
      </c>
    </row>
    <row r="86" spans="1:5" x14ac:dyDescent="0.25">
      <c r="A86">
        <f t="shared" si="1"/>
        <v>48</v>
      </c>
      <c r="B86" s="12" t="s">
        <v>114</v>
      </c>
      <c r="C86">
        <v>15</v>
      </c>
      <c r="D86">
        <v>10</v>
      </c>
      <c r="E86">
        <v>25</v>
      </c>
    </row>
    <row r="87" spans="1:5" x14ac:dyDescent="0.25">
      <c r="A87">
        <f t="shared" si="1"/>
        <v>3</v>
      </c>
      <c r="B87" s="12" t="s">
        <v>117</v>
      </c>
      <c r="C87">
        <v>0</v>
      </c>
      <c r="D87">
        <v>10</v>
      </c>
      <c r="E87">
        <v>10</v>
      </c>
    </row>
    <row r="88" spans="1:5" x14ac:dyDescent="0.25">
      <c r="A88">
        <f t="shared" si="1"/>
        <v>80.099999999999994</v>
      </c>
      <c r="B88" s="12" t="s">
        <v>118</v>
      </c>
      <c r="C88">
        <v>0</v>
      </c>
      <c r="D88">
        <v>267</v>
      </c>
      <c r="E88">
        <v>267</v>
      </c>
    </row>
    <row r="89" spans="1:5" x14ac:dyDescent="0.25">
      <c r="A89">
        <f t="shared" si="1"/>
        <v>0</v>
      </c>
      <c r="B89" s="12" t="s">
        <v>120</v>
      </c>
      <c r="C89">
        <v>0</v>
      </c>
      <c r="D89">
        <v>0</v>
      </c>
      <c r="E89">
        <v>0</v>
      </c>
    </row>
    <row r="90" spans="1:5" x14ac:dyDescent="0.25">
      <c r="A90">
        <f t="shared" si="1"/>
        <v>77.999999999999986</v>
      </c>
      <c r="B90" s="12" t="s">
        <v>793</v>
      </c>
      <c r="D90">
        <v>25.999999999999996</v>
      </c>
      <c r="E90">
        <v>25.999999999999996</v>
      </c>
    </row>
    <row r="91" spans="1:5" x14ac:dyDescent="0.25">
      <c r="A91">
        <f t="shared" si="1"/>
        <v>0</v>
      </c>
      <c r="B91" s="12" t="s">
        <v>122</v>
      </c>
      <c r="C91">
        <v>0</v>
      </c>
      <c r="D91">
        <v>0</v>
      </c>
      <c r="E91">
        <v>0</v>
      </c>
    </row>
    <row r="92" spans="1:5" x14ac:dyDescent="0.25">
      <c r="A92">
        <f t="shared" si="1"/>
        <v>30</v>
      </c>
      <c r="B92" s="12" t="s">
        <v>795</v>
      </c>
      <c r="D92">
        <v>10</v>
      </c>
      <c r="E92">
        <v>10</v>
      </c>
    </row>
    <row r="93" spans="1:5" x14ac:dyDescent="0.25">
      <c r="A93">
        <f t="shared" si="1"/>
        <v>3</v>
      </c>
      <c r="B93" s="12" t="s">
        <v>123</v>
      </c>
      <c r="C93">
        <v>0</v>
      </c>
      <c r="D93">
        <v>10</v>
      </c>
      <c r="E93">
        <v>10</v>
      </c>
    </row>
    <row r="94" spans="1:5" x14ac:dyDescent="0.25">
      <c r="A94">
        <f t="shared" si="1"/>
        <v>3.3</v>
      </c>
      <c r="B94" s="12" t="s">
        <v>124</v>
      </c>
      <c r="C94">
        <v>0</v>
      </c>
      <c r="D94">
        <v>11</v>
      </c>
      <c r="E94">
        <v>11</v>
      </c>
    </row>
    <row r="95" spans="1:5" x14ac:dyDescent="0.25">
      <c r="A95">
        <f t="shared" si="1"/>
        <v>6.3</v>
      </c>
      <c r="B95" s="12" t="s">
        <v>125</v>
      </c>
      <c r="C95">
        <v>0</v>
      </c>
      <c r="D95">
        <v>21</v>
      </c>
      <c r="E95">
        <v>21</v>
      </c>
    </row>
    <row r="96" spans="1:5" x14ac:dyDescent="0.25">
      <c r="A96">
        <f t="shared" si="1"/>
        <v>130.19999999999999</v>
      </c>
      <c r="B96" s="12" t="s">
        <v>126</v>
      </c>
      <c r="C96">
        <v>0</v>
      </c>
      <c r="D96">
        <v>433.99999999999994</v>
      </c>
      <c r="E96">
        <v>433.99999999999994</v>
      </c>
    </row>
    <row r="97" spans="1:5" x14ac:dyDescent="0.25">
      <c r="A97">
        <f t="shared" si="1"/>
        <v>54.3</v>
      </c>
      <c r="B97" s="12" t="s">
        <v>128</v>
      </c>
      <c r="C97">
        <v>10</v>
      </c>
      <c r="D97">
        <v>81</v>
      </c>
      <c r="E97">
        <v>91</v>
      </c>
    </row>
    <row r="98" spans="1:5" x14ac:dyDescent="0.25">
      <c r="A98">
        <f t="shared" si="1"/>
        <v>6.8999999999999995</v>
      </c>
      <c r="B98" s="12" t="s">
        <v>129</v>
      </c>
      <c r="C98">
        <v>0</v>
      </c>
      <c r="D98">
        <v>23</v>
      </c>
      <c r="E98">
        <v>23</v>
      </c>
    </row>
    <row r="99" spans="1:5" x14ac:dyDescent="0.25">
      <c r="A99">
        <f t="shared" si="1"/>
        <v>102.29999999999998</v>
      </c>
      <c r="B99" s="12" t="s">
        <v>131</v>
      </c>
      <c r="C99">
        <v>30.999999999999996</v>
      </c>
      <c r="D99">
        <v>30.999999999999996</v>
      </c>
      <c r="E99">
        <v>61.999999999999993</v>
      </c>
    </row>
    <row r="100" spans="1:5" x14ac:dyDescent="0.25">
      <c r="A100">
        <f t="shared" si="1"/>
        <v>0</v>
      </c>
      <c r="B100" s="12" t="s">
        <v>134</v>
      </c>
      <c r="C100">
        <v>0</v>
      </c>
      <c r="D100">
        <v>0</v>
      </c>
      <c r="E100">
        <v>0</v>
      </c>
    </row>
    <row r="101" spans="1:5" x14ac:dyDescent="0.25">
      <c r="A101">
        <f t="shared" si="1"/>
        <v>64.5</v>
      </c>
      <c r="B101" s="12" t="s">
        <v>135</v>
      </c>
      <c r="C101">
        <v>20</v>
      </c>
      <c r="D101">
        <v>15</v>
      </c>
      <c r="E101">
        <v>35</v>
      </c>
    </row>
    <row r="102" spans="1:5" x14ac:dyDescent="0.25">
      <c r="A102">
        <f t="shared" si="1"/>
        <v>8.0999999999999979</v>
      </c>
      <c r="B102" s="12" t="s">
        <v>138</v>
      </c>
      <c r="C102">
        <v>0</v>
      </c>
      <c r="D102">
        <v>26.999999999999996</v>
      </c>
      <c r="E102">
        <v>26.999999999999996</v>
      </c>
    </row>
    <row r="103" spans="1:5" x14ac:dyDescent="0.25">
      <c r="A103">
        <f t="shared" si="1"/>
        <v>0</v>
      </c>
      <c r="B103" s="12" t="s">
        <v>140</v>
      </c>
      <c r="C103">
        <v>0</v>
      </c>
      <c r="D103">
        <v>0</v>
      </c>
      <c r="E103">
        <v>0</v>
      </c>
    </row>
    <row r="104" spans="1:5" x14ac:dyDescent="0.25">
      <c r="A104">
        <f t="shared" si="1"/>
        <v>49.5</v>
      </c>
      <c r="B104" s="12" t="s">
        <v>141</v>
      </c>
      <c r="C104">
        <v>15</v>
      </c>
      <c r="D104">
        <v>15</v>
      </c>
      <c r="E104">
        <v>30</v>
      </c>
    </row>
    <row r="105" spans="1:5" x14ac:dyDescent="0.25">
      <c r="A105">
        <f t="shared" si="1"/>
        <v>0</v>
      </c>
      <c r="B105" s="12" t="s">
        <v>142</v>
      </c>
      <c r="C105">
        <v>0</v>
      </c>
      <c r="D105">
        <v>0</v>
      </c>
      <c r="E105">
        <v>0</v>
      </c>
    </row>
    <row r="106" spans="1:5" x14ac:dyDescent="0.25">
      <c r="A106">
        <f t="shared" si="1"/>
        <v>33</v>
      </c>
      <c r="B106" s="12" t="s">
        <v>143</v>
      </c>
      <c r="C106">
        <v>10</v>
      </c>
      <c r="D106">
        <v>10</v>
      </c>
      <c r="E106">
        <v>20</v>
      </c>
    </row>
    <row r="107" spans="1:5" x14ac:dyDescent="0.25">
      <c r="A107">
        <f t="shared" si="1"/>
        <v>0</v>
      </c>
      <c r="B107" s="12" t="s">
        <v>144</v>
      </c>
      <c r="C107">
        <v>0</v>
      </c>
      <c r="D107">
        <v>0</v>
      </c>
      <c r="E107">
        <v>0</v>
      </c>
    </row>
    <row r="108" spans="1:5" x14ac:dyDescent="0.25">
      <c r="A108">
        <f t="shared" si="1"/>
        <v>33</v>
      </c>
      <c r="B108" s="12" t="s">
        <v>145</v>
      </c>
      <c r="C108">
        <v>10</v>
      </c>
      <c r="D108">
        <v>10</v>
      </c>
      <c r="E108">
        <v>20</v>
      </c>
    </row>
    <row r="109" spans="1:5" x14ac:dyDescent="0.25">
      <c r="A109">
        <f t="shared" si="1"/>
        <v>33</v>
      </c>
      <c r="B109" s="12" t="s">
        <v>146</v>
      </c>
      <c r="C109">
        <v>10</v>
      </c>
      <c r="D109">
        <v>10</v>
      </c>
      <c r="E109">
        <v>20</v>
      </c>
    </row>
    <row r="110" spans="1:5" x14ac:dyDescent="0.25">
      <c r="A110">
        <f t="shared" si="1"/>
        <v>33</v>
      </c>
      <c r="B110" s="12" t="s">
        <v>147</v>
      </c>
      <c r="C110">
        <v>10</v>
      </c>
      <c r="D110">
        <v>10</v>
      </c>
      <c r="E110">
        <v>20</v>
      </c>
    </row>
    <row r="111" spans="1:5" x14ac:dyDescent="0.25">
      <c r="A111">
        <f t="shared" si="1"/>
        <v>34.800000000000004</v>
      </c>
      <c r="B111" s="12" t="s">
        <v>148</v>
      </c>
      <c r="C111">
        <v>0</v>
      </c>
      <c r="D111">
        <v>116.00000000000001</v>
      </c>
      <c r="E111">
        <v>116.00000000000001</v>
      </c>
    </row>
    <row r="112" spans="1:5" x14ac:dyDescent="0.25">
      <c r="A112">
        <f t="shared" si="1"/>
        <v>0</v>
      </c>
      <c r="B112" s="12" t="s">
        <v>150</v>
      </c>
      <c r="C112">
        <v>0</v>
      </c>
      <c r="D112">
        <v>0</v>
      </c>
      <c r="E112">
        <v>0</v>
      </c>
    </row>
    <row r="113" spans="1:5" x14ac:dyDescent="0.25">
      <c r="A113">
        <f t="shared" si="1"/>
        <v>6</v>
      </c>
      <c r="B113" s="12" t="s">
        <v>151</v>
      </c>
      <c r="C113">
        <v>0</v>
      </c>
      <c r="D113">
        <v>20</v>
      </c>
      <c r="E113">
        <v>20</v>
      </c>
    </row>
    <row r="114" spans="1:5" x14ac:dyDescent="0.25">
      <c r="A114">
        <f t="shared" si="1"/>
        <v>4.8</v>
      </c>
      <c r="B114" s="12" t="s">
        <v>152</v>
      </c>
      <c r="C114">
        <v>0</v>
      </c>
      <c r="D114">
        <v>16</v>
      </c>
      <c r="E114">
        <v>16</v>
      </c>
    </row>
    <row r="115" spans="1:5" x14ac:dyDescent="0.25">
      <c r="A115">
        <f t="shared" si="1"/>
        <v>0</v>
      </c>
      <c r="B115" s="12" t="s">
        <v>154</v>
      </c>
      <c r="C115">
        <v>0</v>
      </c>
      <c r="D115">
        <v>0</v>
      </c>
      <c r="E115">
        <v>0</v>
      </c>
    </row>
    <row r="116" spans="1:5" x14ac:dyDescent="0.25">
      <c r="A116">
        <f t="shared" si="1"/>
        <v>33</v>
      </c>
      <c r="B116" s="12" t="s">
        <v>155</v>
      </c>
      <c r="C116">
        <v>10</v>
      </c>
      <c r="D116">
        <v>10</v>
      </c>
      <c r="E116">
        <v>20</v>
      </c>
    </row>
    <row r="117" spans="1:5" x14ac:dyDescent="0.25">
      <c r="A117">
        <f t="shared" si="1"/>
        <v>98.1</v>
      </c>
      <c r="B117" s="12" t="s">
        <v>156</v>
      </c>
      <c r="C117">
        <v>30</v>
      </c>
      <c r="D117">
        <v>26.999999999999996</v>
      </c>
      <c r="E117">
        <v>57</v>
      </c>
    </row>
    <row r="118" spans="1:5" x14ac:dyDescent="0.25">
      <c r="A118">
        <f t="shared" si="1"/>
        <v>180</v>
      </c>
      <c r="B118" s="12" t="s">
        <v>159</v>
      </c>
      <c r="C118">
        <v>60</v>
      </c>
      <c r="E118">
        <v>60</v>
      </c>
    </row>
    <row r="119" spans="1:5" x14ac:dyDescent="0.25">
      <c r="A119">
        <f t="shared" si="1"/>
        <v>60</v>
      </c>
      <c r="B119" s="12" t="s">
        <v>807</v>
      </c>
      <c r="D119">
        <v>20</v>
      </c>
      <c r="E119">
        <v>20</v>
      </c>
    </row>
    <row r="120" spans="1:5" x14ac:dyDescent="0.25">
      <c r="A120">
        <f t="shared" si="1"/>
        <v>216</v>
      </c>
      <c r="B120" s="12" t="s">
        <v>161</v>
      </c>
      <c r="C120">
        <v>70</v>
      </c>
      <c r="D120">
        <v>20</v>
      </c>
      <c r="E120">
        <v>90</v>
      </c>
    </row>
    <row r="121" spans="1:5" x14ac:dyDescent="0.25">
      <c r="A121">
        <f t="shared" si="1"/>
        <v>30</v>
      </c>
      <c r="B121" s="12" t="s">
        <v>808</v>
      </c>
      <c r="D121">
        <v>10</v>
      </c>
      <c r="E121">
        <v>10</v>
      </c>
    </row>
    <row r="122" spans="1:5" x14ac:dyDescent="0.25">
      <c r="A122">
        <f t="shared" si="1"/>
        <v>33</v>
      </c>
      <c r="B122" s="12" t="s">
        <v>164</v>
      </c>
      <c r="C122">
        <v>10</v>
      </c>
      <c r="D122">
        <v>10</v>
      </c>
      <c r="E122">
        <v>20</v>
      </c>
    </row>
    <row r="123" spans="1:5" x14ac:dyDescent="0.25">
      <c r="A123">
        <f t="shared" si="1"/>
        <v>444</v>
      </c>
      <c r="B123" s="12" t="s">
        <v>809</v>
      </c>
      <c r="D123">
        <v>148</v>
      </c>
      <c r="E123">
        <v>148</v>
      </c>
    </row>
    <row r="124" spans="1:5" x14ac:dyDescent="0.25">
      <c r="A124">
        <f t="shared" si="1"/>
        <v>402</v>
      </c>
      <c r="B124" s="12" t="s">
        <v>165</v>
      </c>
      <c r="C124">
        <v>133</v>
      </c>
      <c r="D124">
        <v>10</v>
      </c>
      <c r="E124">
        <v>143</v>
      </c>
    </row>
    <row r="125" spans="1:5" x14ac:dyDescent="0.25">
      <c r="A125">
        <f t="shared" si="1"/>
        <v>99.6</v>
      </c>
      <c r="B125" s="12" t="s">
        <v>168</v>
      </c>
      <c r="C125">
        <v>32</v>
      </c>
      <c r="D125">
        <v>12</v>
      </c>
      <c r="E125">
        <v>44</v>
      </c>
    </row>
    <row r="126" spans="1:5" x14ac:dyDescent="0.25">
      <c r="A126">
        <f t="shared" si="1"/>
        <v>30</v>
      </c>
      <c r="B126" s="12" t="s">
        <v>813</v>
      </c>
      <c r="D126">
        <v>10</v>
      </c>
      <c r="E126">
        <v>10</v>
      </c>
    </row>
    <row r="127" spans="1:5" x14ac:dyDescent="0.25">
      <c r="A127">
        <f t="shared" si="1"/>
        <v>310.5</v>
      </c>
      <c r="B127" s="12" t="s">
        <v>171</v>
      </c>
      <c r="C127">
        <v>102</v>
      </c>
      <c r="D127">
        <v>15</v>
      </c>
      <c r="E127">
        <v>117</v>
      </c>
    </row>
    <row r="128" spans="1:5" x14ac:dyDescent="0.25">
      <c r="A128">
        <f t="shared" si="1"/>
        <v>33</v>
      </c>
      <c r="B128" s="12" t="s">
        <v>174</v>
      </c>
      <c r="C128">
        <v>10</v>
      </c>
      <c r="D128">
        <v>10</v>
      </c>
      <c r="E128">
        <v>20</v>
      </c>
    </row>
    <row r="129" spans="1:5" x14ac:dyDescent="0.25">
      <c r="A129">
        <f t="shared" si="1"/>
        <v>30</v>
      </c>
      <c r="B129" s="12" t="s">
        <v>814</v>
      </c>
      <c r="D129">
        <v>10</v>
      </c>
      <c r="E129">
        <v>10</v>
      </c>
    </row>
    <row r="130" spans="1:5" x14ac:dyDescent="0.25">
      <c r="A130">
        <f t="shared" si="1"/>
        <v>168.00000000000003</v>
      </c>
      <c r="B130" s="12" t="s">
        <v>175</v>
      </c>
      <c r="C130">
        <v>55.000000000000007</v>
      </c>
      <c r="D130">
        <v>10</v>
      </c>
      <c r="E130">
        <v>65</v>
      </c>
    </row>
    <row r="131" spans="1:5" x14ac:dyDescent="0.25">
      <c r="A131">
        <f t="shared" si="1"/>
        <v>30</v>
      </c>
      <c r="B131" s="12" t="s">
        <v>815</v>
      </c>
      <c r="D131">
        <v>10</v>
      </c>
      <c r="E131">
        <v>10</v>
      </c>
    </row>
    <row r="132" spans="1:5" x14ac:dyDescent="0.25">
      <c r="A132">
        <f t="shared" si="1"/>
        <v>30</v>
      </c>
      <c r="B132" s="12" t="s">
        <v>816</v>
      </c>
      <c r="D132">
        <v>10</v>
      </c>
      <c r="E132">
        <v>10</v>
      </c>
    </row>
    <row r="133" spans="1:5" x14ac:dyDescent="0.25">
      <c r="A133">
        <f t="shared" si="1"/>
        <v>95.999999999999986</v>
      </c>
      <c r="B133" s="12" t="s">
        <v>178</v>
      </c>
      <c r="C133">
        <v>30.999999999999996</v>
      </c>
      <c r="D133">
        <v>10</v>
      </c>
      <c r="E133">
        <v>41</v>
      </c>
    </row>
    <row r="134" spans="1:5" x14ac:dyDescent="0.25">
      <c r="A134">
        <f t="shared" si="1"/>
        <v>823.5</v>
      </c>
      <c r="B134" s="12" t="s">
        <v>180</v>
      </c>
      <c r="C134">
        <v>159</v>
      </c>
      <c r="D134">
        <v>1155</v>
      </c>
      <c r="E134">
        <v>1314</v>
      </c>
    </row>
    <row r="135" spans="1:5" x14ac:dyDescent="0.25">
      <c r="A135">
        <f t="shared" ref="A135:A198" si="2">IF(C135="",SUMPRODUCT($C$1:$D$1,$C135:$D135),SUMPRODUCT($C$2:$D$2,$C135:$D135))</f>
        <v>0</v>
      </c>
      <c r="B135" s="12" t="s">
        <v>819</v>
      </c>
      <c r="D135">
        <v>0</v>
      </c>
      <c r="E135">
        <v>0</v>
      </c>
    </row>
    <row r="136" spans="1:5" x14ac:dyDescent="0.25">
      <c r="A136">
        <f t="shared" si="2"/>
        <v>30</v>
      </c>
      <c r="B136" s="12" t="s">
        <v>821</v>
      </c>
      <c r="D136">
        <v>10</v>
      </c>
      <c r="E136">
        <v>10</v>
      </c>
    </row>
    <row r="137" spans="1:5" x14ac:dyDescent="0.25">
      <c r="A137">
        <f t="shared" si="2"/>
        <v>30</v>
      </c>
      <c r="B137" s="12" t="s">
        <v>822</v>
      </c>
      <c r="D137">
        <v>10</v>
      </c>
      <c r="E137">
        <v>10</v>
      </c>
    </row>
    <row r="138" spans="1:5" x14ac:dyDescent="0.25">
      <c r="A138">
        <f t="shared" si="2"/>
        <v>164.99999999999997</v>
      </c>
      <c r="B138" s="12" t="s">
        <v>183</v>
      </c>
      <c r="C138">
        <v>53.999999999999993</v>
      </c>
      <c r="D138">
        <v>10</v>
      </c>
      <c r="E138">
        <v>63.999999999999993</v>
      </c>
    </row>
    <row r="139" spans="1:5" x14ac:dyDescent="0.25">
      <c r="A139">
        <f t="shared" si="2"/>
        <v>30</v>
      </c>
      <c r="B139" s="12" t="s">
        <v>823</v>
      </c>
      <c r="D139">
        <v>10</v>
      </c>
      <c r="E139">
        <v>10</v>
      </c>
    </row>
    <row r="140" spans="1:5" x14ac:dyDescent="0.25">
      <c r="A140">
        <f t="shared" si="2"/>
        <v>30</v>
      </c>
      <c r="B140" s="12" t="s">
        <v>824</v>
      </c>
      <c r="D140">
        <v>10</v>
      </c>
      <c r="E140">
        <v>10</v>
      </c>
    </row>
    <row r="141" spans="1:5" x14ac:dyDescent="0.25">
      <c r="A141">
        <f t="shared" si="2"/>
        <v>30</v>
      </c>
      <c r="B141" s="12" t="s">
        <v>825</v>
      </c>
      <c r="D141">
        <v>10</v>
      </c>
      <c r="E141">
        <v>10</v>
      </c>
    </row>
    <row r="142" spans="1:5" x14ac:dyDescent="0.25">
      <c r="A142">
        <f t="shared" si="2"/>
        <v>200.99999999999994</v>
      </c>
      <c r="B142" s="12" t="s">
        <v>186</v>
      </c>
      <c r="C142">
        <v>65.999999999999986</v>
      </c>
      <c r="D142">
        <v>10</v>
      </c>
      <c r="E142">
        <v>75.999999999999986</v>
      </c>
    </row>
    <row r="143" spans="1:5" x14ac:dyDescent="0.25">
      <c r="A143">
        <f t="shared" si="2"/>
        <v>33</v>
      </c>
      <c r="B143" s="12" t="s">
        <v>189</v>
      </c>
      <c r="C143">
        <v>10</v>
      </c>
      <c r="D143">
        <v>10</v>
      </c>
      <c r="E143">
        <v>20</v>
      </c>
    </row>
    <row r="144" spans="1:5" x14ac:dyDescent="0.25">
      <c r="A144">
        <f t="shared" si="2"/>
        <v>30</v>
      </c>
      <c r="B144" s="12" t="s">
        <v>826</v>
      </c>
      <c r="D144">
        <v>10</v>
      </c>
      <c r="E144">
        <v>10</v>
      </c>
    </row>
    <row r="145" spans="1:5" x14ac:dyDescent="0.25">
      <c r="A145">
        <f t="shared" si="2"/>
        <v>135</v>
      </c>
      <c r="B145" s="12" t="s">
        <v>190</v>
      </c>
      <c r="C145">
        <v>45</v>
      </c>
      <c r="D145">
        <v>0</v>
      </c>
      <c r="E145">
        <v>45</v>
      </c>
    </row>
    <row r="146" spans="1:5" x14ac:dyDescent="0.25">
      <c r="A146">
        <f t="shared" si="2"/>
        <v>30</v>
      </c>
      <c r="B146" s="12" t="s">
        <v>827</v>
      </c>
      <c r="D146">
        <v>10</v>
      </c>
      <c r="E146">
        <v>10</v>
      </c>
    </row>
    <row r="147" spans="1:5" x14ac:dyDescent="0.25">
      <c r="A147">
        <f t="shared" si="2"/>
        <v>57</v>
      </c>
      <c r="B147" s="12" t="s">
        <v>193</v>
      </c>
      <c r="C147">
        <v>19</v>
      </c>
      <c r="D147">
        <v>0</v>
      </c>
      <c r="E147">
        <v>19</v>
      </c>
    </row>
    <row r="148" spans="1:5" x14ac:dyDescent="0.25">
      <c r="A148">
        <f t="shared" si="2"/>
        <v>33</v>
      </c>
      <c r="B148" s="12" t="s">
        <v>196</v>
      </c>
      <c r="C148">
        <v>10</v>
      </c>
      <c r="D148">
        <v>10</v>
      </c>
      <c r="E148">
        <v>20</v>
      </c>
    </row>
    <row r="149" spans="1:5" x14ac:dyDescent="0.25">
      <c r="A149">
        <f t="shared" si="2"/>
        <v>174</v>
      </c>
      <c r="B149" s="12" t="s">
        <v>197</v>
      </c>
      <c r="C149">
        <v>57</v>
      </c>
      <c r="D149">
        <v>10</v>
      </c>
      <c r="E149">
        <v>67</v>
      </c>
    </row>
    <row r="150" spans="1:5" x14ac:dyDescent="0.25">
      <c r="A150">
        <f t="shared" si="2"/>
        <v>33</v>
      </c>
      <c r="B150" s="12" t="s">
        <v>200</v>
      </c>
      <c r="C150">
        <v>10</v>
      </c>
      <c r="D150">
        <v>10</v>
      </c>
      <c r="E150">
        <v>20</v>
      </c>
    </row>
    <row r="151" spans="1:5" x14ac:dyDescent="0.25">
      <c r="A151">
        <f t="shared" si="2"/>
        <v>63</v>
      </c>
      <c r="B151" s="12" t="s">
        <v>201</v>
      </c>
      <c r="C151">
        <v>20</v>
      </c>
      <c r="D151">
        <v>10</v>
      </c>
      <c r="E151">
        <v>30</v>
      </c>
    </row>
    <row r="152" spans="1:5" x14ac:dyDescent="0.25">
      <c r="A152">
        <f t="shared" si="2"/>
        <v>30</v>
      </c>
      <c r="B152" s="12" t="s">
        <v>828</v>
      </c>
      <c r="D152">
        <v>10</v>
      </c>
      <c r="E152">
        <v>10</v>
      </c>
    </row>
    <row r="153" spans="1:5" x14ac:dyDescent="0.25">
      <c r="A153">
        <f t="shared" si="2"/>
        <v>291</v>
      </c>
      <c r="B153" s="12" t="s">
        <v>203</v>
      </c>
      <c r="C153">
        <v>96</v>
      </c>
      <c r="D153">
        <v>10</v>
      </c>
      <c r="E153">
        <v>106</v>
      </c>
    </row>
    <row r="154" spans="1:5" x14ac:dyDescent="0.25">
      <c r="A154">
        <f t="shared" si="2"/>
        <v>858</v>
      </c>
      <c r="B154" s="12" t="s">
        <v>206</v>
      </c>
      <c r="C154">
        <v>285</v>
      </c>
      <c r="D154">
        <v>10</v>
      </c>
      <c r="E154">
        <v>295</v>
      </c>
    </row>
    <row r="155" spans="1:5" x14ac:dyDescent="0.25">
      <c r="A155">
        <f t="shared" si="2"/>
        <v>0</v>
      </c>
      <c r="B155" s="12" t="s">
        <v>829</v>
      </c>
      <c r="D155">
        <v>0</v>
      </c>
      <c r="E155">
        <v>0</v>
      </c>
    </row>
    <row r="156" spans="1:5" x14ac:dyDescent="0.25">
      <c r="A156">
        <f t="shared" si="2"/>
        <v>0</v>
      </c>
      <c r="B156" s="12" t="s">
        <v>209</v>
      </c>
      <c r="C156">
        <v>0</v>
      </c>
      <c r="E156">
        <v>0</v>
      </c>
    </row>
    <row r="157" spans="1:5" x14ac:dyDescent="0.25">
      <c r="A157">
        <f t="shared" si="2"/>
        <v>0</v>
      </c>
      <c r="B157" s="12" t="s">
        <v>211</v>
      </c>
      <c r="C157">
        <v>0</v>
      </c>
      <c r="E157">
        <v>0</v>
      </c>
    </row>
    <row r="158" spans="1:5" x14ac:dyDescent="0.25">
      <c r="A158">
        <f t="shared" si="2"/>
        <v>33</v>
      </c>
      <c r="B158" s="12" t="s">
        <v>212</v>
      </c>
      <c r="C158">
        <v>10</v>
      </c>
      <c r="D158">
        <v>10</v>
      </c>
      <c r="E158">
        <v>20</v>
      </c>
    </row>
    <row r="159" spans="1:5" x14ac:dyDescent="0.25">
      <c r="A159">
        <f t="shared" si="2"/>
        <v>3.3</v>
      </c>
      <c r="B159" s="12" t="s">
        <v>213</v>
      </c>
      <c r="C159">
        <v>0</v>
      </c>
      <c r="D159">
        <v>11</v>
      </c>
      <c r="E159">
        <v>11</v>
      </c>
    </row>
    <row r="160" spans="1:5" x14ac:dyDescent="0.25">
      <c r="A160">
        <f t="shared" si="2"/>
        <v>34.5</v>
      </c>
      <c r="B160" s="12" t="s">
        <v>214</v>
      </c>
      <c r="C160">
        <v>10</v>
      </c>
      <c r="D160">
        <v>15</v>
      </c>
      <c r="E160">
        <v>25</v>
      </c>
    </row>
    <row r="161" spans="1:5" x14ac:dyDescent="0.25">
      <c r="A161">
        <f t="shared" si="2"/>
        <v>33</v>
      </c>
      <c r="B161" s="12" t="s">
        <v>215</v>
      </c>
      <c r="C161">
        <v>10</v>
      </c>
      <c r="D161">
        <v>10</v>
      </c>
      <c r="E161">
        <v>20</v>
      </c>
    </row>
    <row r="162" spans="1:5" x14ac:dyDescent="0.25">
      <c r="A162">
        <f t="shared" si="2"/>
        <v>33</v>
      </c>
      <c r="B162" s="12" t="s">
        <v>216</v>
      </c>
      <c r="C162">
        <v>10</v>
      </c>
      <c r="D162">
        <v>10</v>
      </c>
      <c r="E162">
        <v>20</v>
      </c>
    </row>
    <row r="163" spans="1:5" x14ac:dyDescent="0.25">
      <c r="A163">
        <f t="shared" si="2"/>
        <v>204.9</v>
      </c>
      <c r="B163" s="12" t="s">
        <v>217</v>
      </c>
      <c r="C163">
        <v>67</v>
      </c>
      <c r="D163">
        <v>12.999999999999998</v>
      </c>
      <c r="E163">
        <v>80</v>
      </c>
    </row>
    <row r="164" spans="1:5" x14ac:dyDescent="0.25">
      <c r="A164">
        <f t="shared" si="2"/>
        <v>0</v>
      </c>
      <c r="B164" s="12" t="s">
        <v>832</v>
      </c>
      <c r="D164">
        <v>0</v>
      </c>
      <c r="E164">
        <v>0</v>
      </c>
    </row>
    <row r="165" spans="1:5" x14ac:dyDescent="0.25">
      <c r="A165">
        <f t="shared" si="2"/>
        <v>0</v>
      </c>
      <c r="B165" s="12" t="s">
        <v>834</v>
      </c>
      <c r="D165">
        <v>0</v>
      </c>
      <c r="E165">
        <v>0</v>
      </c>
    </row>
    <row r="166" spans="1:5" x14ac:dyDescent="0.25">
      <c r="A166">
        <f t="shared" si="2"/>
        <v>60</v>
      </c>
      <c r="B166" s="12" t="s">
        <v>835</v>
      </c>
      <c r="D166">
        <v>20</v>
      </c>
      <c r="E166">
        <v>20</v>
      </c>
    </row>
    <row r="167" spans="1:5" x14ac:dyDescent="0.25">
      <c r="A167">
        <f t="shared" si="2"/>
        <v>228</v>
      </c>
      <c r="B167" s="12" t="s">
        <v>220</v>
      </c>
      <c r="C167">
        <v>75</v>
      </c>
      <c r="D167">
        <v>10</v>
      </c>
      <c r="E167">
        <v>85</v>
      </c>
    </row>
    <row r="168" spans="1:5" x14ac:dyDescent="0.25">
      <c r="A168">
        <f t="shared" si="2"/>
        <v>396</v>
      </c>
      <c r="B168" s="12" t="s">
        <v>223</v>
      </c>
      <c r="C168">
        <v>131</v>
      </c>
      <c r="D168">
        <v>10</v>
      </c>
      <c r="E168">
        <v>141</v>
      </c>
    </row>
    <row r="169" spans="1:5" x14ac:dyDescent="0.25">
      <c r="A169">
        <f t="shared" si="2"/>
        <v>368.99999999999994</v>
      </c>
      <c r="B169" s="12" t="s">
        <v>226</v>
      </c>
      <c r="C169">
        <v>122.99999999999999</v>
      </c>
      <c r="D169">
        <v>0</v>
      </c>
      <c r="E169">
        <v>122.99999999999999</v>
      </c>
    </row>
    <row r="170" spans="1:5" x14ac:dyDescent="0.25">
      <c r="A170">
        <f t="shared" si="2"/>
        <v>33</v>
      </c>
      <c r="B170" s="12" t="s">
        <v>229</v>
      </c>
      <c r="C170">
        <v>10</v>
      </c>
      <c r="D170">
        <v>10</v>
      </c>
      <c r="E170">
        <v>20</v>
      </c>
    </row>
    <row r="171" spans="1:5" x14ac:dyDescent="0.25">
      <c r="A171">
        <f t="shared" si="2"/>
        <v>45</v>
      </c>
      <c r="B171" s="12" t="s">
        <v>836</v>
      </c>
      <c r="D171">
        <v>15</v>
      </c>
      <c r="E171">
        <v>15</v>
      </c>
    </row>
    <row r="172" spans="1:5" x14ac:dyDescent="0.25">
      <c r="A172">
        <f t="shared" si="2"/>
        <v>171</v>
      </c>
      <c r="B172" s="12" t="s">
        <v>230</v>
      </c>
      <c r="C172">
        <v>57</v>
      </c>
      <c r="D172">
        <v>0</v>
      </c>
      <c r="E172">
        <v>57</v>
      </c>
    </row>
    <row r="173" spans="1:5" x14ac:dyDescent="0.25">
      <c r="A173">
        <f t="shared" si="2"/>
        <v>141.00000000000003</v>
      </c>
      <c r="B173" s="12" t="s">
        <v>232</v>
      </c>
      <c r="C173">
        <v>47.000000000000007</v>
      </c>
      <c r="D173">
        <v>0</v>
      </c>
      <c r="E173">
        <v>47.000000000000007</v>
      </c>
    </row>
    <row r="174" spans="1:5" x14ac:dyDescent="0.25">
      <c r="A174">
        <f t="shared" si="2"/>
        <v>0</v>
      </c>
      <c r="B174" s="12" t="s">
        <v>235</v>
      </c>
      <c r="C174">
        <v>0</v>
      </c>
      <c r="D174">
        <v>0</v>
      </c>
      <c r="E174">
        <v>0</v>
      </c>
    </row>
    <row r="175" spans="1:5" x14ac:dyDescent="0.25">
      <c r="A175">
        <f t="shared" si="2"/>
        <v>6.6</v>
      </c>
      <c r="B175" s="12" t="s">
        <v>236</v>
      </c>
      <c r="C175">
        <v>0</v>
      </c>
      <c r="D175">
        <v>22</v>
      </c>
      <c r="E175">
        <v>22</v>
      </c>
    </row>
    <row r="176" spans="1:5" x14ac:dyDescent="0.25">
      <c r="A176">
        <f t="shared" si="2"/>
        <v>357</v>
      </c>
      <c r="B176" s="12" t="s">
        <v>838</v>
      </c>
      <c r="D176">
        <v>119</v>
      </c>
      <c r="E176">
        <v>119</v>
      </c>
    </row>
    <row r="177" spans="1:5" x14ac:dyDescent="0.25">
      <c r="A177">
        <f t="shared" si="2"/>
        <v>0</v>
      </c>
      <c r="B177" s="12" t="s">
        <v>841</v>
      </c>
      <c r="D177">
        <v>0</v>
      </c>
      <c r="E177">
        <v>0</v>
      </c>
    </row>
    <row r="178" spans="1:5" x14ac:dyDescent="0.25">
      <c r="A178">
        <f t="shared" si="2"/>
        <v>0</v>
      </c>
      <c r="B178" s="12" t="s">
        <v>843</v>
      </c>
      <c r="D178">
        <v>0</v>
      </c>
      <c r="E178">
        <v>0</v>
      </c>
    </row>
    <row r="179" spans="1:5" x14ac:dyDescent="0.25">
      <c r="A179">
        <f t="shared" si="2"/>
        <v>192.30000000000004</v>
      </c>
      <c r="B179" s="12" t="s">
        <v>238</v>
      </c>
      <c r="C179">
        <v>55.000000000000007</v>
      </c>
      <c r="D179">
        <v>91</v>
      </c>
      <c r="E179">
        <v>146</v>
      </c>
    </row>
    <row r="180" spans="1:5" x14ac:dyDescent="0.25">
      <c r="A180">
        <f t="shared" si="2"/>
        <v>33.299999999999997</v>
      </c>
      <c r="B180" s="12" t="s">
        <v>240</v>
      </c>
      <c r="C180">
        <v>0</v>
      </c>
      <c r="D180">
        <v>111</v>
      </c>
      <c r="E180">
        <v>111</v>
      </c>
    </row>
    <row r="181" spans="1:5" x14ac:dyDescent="0.25">
      <c r="A181">
        <f t="shared" si="2"/>
        <v>0</v>
      </c>
      <c r="B181" s="12" t="s">
        <v>846</v>
      </c>
      <c r="D181">
        <v>0</v>
      </c>
      <c r="E181">
        <v>0</v>
      </c>
    </row>
    <row r="182" spans="1:5" x14ac:dyDescent="0.25">
      <c r="A182">
        <f t="shared" si="2"/>
        <v>60</v>
      </c>
      <c r="B182" s="12" t="s">
        <v>848</v>
      </c>
      <c r="D182">
        <v>20</v>
      </c>
      <c r="E182">
        <v>20</v>
      </c>
    </row>
    <row r="183" spans="1:5" x14ac:dyDescent="0.25">
      <c r="A183">
        <f t="shared" si="2"/>
        <v>30</v>
      </c>
      <c r="B183" s="12" t="s">
        <v>850</v>
      </c>
      <c r="D183">
        <v>10</v>
      </c>
      <c r="E183">
        <v>10</v>
      </c>
    </row>
    <row r="184" spans="1:5" x14ac:dyDescent="0.25">
      <c r="A184">
        <f t="shared" si="2"/>
        <v>45</v>
      </c>
      <c r="B184" s="12" t="s">
        <v>851</v>
      </c>
      <c r="D184">
        <v>15</v>
      </c>
      <c r="E184">
        <v>15</v>
      </c>
    </row>
    <row r="185" spans="1:5" x14ac:dyDescent="0.25">
      <c r="A185">
        <f t="shared" si="2"/>
        <v>0</v>
      </c>
      <c r="B185" s="12" t="s">
        <v>852</v>
      </c>
      <c r="D185">
        <v>0</v>
      </c>
      <c r="E185">
        <v>0</v>
      </c>
    </row>
    <row r="186" spans="1:5" x14ac:dyDescent="0.25">
      <c r="A186">
        <f t="shared" si="2"/>
        <v>69</v>
      </c>
      <c r="B186" s="12" t="s">
        <v>241</v>
      </c>
      <c r="C186">
        <v>22</v>
      </c>
      <c r="D186">
        <v>10</v>
      </c>
      <c r="E186">
        <v>32</v>
      </c>
    </row>
    <row r="187" spans="1:5" x14ac:dyDescent="0.25">
      <c r="A187">
        <f t="shared" si="2"/>
        <v>33</v>
      </c>
      <c r="B187" s="12" t="s">
        <v>244</v>
      </c>
      <c r="C187">
        <v>10</v>
      </c>
      <c r="D187">
        <v>10</v>
      </c>
      <c r="E187">
        <v>20</v>
      </c>
    </row>
    <row r="188" spans="1:5" x14ac:dyDescent="0.25">
      <c r="A188">
        <f t="shared" si="2"/>
        <v>135</v>
      </c>
      <c r="B188" s="12" t="s">
        <v>245</v>
      </c>
      <c r="C188">
        <v>45</v>
      </c>
      <c r="D188">
        <v>0</v>
      </c>
      <c r="E188">
        <v>45</v>
      </c>
    </row>
    <row r="189" spans="1:5" x14ac:dyDescent="0.25">
      <c r="A189">
        <f t="shared" si="2"/>
        <v>33</v>
      </c>
      <c r="B189" s="12" t="s">
        <v>247</v>
      </c>
      <c r="C189">
        <v>10</v>
      </c>
      <c r="D189">
        <v>10</v>
      </c>
      <c r="E189">
        <v>20</v>
      </c>
    </row>
    <row r="190" spans="1:5" x14ac:dyDescent="0.25">
      <c r="A190">
        <f t="shared" si="2"/>
        <v>370.8</v>
      </c>
      <c r="B190" s="12" t="s">
        <v>248</v>
      </c>
      <c r="C190">
        <v>118</v>
      </c>
      <c r="D190">
        <v>56</v>
      </c>
      <c r="E190">
        <v>174</v>
      </c>
    </row>
    <row r="191" spans="1:5" x14ac:dyDescent="0.25">
      <c r="A191">
        <f t="shared" si="2"/>
        <v>1008</v>
      </c>
      <c r="B191" s="12" t="s">
        <v>856</v>
      </c>
      <c r="D191">
        <v>336</v>
      </c>
      <c r="E191">
        <v>336</v>
      </c>
    </row>
    <row r="192" spans="1:5" x14ac:dyDescent="0.25">
      <c r="A192">
        <f t="shared" si="2"/>
        <v>0</v>
      </c>
      <c r="B192" s="12" t="s">
        <v>251</v>
      </c>
      <c r="C192">
        <v>0</v>
      </c>
      <c r="D192">
        <v>0</v>
      </c>
      <c r="E192">
        <v>0</v>
      </c>
    </row>
    <row r="193" spans="1:5" x14ac:dyDescent="0.25">
      <c r="A193">
        <f t="shared" si="2"/>
        <v>0</v>
      </c>
      <c r="B193" s="12" t="s">
        <v>252</v>
      </c>
      <c r="C193">
        <v>0</v>
      </c>
      <c r="D193">
        <v>0</v>
      </c>
      <c r="E193">
        <v>0</v>
      </c>
    </row>
    <row r="194" spans="1:5" x14ac:dyDescent="0.25">
      <c r="A194">
        <f t="shared" si="2"/>
        <v>0</v>
      </c>
      <c r="B194" s="12" t="s">
        <v>860</v>
      </c>
      <c r="D194">
        <v>0</v>
      </c>
      <c r="E194">
        <v>0</v>
      </c>
    </row>
    <row r="195" spans="1:5" x14ac:dyDescent="0.25">
      <c r="A195">
        <f t="shared" si="2"/>
        <v>30</v>
      </c>
      <c r="B195" s="12" t="s">
        <v>861</v>
      </c>
      <c r="D195">
        <v>10</v>
      </c>
      <c r="E195">
        <v>10</v>
      </c>
    </row>
    <row r="196" spans="1:5" x14ac:dyDescent="0.25">
      <c r="A196">
        <f t="shared" si="2"/>
        <v>0</v>
      </c>
      <c r="B196" s="12" t="s">
        <v>253</v>
      </c>
      <c r="C196">
        <v>0</v>
      </c>
      <c r="D196">
        <v>0</v>
      </c>
      <c r="E196">
        <v>0</v>
      </c>
    </row>
    <row r="197" spans="1:5" x14ac:dyDescent="0.25">
      <c r="A197">
        <f t="shared" si="2"/>
        <v>6</v>
      </c>
      <c r="B197" s="12" t="s">
        <v>254</v>
      </c>
      <c r="C197">
        <v>0</v>
      </c>
      <c r="D197">
        <v>20</v>
      </c>
      <c r="E197">
        <v>20</v>
      </c>
    </row>
    <row r="198" spans="1:5" x14ac:dyDescent="0.25">
      <c r="A198">
        <f t="shared" si="2"/>
        <v>30</v>
      </c>
      <c r="B198" s="12" t="s">
        <v>863</v>
      </c>
      <c r="D198">
        <v>10</v>
      </c>
      <c r="E198">
        <v>10</v>
      </c>
    </row>
    <row r="199" spans="1:5" x14ac:dyDescent="0.25">
      <c r="A199">
        <f t="shared" ref="A199:A262" si="3">IF(C199="",SUMPRODUCT($C$1:$D$1,$C199:$D199),SUMPRODUCT($C$2:$D$2,$C199:$D199))</f>
        <v>30</v>
      </c>
      <c r="B199" s="12" t="s">
        <v>255</v>
      </c>
      <c r="C199">
        <v>10</v>
      </c>
      <c r="D199">
        <v>0</v>
      </c>
      <c r="E199">
        <v>10</v>
      </c>
    </row>
    <row r="200" spans="1:5" x14ac:dyDescent="0.25">
      <c r="A200">
        <f t="shared" si="3"/>
        <v>33</v>
      </c>
      <c r="B200" s="12" t="s">
        <v>256</v>
      </c>
      <c r="C200">
        <v>10</v>
      </c>
      <c r="D200">
        <v>10</v>
      </c>
      <c r="E200">
        <v>20</v>
      </c>
    </row>
    <row r="201" spans="1:5" x14ac:dyDescent="0.25">
      <c r="A201">
        <f t="shared" si="3"/>
        <v>33</v>
      </c>
      <c r="B201" s="12" t="s">
        <v>257</v>
      </c>
      <c r="C201">
        <v>10</v>
      </c>
      <c r="D201">
        <v>10</v>
      </c>
      <c r="E201">
        <v>20</v>
      </c>
    </row>
    <row r="202" spans="1:5" x14ac:dyDescent="0.25">
      <c r="A202">
        <f t="shared" si="3"/>
        <v>0</v>
      </c>
      <c r="B202" s="12" t="s">
        <v>258</v>
      </c>
      <c r="C202">
        <v>0</v>
      </c>
      <c r="E202">
        <v>0</v>
      </c>
    </row>
    <row r="203" spans="1:5" x14ac:dyDescent="0.25">
      <c r="A203">
        <f t="shared" si="3"/>
        <v>30</v>
      </c>
      <c r="B203" s="12" t="s">
        <v>864</v>
      </c>
      <c r="D203">
        <v>10</v>
      </c>
      <c r="E203">
        <v>10</v>
      </c>
    </row>
    <row r="204" spans="1:5" x14ac:dyDescent="0.25">
      <c r="A204">
        <f t="shared" si="3"/>
        <v>30</v>
      </c>
      <c r="B204" s="12" t="s">
        <v>865</v>
      </c>
      <c r="D204">
        <v>10</v>
      </c>
      <c r="E204">
        <v>10</v>
      </c>
    </row>
    <row r="205" spans="1:5" x14ac:dyDescent="0.25">
      <c r="A205">
        <f t="shared" si="3"/>
        <v>432</v>
      </c>
      <c r="B205" s="12" t="s">
        <v>259</v>
      </c>
      <c r="C205">
        <v>143</v>
      </c>
      <c r="D205">
        <v>10</v>
      </c>
      <c r="E205">
        <v>153</v>
      </c>
    </row>
    <row r="206" spans="1:5" x14ac:dyDescent="0.25">
      <c r="A206">
        <f t="shared" si="3"/>
        <v>45</v>
      </c>
      <c r="B206" s="12" t="s">
        <v>262</v>
      </c>
      <c r="C206">
        <v>14</v>
      </c>
      <c r="D206">
        <v>10</v>
      </c>
      <c r="E206">
        <v>24</v>
      </c>
    </row>
    <row r="207" spans="1:5" x14ac:dyDescent="0.25">
      <c r="A207">
        <f t="shared" si="3"/>
        <v>30</v>
      </c>
      <c r="B207" s="12" t="s">
        <v>866</v>
      </c>
      <c r="D207">
        <v>10</v>
      </c>
      <c r="E207">
        <v>10</v>
      </c>
    </row>
    <row r="208" spans="1:5" x14ac:dyDescent="0.25">
      <c r="A208">
        <f t="shared" si="3"/>
        <v>66</v>
      </c>
      <c r="B208" s="12" t="s">
        <v>265</v>
      </c>
      <c r="C208">
        <v>22</v>
      </c>
      <c r="D208">
        <v>0</v>
      </c>
      <c r="E208">
        <v>22</v>
      </c>
    </row>
    <row r="209" spans="1:5" x14ac:dyDescent="0.25">
      <c r="A209">
        <f t="shared" si="3"/>
        <v>45</v>
      </c>
      <c r="B209" s="12" t="s">
        <v>267</v>
      </c>
      <c r="C209">
        <v>14</v>
      </c>
      <c r="D209">
        <v>10</v>
      </c>
      <c r="E209">
        <v>24</v>
      </c>
    </row>
    <row r="210" spans="1:5" x14ac:dyDescent="0.25">
      <c r="A210">
        <f t="shared" si="3"/>
        <v>887.99999999999977</v>
      </c>
      <c r="B210" s="12" t="s">
        <v>269</v>
      </c>
      <c r="C210">
        <v>294.99999999999994</v>
      </c>
      <c r="D210">
        <v>10</v>
      </c>
      <c r="E210">
        <v>304.99999999999994</v>
      </c>
    </row>
    <row r="211" spans="1:5" x14ac:dyDescent="0.25">
      <c r="A211">
        <f t="shared" si="3"/>
        <v>0</v>
      </c>
      <c r="B211" s="12" t="s">
        <v>272</v>
      </c>
      <c r="C211">
        <v>0</v>
      </c>
      <c r="E211">
        <v>0</v>
      </c>
    </row>
    <row r="212" spans="1:5" x14ac:dyDescent="0.25">
      <c r="A212">
        <f t="shared" si="3"/>
        <v>30</v>
      </c>
      <c r="B212" s="12" t="s">
        <v>867</v>
      </c>
      <c r="D212">
        <v>10</v>
      </c>
      <c r="E212">
        <v>10</v>
      </c>
    </row>
    <row r="213" spans="1:5" x14ac:dyDescent="0.25">
      <c r="A213">
        <f t="shared" si="3"/>
        <v>185.99999999999997</v>
      </c>
      <c r="B213" s="12" t="s">
        <v>274</v>
      </c>
      <c r="C213">
        <v>61.999999999999993</v>
      </c>
      <c r="D213">
        <v>0</v>
      </c>
      <c r="E213">
        <v>61.999999999999993</v>
      </c>
    </row>
    <row r="214" spans="1:5" x14ac:dyDescent="0.25">
      <c r="A214">
        <f t="shared" si="3"/>
        <v>30</v>
      </c>
      <c r="B214" s="12" t="s">
        <v>868</v>
      </c>
      <c r="D214">
        <v>10</v>
      </c>
      <c r="E214">
        <v>10</v>
      </c>
    </row>
    <row r="215" spans="1:5" x14ac:dyDescent="0.25">
      <c r="A215">
        <f t="shared" si="3"/>
        <v>88.5</v>
      </c>
      <c r="B215" s="12" t="s">
        <v>277</v>
      </c>
      <c r="C215">
        <v>22</v>
      </c>
      <c r="D215">
        <v>75</v>
      </c>
      <c r="E215">
        <v>97</v>
      </c>
    </row>
    <row r="216" spans="1:5" x14ac:dyDescent="0.25">
      <c r="A216">
        <f t="shared" si="3"/>
        <v>33.299999999999997</v>
      </c>
      <c r="B216" s="12" t="s">
        <v>279</v>
      </c>
      <c r="C216">
        <v>0</v>
      </c>
      <c r="D216">
        <v>111</v>
      </c>
      <c r="E216">
        <v>111</v>
      </c>
    </row>
    <row r="217" spans="1:5" x14ac:dyDescent="0.25">
      <c r="A217">
        <f t="shared" si="3"/>
        <v>0</v>
      </c>
      <c r="B217" s="12" t="s">
        <v>871</v>
      </c>
      <c r="D217">
        <v>0</v>
      </c>
      <c r="E217">
        <v>0</v>
      </c>
    </row>
    <row r="218" spans="1:5" x14ac:dyDescent="0.25">
      <c r="A218">
        <f t="shared" si="3"/>
        <v>75</v>
      </c>
      <c r="B218" s="12" t="s">
        <v>280</v>
      </c>
      <c r="C218">
        <v>24</v>
      </c>
      <c r="D218">
        <v>10</v>
      </c>
      <c r="E218">
        <v>34</v>
      </c>
    </row>
    <row r="219" spans="1:5" x14ac:dyDescent="0.25">
      <c r="A219">
        <f t="shared" si="3"/>
        <v>72</v>
      </c>
      <c r="B219" s="12" t="s">
        <v>283</v>
      </c>
      <c r="C219">
        <v>23</v>
      </c>
      <c r="D219">
        <v>10</v>
      </c>
      <c r="E219">
        <v>33</v>
      </c>
    </row>
    <row r="220" spans="1:5" x14ac:dyDescent="0.25">
      <c r="A220">
        <f t="shared" si="3"/>
        <v>223.8</v>
      </c>
      <c r="B220" s="12" t="s">
        <v>286</v>
      </c>
      <c r="C220">
        <v>70</v>
      </c>
      <c r="D220">
        <v>46</v>
      </c>
      <c r="E220">
        <v>116</v>
      </c>
    </row>
    <row r="221" spans="1:5" x14ac:dyDescent="0.25">
      <c r="A221">
        <f t="shared" si="3"/>
        <v>4.5</v>
      </c>
      <c r="B221" s="12" t="s">
        <v>288</v>
      </c>
      <c r="C221">
        <v>0</v>
      </c>
      <c r="D221">
        <v>15</v>
      </c>
      <c r="E221">
        <v>15</v>
      </c>
    </row>
    <row r="222" spans="1:5" x14ac:dyDescent="0.25">
      <c r="A222">
        <f t="shared" si="3"/>
        <v>0</v>
      </c>
      <c r="B222" s="12" t="s">
        <v>289</v>
      </c>
      <c r="C222">
        <v>0</v>
      </c>
      <c r="D222">
        <v>0</v>
      </c>
      <c r="E222">
        <v>0</v>
      </c>
    </row>
    <row r="223" spans="1:5" x14ac:dyDescent="0.25">
      <c r="A223">
        <f t="shared" si="3"/>
        <v>0</v>
      </c>
      <c r="B223" s="12" t="s">
        <v>873</v>
      </c>
      <c r="D223">
        <v>0</v>
      </c>
      <c r="E223">
        <v>0</v>
      </c>
    </row>
    <row r="224" spans="1:5" x14ac:dyDescent="0.25">
      <c r="A224">
        <f t="shared" si="3"/>
        <v>51</v>
      </c>
      <c r="B224" s="12" t="s">
        <v>290</v>
      </c>
      <c r="C224">
        <v>15</v>
      </c>
      <c r="D224">
        <v>20</v>
      </c>
      <c r="E224">
        <v>35</v>
      </c>
    </row>
    <row r="225" spans="1:5" x14ac:dyDescent="0.25">
      <c r="A225">
        <f t="shared" si="3"/>
        <v>45</v>
      </c>
      <c r="B225" s="12" t="s">
        <v>291</v>
      </c>
      <c r="C225">
        <v>15</v>
      </c>
      <c r="D225">
        <v>0</v>
      </c>
      <c r="E225">
        <v>15</v>
      </c>
    </row>
    <row r="226" spans="1:5" x14ac:dyDescent="0.25">
      <c r="A226">
        <f t="shared" si="3"/>
        <v>48</v>
      </c>
      <c r="B226" s="12" t="s">
        <v>292</v>
      </c>
      <c r="C226">
        <v>15</v>
      </c>
      <c r="D226">
        <v>10</v>
      </c>
      <c r="E226">
        <v>25</v>
      </c>
    </row>
    <row r="227" spans="1:5" x14ac:dyDescent="0.25">
      <c r="A227">
        <f t="shared" si="3"/>
        <v>60</v>
      </c>
      <c r="B227" s="12" t="s">
        <v>293</v>
      </c>
      <c r="C227">
        <v>20</v>
      </c>
      <c r="D227">
        <v>0</v>
      </c>
      <c r="E227">
        <v>20</v>
      </c>
    </row>
    <row r="228" spans="1:5" x14ac:dyDescent="0.25">
      <c r="A228">
        <f t="shared" si="3"/>
        <v>48</v>
      </c>
      <c r="B228" s="12" t="s">
        <v>294</v>
      </c>
      <c r="C228">
        <v>15</v>
      </c>
      <c r="D228">
        <v>10</v>
      </c>
      <c r="E228">
        <v>25</v>
      </c>
    </row>
    <row r="229" spans="1:5" x14ac:dyDescent="0.25">
      <c r="A229">
        <f t="shared" si="3"/>
        <v>33</v>
      </c>
      <c r="B229" s="12" t="s">
        <v>295</v>
      </c>
      <c r="C229">
        <v>10</v>
      </c>
      <c r="D229">
        <v>10</v>
      </c>
      <c r="E229">
        <v>20</v>
      </c>
    </row>
    <row r="230" spans="1:5" x14ac:dyDescent="0.25">
      <c r="A230">
        <f t="shared" si="3"/>
        <v>0</v>
      </c>
      <c r="B230" s="12" t="s">
        <v>296</v>
      </c>
      <c r="C230">
        <v>0</v>
      </c>
      <c r="E230">
        <v>0</v>
      </c>
    </row>
    <row r="231" spans="1:5" x14ac:dyDescent="0.25">
      <c r="A231">
        <f t="shared" si="3"/>
        <v>0</v>
      </c>
      <c r="B231" s="12" t="s">
        <v>298</v>
      </c>
      <c r="C231">
        <v>0</v>
      </c>
      <c r="E231">
        <v>0</v>
      </c>
    </row>
    <row r="232" spans="1:5" x14ac:dyDescent="0.25">
      <c r="A232">
        <f t="shared" si="3"/>
        <v>270</v>
      </c>
      <c r="B232" s="12" t="s">
        <v>874</v>
      </c>
      <c r="D232">
        <v>90</v>
      </c>
      <c r="E232">
        <v>90</v>
      </c>
    </row>
    <row r="233" spans="1:5" x14ac:dyDescent="0.25">
      <c r="A233">
        <f t="shared" si="3"/>
        <v>30</v>
      </c>
      <c r="B233" s="12" t="s">
        <v>877</v>
      </c>
      <c r="D233">
        <v>10</v>
      </c>
      <c r="E233">
        <v>10</v>
      </c>
    </row>
    <row r="234" spans="1:5" x14ac:dyDescent="0.25">
      <c r="A234">
        <f t="shared" si="3"/>
        <v>257.99999999999994</v>
      </c>
      <c r="B234" s="12" t="s">
        <v>299</v>
      </c>
      <c r="C234">
        <v>84.999999999999986</v>
      </c>
      <c r="D234">
        <v>10</v>
      </c>
      <c r="E234">
        <v>94.999999999999986</v>
      </c>
    </row>
    <row r="235" spans="1:5" x14ac:dyDescent="0.25">
      <c r="A235">
        <f t="shared" si="3"/>
        <v>457.5</v>
      </c>
      <c r="B235" s="12" t="s">
        <v>302</v>
      </c>
      <c r="C235">
        <v>151</v>
      </c>
      <c r="D235">
        <v>15</v>
      </c>
      <c r="E235">
        <v>166</v>
      </c>
    </row>
    <row r="236" spans="1:5" x14ac:dyDescent="0.25">
      <c r="A236">
        <f t="shared" si="3"/>
        <v>83.999999999999986</v>
      </c>
      <c r="B236" s="12" t="s">
        <v>305</v>
      </c>
      <c r="C236">
        <v>25.999999999999996</v>
      </c>
      <c r="D236">
        <v>20</v>
      </c>
      <c r="E236">
        <v>46</v>
      </c>
    </row>
    <row r="237" spans="1:5" x14ac:dyDescent="0.25">
      <c r="A237">
        <f t="shared" si="3"/>
        <v>0</v>
      </c>
      <c r="B237" s="12" t="s">
        <v>878</v>
      </c>
      <c r="D237">
        <v>0</v>
      </c>
      <c r="E237">
        <v>0</v>
      </c>
    </row>
    <row r="238" spans="1:5" x14ac:dyDescent="0.25">
      <c r="A238">
        <f t="shared" si="3"/>
        <v>180</v>
      </c>
      <c r="B238" s="12" t="s">
        <v>308</v>
      </c>
      <c r="C238">
        <v>60</v>
      </c>
      <c r="E238">
        <v>60</v>
      </c>
    </row>
    <row r="239" spans="1:5" x14ac:dyDescent="0.25">
      <c r="A239">
        <f t="shared" si="3"/>
        <v>0</v>
      </c>
      <c r="B239" s="12" t="s">
        <v>879</v>
      </c>
      <c r="D239">
        <v>0</v>
      </c>
      <c r="E239">
        <v>0</v>
      </c>
    </row>
    <row r="240" spans="1:5" x14ac:dyDescent="0.25">
      <c r="A240">
        <f t="shared" si="3"/>
        <v>33</v>
      </c>
      <c r="B240" s="12" t="s">
        <v>309</v>
      </c>
      <c r="C240">
        <v>10</v>
      </c>
      <c r="D240">
        <v>10</v>
      </c>
      <c r="E240">
        <v>20</v>
      </c>
    </row>
    <row r="241" spans="1:5" x14ac:dyDescent="0.25">
      <c r="A241">
        <f t="shared" si="3"/>
        <v>83.999999999999986</v>
      </c>
      <c r="B241" s="12" t="s">
        <v>310</v>
      </c>
      <c r="C241">
        <v>26.999999999999996</v>
      </c>
      <c r="D241">
        <v>10</v>
      </c>
      <c r="E241">
        <v>37</v>
      </c>
    </row>
    <row r="242" spans="1:5" x14ac:dyDescent="0.25">
      <c r="A242">
        <f t="shared" si="3"/>
        <v>0</v>
      </c>
      <c r="B242" s="12" t="s">
        <v>313</v>
      </c>
      <c r="C242">
        <v>0</v>
      </c>
      <c r="D242">
        <v>0</v>
      </c>
      <c r="E242">
        <v>0</v>
      </c>
    </row>
    <row r="243" spans="1:5" x14ac:dyDescent="0.25">
      <c r="A243">
        <f t="shared" si="3"/>
        <v>30</v>
      </c>
      <c r="B243" s="12" t="s">
        <v>880</v>
      </c>
      <c r="D243">
        <v>10</v>
      </c>
      <c r="E243">
        <v>10</v>
      </c>
    </row>
    <row r="244" spans="1:5" x14ac:dyDescent="0.25">
      <c r="A244">
        <f t="shared" si="3"/>
        <v>30</v>
      </c>
      <c r="B244" s="12" t="s">
        <v>881</v>
      </c>
      <c r="D244">
        <v>10</v>
      </c>
      <c r="E244">
        <v>10</v>
      </c>
    </row>
    <row r="245" spans="1:5" x14ac:dyDescent="0.25">
      <c r="A245">
        <f t="shared" si="3"/>
        <v>83.999999999999986</v>
      </c>
      <c r="B245" s="12" t="s">
        <v>314</v>
      </c>
      <c r="C245">
        <v>26.999999999999996</v>
      </c>
      <c r="D245">
        <v>10</v>
      </c>
      <c r="E245">
        <v>37</v>
      </c>
    </row>
    <row r="246" spans="1:5" x14ac:dyDescent="0.25">
      <c r="A246">
        <f t="shared" si="3"/>
        <v>60</v>
      </c>
      <c r="B246" s="12" t="s">
        <v>882</v>
      </c>
      <c r="D246">
        <v>20</v>
      </c>
      <c r="E246">
        <v>20</v>
      </c>
    </row>
    <row r="247" spans="1:5" x14ac:dyDescent="0.25">
      <c r="A247">
        <f t="shared" si="3"/>
        <v>259.2</v>
      </c>
      <c r="B247" s="12" t="s">
        <v>316</v>
      </c>
      <c r="C247">
        <v>84</v>
      </c>
      <c r="D247">
        <v>24</v>
      </c>
      <c r="E247">
        <v>108</v>
      </c>
    </row>
    <row r="248" spans="1:5" x14ac:dyDescent="0.25">
      <c r="A248">
        <f t="shared" si="3"/>
        <v>63</v>
      </c>
      <c r="B248" s="12" t="s">
        <v>319</v>
      </c>
      <c r="C248">
        <v>20</v>
      </c>
      <c r="D248">
        <v>10</v>
      </c>
      <c r="E248">
        <v>30</v>
      </c>
    </row>
    <row r="249" spans="1:5" x14ac:dyDescent="0.25">
      <c r="A249">
        <f t="shared" si="3"/>
        <v>30</v>
      </c>
      <c r="B249" s="12" t="s">
        <v>884</v>
      </c>
      <c r="D249">
        <v>10</v>
      </c>
      <c r="E249">
        <v>10</v>
      </c>
    </row>
    <row r="250" spans="1:5" x14ac:dyDescent="0.25">
      <c r="A250">
        <f t="shared" si="3"/>
        <v>30</v>
      </c>
      <c r="B250" s="12" t="s">
        <v>885</v>
      </c>
      <c r="D250">
        <v>10</v>
      </c>
      <c r="E250">
        <v>10</v>
      </c>
    </row>
    <row r="251" spans="1:5" x14ac:dyDescent="0.25">
      <c r="A251">
        <f t="shared" si="3"/>
        <v>30</v>
      </c>
      <c r="B251" s="12" t="s">
        <v>886</v>
      </c>
      <c r="D251">
        <v>10</v>
      </c>
      <c r="E251">
        <v>10</v>
      </c>
    </row>
    <row r="252" spans="1:5" x14ac:dyDescent="0.25">
      <c r="A252">
        <f t="shared" si="3"/>
        <v>0</v>
      </c>
      <c r="B252" s="12" t="s">
        <v>321</v>
      </c>
      <c r="C252">
        <v>0</v>
      </c>
      <c r="E252">
        <v>0</v>
      </c>
    </row>
    <row r="253" spans="1:5" x14ac:dyDescent="0.25">
      <c r="A253">
        <f t="shared" si="3"/>
        <v>30</v>
      </c>
      <c r="B253" s="12" t="s">
        <v>323</v>
      </c>
      <c r="C253">
        <v>10</v>
      </c>
      <c r="D253">
        <v>0</v>
      </c>
      <c r="E253">
        <v>10</v>
      </c>
    </row>
    <row r="254" spans="1:5" x14ac:dyDescent="0.25">
      <c r="A254">
        <f t="shared" si="3"/>
        <v>51.29999999999999</v>
      </c>
      <c r="B254" s="12" t="s">
        <v>324</v>
      </c>
      <c r="C254">
        <v>0</v>
      </c>
      <c r="D254">
        <v>170.99999999999997</v>
      </c>
      <c r="E254">
        <v>170.99999999999997</v>
      </c>
    </row>
    <row r="255" spans="1:5" x14ac:dyDescent="0.25">
      <c r="A255">
        <f t="shared" si="3"/>
        <v>51</v>
      </c>
      <c r="B255" s="12" t="s">
        <v>325</v>
      </c>
      <c r="C255">
        <v>16</v>
      </c>
      <c r="D255">
        <v>10</v>
      </c>
      <c r="E255">
        <v>26</v>
      </c>
    </row>
    <row r="256" spans="1:5" x14ac:dyDescent="0.25">
      <c r="A256">
        <f t="shared" si="3"/>
        <v>30</v>
      </c>
      <c r="B256" s="12" t="s">
        <v>889</v>
      </c>
      <c r="D256">
        <v>10</v>
      </c>
      <c r="E256">
        <v>10</v>
      </c>
    </row>
    <row r="257" spans="1:5" x14ac:dyDescent="0.25">
      <c r="A257">
        <f t="shared" si="3"/>
        <v>99</v>
      </c>
      <c r="B257" s="12" t="s">
        <v>328</v>
      </c>
      <c r="C257">
        <v>32</v>
      </c>
      <c r="D257">
        <v>10</v>
      </c>
      <c r="E257">
        <v>42</v>
      </c>
    </row>
    <row r="258" spans="1:5" x14ac:dyDescent="0.25">
      <c r="A258">
        <f t="shared" si="3"/>
        <v>669.9</v>
      </c>
      <c r="B258" s="12" t="s">
        <v>330</v>
      </c>
      <c r="C258">
        <v>222</v>
      </c>
      <c r="D258">
        <v>12.999999999999998</v>
      </c>
      <c r="E258">
        <v>235</v>
      </c>
    </row>
    <row r="259" spans="1:5" x14ac:dyDescent="0.25">
      <c r="A259">
        <f t="shared" si="3"/>
        <v>180</v>
      </c>
      <c r="B259" s="12" t="s">
        <v>333</v>
      </c>
      <c r="C259">
        <v>60</v>
      </c>
      <c r="E259">
        <v>60</v>
      </c>
    </row>
    <row r="260" spans="1:5" x14ac:dyDescent="0.25">
      <c r="A260">
        <f t="shared" si="3"/>
        <v>141</v>
      </c>
      <c r="B260" s="12" t="s">
        <v>334</v>
      </c>
      <c r="C260">
        <v>46</v>
      </c>
      <c r="D260">
        <v>10</v>
      </c>
      <c r="E260">
        <v>56</v>
      </c>
    </row>
    <row r="261" spans="1:5" x14ac:dyDescent="0.25">
      <c r="A261">
        <f t="shared" si="3"/>
        <v>348.89999999999992</v>
      </c>
      <c r="B261" s="12" t="s">
        <v>337</v>
      </c>
      <c r="C261">
        <v>114.99999999999999</v>
      </c>
      <c r="D261">
        <v>12.999999999999998</v>
      </c>
      <c r="E261">
        <v>127.99999999999999</v>
      </c>
    </row>
    <row r="262" spans="1:5" x14ac:dyDescent="0.25">
      <c r="A262">
        <f t="shared" si="3"/>
        <v>30</v>
      </c>
      <c r="B262" s="12" t="s">
        <v>892</v>
      </c>
      <c r="D262">
        <v>10</v>
      </c>
      <c r="E262">
        <v>10</v>
      </c>
    </row>
    <row r="263" spans="1:5" x14ac:dyDescent="0.25">
      <c r="A263">
        <f t="shared" ref="A263:A326" si="4">IF(C263="",SUMPRODUCT($C$1:$D$1,$C263:$D263),SUMPRODUCT($C$2:$D$2,$C263:$D263))</f>
        <v>222</v>
      </c>
      <c r="B263" s="12" t="s">
        <v>340</v>
      </c>
      <c r="C263">
        <v>73</v>
      </c>
      <c r="D263">
        <v>10</v>
      </c>
      <c r="E263">
        <v>83</v>
      </c>
    </row>
    <row r="264" spans="1:5" x14ac:dyDescent="0.25">
      <c r="A264">
        <f t="shared" si="4"/>
        <v>30</v>
      </c>
      <c r="B264" s="12" t="s">
        <v>893</v>
      </c>
      <c r="D264">
        <v>10</v>
      </c>
      <c r="E264">
        <v>10</v>
      </c>
    </row>
    <row r="265" spans="1:5" x14ac:dyDescent="0.25">
      <c r="A265">
        <f t="shared" si="4"/>
        <v>0</v>
      </c>
      <c r="B265" s="12" t="s">
        <v>894</v>
      </c>
      <c r="D265">
        <v>0</v>
      </c>
      <c r="E265">
        <v>0</v>
      </c>
    </row>
    <row r="266" spans="1:5" x14ac:dyDescent="0.25">
      <c r="A266">
        <f t="shared" si="4"/>
        <v>30</v>
      </c>
      <c r="B266" s="12" t="s">
        <v>895</v>
      </c>
      <c r="D266">
        <v>10</v>
      </c>
      <c r="E266">
        <v>10</v>
      </c>
    </row>
    <row r="267" spans="1:5" x14ac:dyDescent="0.25">
      <c r="A267">
        <f t="shared" si="4"/>
        <v>180</v>
      </c>
      <c r="B267" s="12" t="s">
        <v>343</v>
      </c>
      <c r="C267">
        <v>60</v>
      </c>
      <c r="E267">
        <v>60</v>
      </c>
    </row>
    <row r="268" spans="1:5" x14ac:dyDescent="0.25">
      <c r="A268">
        <f t="shared" si="4"/>
        <v>439.50000000000011</v>
      </c>
      <c r="B268" s="12" t="s">
        <v>344</v>
      </c>
      <c r="C268">
        <v>144.00000000000003</v>
      </c>
      <c r="D268">
        <v>25</v>
      </c>
      <c r="E268">
        <v>169.00000000000003</v>
      </c>
    </row>
    <row r="269" spans="1:5" x14ac:dyDescent="0.25">
      <c r="A269">
        <f t="shared" si="4"/>
        <v>4.5</v>
      </c>
      <c r="B269" s="12" t="s">
        <v>347</v>
      </c>
      <c r="C269">
        <v>0</v>
      </c>
      <c r="D269">
        <v>15</v>
      </c>
      <c r="E269">
        <v>15</v>
      </c>
    </row>
    <row r="270" spans="1:5" x14ac:dyDescent="0.25">
      <c r="A270">
        <f t="shared" si="4"/>
        <v>66</v>
      </c>
      <c r="B270" s="12" t="s">
        <v>348</v>
      </c>
      <c r="C270">
        <v>21</v>
      </c>
      <c r="D270">
        <v>10</v>
      </c>
      <c r="E270">
        <v>31</v>
      </c>
    </row>
    <row r="271" spans="1:5" x14ac:dyDescent="0.25">
      <c r="A271">
        <f t="shared" si="4"/>
        <v>30</v>
      </c>
      <c r="B271" s="12" t="s">
        <v>896</v>
      </c>
      <c r="D271">
        <v>10</v>
      </c>
      <c r="E271">
        <v>10</v>
      </c>
    </row>
    <row r="272" spans="1:5" x14ac:dyDescent="0.25">
      <c r="A272">
        <f t="shared" si="4"/>
        <v>0</v>
      </c>
      <c r="B272" s="12" t="s">
        <v>897</v>
      </c>
      <c r="D272">
        <v>0</v>
      </c>
      <c r="E272">
        <v>0</v>
      </c>
    </row>
    <row r="273" spans="1:5" x14ac:dyDescent="0.25">
      <c r="A273">
        <f t="shared" si="4"/>
        <v>60</v>
      </c>
      <c r="B273" s="12" t="s">
        <v>898</v>
      </c>
      <c r="D273">
        <v>20</v>
      </c>
      <c r="E273">
        <v>20</v>
      </c>
    </row>
    <row r="274" spans="1:5" x14ac:dyDescent="0.25">
      <c r="A274">
        <f t="shared" si="4"/>
        <v>164.99999999999997</v>
      </c>
      <c r="B274" s="12" t="s">
        <v>351</v>
      </c>
      <c r="C274">
        <v>53.999999999999993</v>
      </c>
      <c r="D274">
        <v>10</v>
      </c>
      <c r="E274">
        <v>63.999999999999993</v>
      </c>
    </row>
    <row r="275" spans="1:5" x14ac:dyDescent="0.25">
      <c r="A275">
        <f t="shared" si="4"/>
        <v>30</v>
      </c>
      <c r="B275" s="12" t="s">
        <v>899</v>
      </c>
      <c r="D275">
        <v>10</v>
      </c>
      <c r="E275">
        <v>10</v>
      </c>
    </row>
    <row r="276" spans="1:5" x14ac:dyDescent="0.25">
      <c r="A276">
        <f t="shared" si="4"/>
        <v>30</v>
      </c>
      <c r="B276" s="12" t="s">
        <v>900</v>
      </c>
      <c r="D276">
        <v>10</v>
      </c>
      <c r="E276">
        <v>10</v>
      </c>
    </row>
    <row r="277" spans="1:5" x14ac:dyDescent="0.25">
      <c r="A277">
        <f t="shared" si="4"/>
        <v>210</v>
      </c>
      <c r="B277" s="12" t="s">
        <v>353</v>
      </c>
      <c r="C277">
        <v>68</v>
      </c>
      <c r="D277">
        <v>20</v>
      </c>
      <c r="E277">
        <v>88</v>
      </c>
    </row>
    <row r="278" spans="1:5" x14ac:dyDescent="0.25">
      <c r="A278">
        <f t="shared" si="4"/>
        <v>183</v>
      </c>
      <c r="B278" s="12" t="s">
        <v>356</v>
      </c>
      <c r="C278">
        <v>61</v>
      </c>
      <c r="D278">
        <v>0</v>
      </c>
      <c r="E278">
        <v>61</v>
      </c>
    </row>
    <row r="279" spans="1:5" x14ac:dyDescent="0.25">
      <c r="A279">
        <f t="shared" si="4"/>
        <v>69</v>
      </c>
      <c r="B279" s="12" t="s">
        <v>359</v>
      </c>
      <c r="C279">
        <v>22</v>
      </c>
      <c r="D279">
        <v>10</v>
      </c>
      <c r="E279">
        <v>32</v>
      </c>
    </row>
    <row r="280" spans="1:5" x14ac:dyDescent="0.25">
      <c r="A280">
        <f t="shared" si="4"/>
        <v>69</v>
      </c>
      <c r="B280" s="12" t="s">
        <v>361</v>
      </c>
      <c r="C280">
        <v>22</v>
      </c>
      <c r="D280">
        <v>10</v>
      </c>
      <c r="E280">
        <v>32</v>
      </c>
    </row>
    <row r="281" spans="1:5" x14ac:dyDescent="0.25">
      <c r="A281">
        <f t="shared" si="4"/>
        <v>489</v>
      </c>
      <c r="B281" s="12" t="s">
        <v>363</v>
      </c>
      <c r="C281">
        <v>161</v>
      </c>
      <c r="D281">
        <v>20</v>
      </c>
      <c r="E281">
        <v>181</v>
      </c>
    </row>
    <row r="282" spans="1:5" x14ac:dyDescent="0.25">
      <c r="A282">
        <f t="shared" si="4"/>
        <v>0</v>
      </c>
      <c r="B282" s="12" t="s">
        <v>901</v>
      </c>
      <c r="D282">
        <v>0</v>
      </c>
      <c r="E282">
        <v>0</v>
      </c>
    </row>
    <row r="283" spans="1:5" x14ac:dyDescent="0.25">
      <c r="A283">
        <f t="shared" si="4"/>
        <v>30</v>
      </c>
      <c r="B283" s="12" t="s">
        <v>902</v>
      </c>
      <c r="D283">
        <v>10</v>
      </c>
      <c r="E283">
        <v>10</v>
      </c>
    </row>
    <row r="284" spans="1:5" x14ac:dyDescent="0.25">
      <c r="A284">
        <f t="shared" si="4"/>
        <v>120.3</v>
      </c>
      <c r="B284" s="12" t="s">
        <v>366</v>
      </c>
      <c r="C284">
        <v>39</v>
      </c>
      <c r="D284">
        <v>11</v>
      </c>
      <c r="E284">
        <v>50</v>
      </c>
    </row>
    <row r="285" spans="1:5" x14ac:dyDescent="0.25">
      <c r="A285">
        <f t="shared" si="4"/>
        <v>147.30000000000001</v>
      </c>
      <c r="B285" s="12" t="s">
        <v>369</v>
      </c>
      <c r="C285">
        <v>48</v>
      </c>
      <c r="D285">
        <v>11</v>
      </c>
      <c r="E285">
        <v>59</v>
      </c>
    </row>
    <row r="286" spans="1:5" x14ac:dyDescent="0.25">
      <c r="A286">
        <f t="shared" si="4"/>
        <v>554.99999999999989</v>
      </c>
      <c r="B286" s="12" t="s">
        <v>372</v>
      </c>
      <c r="C286">
        <v>184.99999999999997</v>
      </c>
      <c r="D286">
        <v>0</v>
      </c>
      <c r="E286">
        <v>184.99999999999997</v>
      </c>
    </row>
    <row r="287" spans="1:5" x14ac:dyDescent="0.25">
      <c r="A287">
        <f t="shared" si="4"/>
        <v>180</v>
      </c>
      <c r="B287" s="12" t="s">
        <v>375</v>
      </c>
      <c r="C287">
        <v>60</v>
      </c>
      <c r="E287">
        <v>60</v>
      </c>
    </row>
    <row r="288" spans="1:5" x14ac:dyDescent="0.25">
      <c r="A288">
        <f t="shared" si="4"/>
        <v>0</v>
      </c>
      <c r="B288" s="12" t="s">
        <v>376</v>
      </c>
      <c r="C288">
        <v>0</v>
      </c>
      <c r="E288">
        <v>0</v>
      </c>
    </row>
    <row r="289" spans="1:5" x14ac:dyDescent="0.25">
      <c r="A289">
        <f t="shared" si="4"/>
        <v>222</v>
      </c>
      <c r="B289" s="12" t="s">
        <v>378</v>
      </c>
      <c r="C289">
        <v>74</v>
      </c>
      <c r="D289">
        <v>0</v>
      </c>
      <c r="E289">
        <v>74</v>
      </c>
    </row>
    <row r="290" spans="1:5" x14ac:dyDescent="0.25">
      <c r="A290">
        <f t="shared" si="4"/>
        <v>30</v>
      </c>
      <c r="B290" s="12" t="s">
        <v>903</v>
      </c>
      <c r="D290">
        <v>10</v>
      </c>
      <c r="E290">
        <v>10</v>
      </c>
    </row>
    <row r="291" spans="1:5" x14ac:dyDescent="0.25">
      <c r="A291">
        <f t="shared" si="4"/>
        <v>282.00000000000006</v>
      </c>
      <c r="B291" s="12" t="s">
        <v>381</v>
      </c>
      <c r="C291">
        <v>94.000000000000014</v>
      </c>
      <c r="D291">
        <v>0</v>
      </c>
      <c r="E291">
        <v>94.000000000000014</v>
      </c>
    </row>
    <row r="292" spans="1:5" x14ac:dyDescent="0.25">
      <c r="A292">
        <f t="shared" si="4"/>
        <v>111</v>
      </c>
      <c r="B292" s="12" t="s">
        <v>904</v>
      </c>
      <c r="D292">
        <v>37</v>
      </c>
      <c r="E292">
        <v>37</v>
      </c>
    </row>
    <row r="293" spans="1:5" x14ac:dyDescent="0.25">
      <c r="A293">
        <f t="shared" si="4"/>
        <v>45</v>
      </c>
      <c r="B293" s="12" t="s">
        <v>906</v>
      </c>
      <c r="D293">
        <v>15</v>
      </c>
      <c r="E293">
        <v>15</v>
      </c>
    </row>
    <row r="294" spans="1:5" x14ac:dyDescent="0.25">
      <c r="A294">
        <f t="shared" si="4"/>
        <v>0</v>
      </c>
      <c r="B294" s="12" t="s">
        <v>907</v>
      </c>
      <c r="D294">
        <v>0</v>
      </c>
      <c r="E294">
        <v>0</v>
      </c>
    </row>
    <row r="295" spans="1:5" x14ac:dyDescent="0.25">
      <c r="A295">
        <f t="shared" si="4"/>
        <v>0</v>
      </c>
      <c r="B295" s="12" t="s">
        <v>908</v>
      </c>
      <c r="D295">
        <v>0</v>
      </c>
      <c r="E295">
        <v>0</v>
      </c>
    </row>
    <row r="296" spans="1:5" x14ac:dyDescent="0.25">
      <c r="A296">
        <f t="shared" si="4"/>
        <v>188.99999999999994</v>
      </c>
      <c r="B296" s="12" t="s">
        <v>384</v>
      </c>
      <c r="C296">
        <v>62.999999999999986</v>
      </c>
      <c r="D296">
        <v>0</v>
      </c>
      <c r="E296">
        <v>62.999999999999986</v>
      </c>
    </row>
    <row r="297" spans="1:5" x14ac:dyDescent="0.25">
      <c r="A297">
        <f t="shared" si="4"/>
        <v>30</v>
      </c>
      <c r="B297" s="12" t="s">
        <v>910</v>
      </c>
      <c r="D297">
        <v>10</v>
      </c>
      <c r="E297">
        <v>10</v>
      </c>
    </row>
    <row r="298" spans="1:5" x14ac:dyDescent="0.25">
      <c r="A298">
        <f t="shared" si="4"/>
        <v>102</v>
      </c>
      <c r="B298" s="12" t="s">
        <v>387</v>
      </c>
      <c r="C298">
        <v>34</v>
      </c>
      <c r="D298">
        <v>0</v>
      </c>
      <c r="E298">
        <v>34</v>
      </c>
    </row>
    <row r="299" spans="1:5" x14ac:dyDescent="0.25">
      <c r="A299">
        <f t="shared" si="4"/>
        <v>73.5</v>
      </c>
      <c r="B299" s="12" t="s">
        <v>390</v>
      </c>
      <c r="C299">
        <v>20</v>
      </c>
      <c r="D299">
        <v>45</v>
      </c>
      <c r="E299">
        <v>65</v>
      </c>
    </row>
    <row r="300" spans="1:5" x14ac:dyDescent="0.25">
      <c r="A300">
        <f t="shared" si="4"/>
        <v>33</v>
      </c>
      <c r="B300" s="12" t="s">
        <v>391</v>
      </c>
      <c r="C300">
        <v>10</v>
      </c>
      <c r="D300">
        <v>10</v>
      </c>
      <c r="E300">
        <v>20</v>
      </c>
    </row>
    <row r="301" spans="1:5" x14ac:dyDescent="0.25">
      <c r="A301">
        <f t="shared" si="4"/>
        <v>33</v>
      </c>
      <c r="B301" s="12" t="s">
        <v>392</v>
      </c>
      <c r="C301">
        <v>10</v>
      </c>
      <c r="D301">
        <v>10</v>
      </c>
      <c r="E301">
        <v>20</v>
      </c>
    </row>
    <row r="302" spans="1:5" x14ac:dyDescent="0.25">
      <c r="A302">
        <f t="shared" si="4"/>
        <v>417</v>
      </c>
      <c r="B302" s="12" t="s">
        <v>393</v>
      </c>
      <c r="C302">
        <v>139</v>
      </c>
      <c r="D302">
        <v>0</v>
      </c>
      <c r="E302">
        <v>139</v>
      </c>
    </row>
    <row r="303" spans="1:5" x14ac:dyDescent="0.25">
      <c r="A303">
        <f t="shared" si="4"/>
        <v>111</v>
      </c>
      <c r="B303" s="12" t="s">
        <v>396</v>
      </c>
      <c r="C303">
        <v>37</v>
      </c>
      <c r="D303">
        <v>0</v>
      </c>
      <c r="E303">
        <v>37</v>
      </c>
    </row>
    <row r="304" spans="1:5" x14ac:dyDescent="0.25">
      <c r="A304">
        <f t="shared" si="4"/>
        <v>60</v>
      </c>
      <c r="B304" s="12" t="s">
        <v>912</v>
      </c>
      <c r="D304">
        <v>20</v>
      </c>
      <c r="E304">
        <v>20</v>
      </c>
    </row>
    <row r="305" spans="1:5" x14ac:dyDescent="0.25">
      <c r="A305">
        <f t="shared" si="4"/>
        <v>246</v>
      </c>
      <c r="B305" s="12" t="s">
        <v>399</v>
      </c>
      <c r="C305">
        <v>81</v>
      </c>
      <c r="D305">
        <v>10</v>
      </c>
      <c r="E305">
        <v>91</v>
      </c>
    </row>
    <row r="306" spans="1:5" x14ac:dyDescent="0.25">
      <c r="A306">
        <f t="shared" si="4"/>
        <v>219.00000000000006</v>
      </c>
      <c r="B306" s="12" t="s">
        <v>402</v>
      </c>
      <c r="C306">
        <v>72.000000000000014</v>
      </c>
      <c r="D306">
        <v>10</v>
      </c>
      <c r="E306">
        <v>82.000000000000014</v>
      </c>
    </row>
    <row r="307" spans="1:5" x14ac:dyDescent="0.25">
      <c r="A307">
        <f t="shared" si="4"/>
        <v>30</v>
      </c>
      <c r="B307" s="12" t="s">
        <v>913</v>
      </c>
      <c r="D307">
        <v>10</v>
      </c>
      <c r="E307">
        <v>10</v>
      </c>
    </row>
    <row r="308" spans="1:5" x14ac:dyDescent="0.25">
      <c r="A308">
        <f t="shared" si="4"/>
        <v>374.99999999999994</v>
      </c>
      <c r="B308" s="12" t="s">
        <v>405</v>
      </c>
      <c r="C308">
        <v>123.99999999999999</v>
      </c>
      <c r="D308">
        <v>10</v>
      </c>
      <c r="E308">
        <v>134</v>
      </c>
    </row>
    <row r="309" spans="1:5" x14ac:dyDescent="0.25">
      <c r="A309">
        <f t="shared" si="4"/>
        <v>30</v>
      </c>
      <c r="B309" s="12" t="s">
        <v>914</v>
      </c>
      <c r="D309">
        <v>10</v>
      </c>
      <c r="E309">
        <v>10</v>
      </c>
    </row>
    <row r="310" spans="1:5" x14ac:dyDescent="0.25">
      <c r="A310">
        <f t="shared" si="4"/>
        <v>30</v>
      </c>
      <c r="B310" s="12" t="s">
        <v>915</v>
      </c>
      <c r="D310">
        <v>10</v>
      </c>
      <c r="E310">
        <v>10</v>
      </c>
    </row>
    <row r="311" spans="1:5" x14ac:dyDescent="0.25">
      <c r="A311">
        <f t="shared" si="4"/>
        <v>60</v>
      </c>
      <c r="B311" s="12" t="s">
        <v>408</v>
      </c>
      <c r="C311">
        <v>20</v>
      </c>
      <c r="D311">
        <v>0</v>
      </c>
      <c r="E311">
        <v>20</v>
      </c>
    </row>
    <row r="312" spans="1:5" x14ac:dyDescent="0.25">
      <c r="A312">
        <f t="shared" si="4"/>
        <v>30</v>
      </c>
      <c r="B312" s="12" t="s">
        <v>916</v>
      </c>
      <c r="D312">
        <v>10</v>
      </c>
      <c r="E312">
        <v>10</v>
      </c>
    </row>
    <row r="313" spans="1:5" x14ac:dyDescent="0.25">
      <c r="A313">
        <f t="shared" si="4"/>
        <v>161.99999999999997</v>
      </c>
      <c r="B313" s="12" t="s">
        <v>410</v>
      </c>
      <c r="C313">
        <v>51.999999999999993</v>
      </c>
      <c r="D313">
        <v>20</v>
      </c>
      <c r="E313">
        <v>72</v>
      </c>
    </row>
    <row r="314" spans="1:5" x14ac:dyDescent="0.25">
      <c r="A314">
        <f t="shared" si="4"/>
        <v>60</v>
      </c>
      <c r="B314" s="12" t="s">
        <v>917</v>
      </c>
      <c r="D314">
        <v>20</v>
      </c>
      <c r="E314">
        <v>20</v>
      </c>
    </row>
    <row r="315" spans="1:5" x14ac:dyDescent="0.25">
      <c r="A315">
        <f t="shared" si="4"/>
        <v>30</v>
      </c>
      <c r="B315" s="12" t="s">
        <v>918</v>
      </c>
      <c r="D315">
        <v>10</v>
      </c>
      <c r="E315">
        <v>10</v>
      </c>
    </row>
    <row r="316" spans="1:5" x14ac:dyDescent="0.25">
      <c r="A316">
        <f t="shared" si="4"/>
        <v>72</v>
      </c>
      <c r="B316" s="12" t="s">
        <v>413</v>
      </c>
      <c r="C316">
        <v>23</v>
      </c>
      <c r="D316">
        <v>10</v>
      </c>
      <c r="E316">
        <v>33</v>
      </c>
    </row>
    <row r="317" spans="1:5" x14ac:dyDescent="0.25">
      <c r="A317">
        <f t="shared" si="4"/>
        <v>30</v>
      </c>
      <c r="B317" s="12" t="s">
        <v>919</v>
      </c>
      <c r="D317">
        <v>10</v>
      </c>
      <c r="E317">
        <v>10</v>
      </c>
    </row>
    <row r="318" spans="1:5" x14ac:dyDescent="0.25">
      <c r="A318">
        <f t="shared" si="4"/>
        <v>174</v>
      </c>
      <c r="B318" s="12" t="s">
        <v>415</v>
      </c>
      <c r="C318">
        <v>57</v>
      </c>
      <c r="D318">
        <v>10</v>
      </c>
      <c r="E318">
        <v>67</v>
      </c>
    </row>
    <row r="319" spans="1:5" x14ac:dyDescent="0.25">
      <c r="A319">
        <f t="shared" si="4"/>
        <v>33</v>
      </c>
      <c r="B319" s="12" t="s">
        <v>920</v>
      </c>
      <c r="D319">
        <v>11</v>
      </c>
      <c r="E319">
        <v>11</v>
      </c>
    </row>
    <row r="320" spans="1:5" x14ac:dyDescent="0.25">
      <c r="A320">
        <f t="shared" si="4"/>
        <v>69</v>
      </c>
      <c r="B320" s="12" t="s">
        <v>417</v>
      </c>
      <c r="C320">
        <v>22</v>
      </c>
      <c r="D320">
        <v>10</v>
      </c>
      <c r="E320">
        <v>32</v>
      </c>
    </row>
    <row r="321" spans="1:5" x14ac:dyDescent="0.25">
      <c r="A321">
        <f t="shared" si="4"/>
        <v>0</v>
      </c>
      <c r="B321" s="12" t="s">
        <v>419</v>
      </c>
      <c r="C321">
        <v>0</v>
      </c>
      <c r="D321">
        <v>0</v>
      </c>
      <c r="E321">
        <v>0</v>
      </c>
    </row>
    <row r="322" spans="1:5" x14ac:dyDescent="0.25">
      <c r="A322">
        <f t="shared" si="4"/>
        <v>126</v>
      </c>
      <c r="B322" s="12" t="s">
        <v>420</v>
      </c>
      <c r="C322">
        <v>42</v>
      </c>
      <c r="D322">
        <v>0</v>
      </c>
      <c r="E322">
        <v>42</v>
      </c>
    </row>
    <row r="323" spans="1:5" x14ac:dyDescent="0.25">
      <c r="A323">
        <f t="shared" si="4"/>
        <v>117</v>
      </c>
      <c r="B323" s="12" t="s">
        <v>423</v>
      </c>
      <c r="C323">
        <v>38</v>
      </c>
      <c r="D323">
        <v>10</v>
      </c>
      <c r="E323">
        <v>48</v>
      </c>
    </row>
    <row r="324" spans="1:5" x14ac:dyDescent="0.25">
      <c r="A324">
        <f t="shared" si="4"/>
        <v>113.70000000000003</v>
      </c>
      <c r="B324" s="12" t="s">
        <v>426</v>
      </c>
      <c r="C324">
        <v>36.000000000000007</v>
      </c>
      <c r="D324">
        <v>19</v>
      </c>
      <c r="E324">
        <v>55.000000000000007</v>
      </c>
    </row>
    <row r="325" spans="1:5" x14ac:dyDescent="0.25">
      <c r="A325">
        <f t="shared" si="4"/>
        <v>60</v>
      </c>
      <c r="B325" s="12" t="s">
        <v>922</v>
      </c>
      <c r="D325">
        <v>20</v>
      </c>
      <c r="E325">
        <v>20</v>
      </c>
    </row>
    <row r="326" spans="1:5" x14ac:dyDescent="0.25">
      <c r="A326">
        <f t="shared" si="4"/>
        <v>72</v>
      </c>
      <c r="B326" s="12" t="s">
        <v>429</v>
      </c>
      <c r="C326">
        <v>23</v>
      </c>
      <c r="D326">
        <v>10</v>
      </c>
      <c r="E326">
        <v>33</v>
      </c>
    </row>
    <row r="327" spans="1:5" x14ac:dyDescent="0.25">
      <c r="A327">
        <f t="shared" ref="A327:A390" si="5">IF(C327="",SUMPRODUCT($C$1:$D$1,$C327:$D327),SUMPRODUCT($C$2:$D$2,$C327:$D327))</f>
        <v>30</v>
      </c>
      <c r="B327" s="12" t="s">
        <v>923</v>
      </c>
      <c r="D327">
        <v>10</v>
      </c>
      <c r="E327">
        <v>10</v>
      </c>
    </row>
    <row r="328" spans="1:5" x14ac:dyDescent="0.25">
      <c r="A328">
        <f t="shared" si="5"/>
        <v>0</v>
      </c>
      <c r="B328" s="12" t="s">
        <v>430</v>
      </c>
      <c r="C328">
        <v>0</v>
      </c>
      <c r="D328">
        <v>0</v>
      </c>
      <c r="E328">
        <v>0</v>
      </c>
    </row>
    <row r="329" spans="1:5" x14ac:dyDescent="0.25">
      <c r="A329">
        <f t="shared" si="5"/>
        <v>117.3</v>
      </c>
      <c r="B329" s="12" t="s">
        <v>431</v>
      </c>
      <c r="C329">
        <v>30</v>
      </c>
      <c r="D329">
        <v>91</v>
      </c>
      <c r="E329">
        <v>121</v>
      </c>
    </row>
    <row r="330" spans="1:5" x14ac:dyDescent="0.25">
      <c r="A330">
        <f t="shared" si="5"/>
        <v>0</v>
      </c>
      <c r="B330" s="12" t="s">
        <v>433</v>
      </c>
      <c r="C330">
        <v>0</v>
      </c>
      <c r="E330">
        <v>0</v>
      </c>
    </row>
    <row r="331" spans="1:5" x14ac:dyDescent="0.25">
      <c r="A331">
        <f t="shared" si="5"/>
        <v>96</v>
      </c>
      <c r="B331" s="12" t="s">
        <v>435</v>
      </c>
      <c r="C331">
        <v>30</v>
      </c>
      <c r="D331">
        <v>20</v>
      </c>
      <c r="E331">
        <v>50</v>
      </c>
    </row>
    <row r="332" spans="1:5" x14ac:dyDescent="0.25">
      <c r="A332">
        <f t="shared" si="5"/>
        <v>0</v>
      </c>
      <c r="B332" s="12" t="s">
        <v>437</v>
      </c>
      <c r="C332">
        <v>0</v>
      </c>
      <c r="D332">
        <v>0</v>
      </c>
      <c r="E332">
        <v>0</v>
      </c>
    </row>
    <row r="333" spans="1:5" x14ac:dyDescent="0.25">
      <c r="A333">
        <f t="shared" si="5"/>
        <v>6</v>
      </c>
      <c r="B333" s="12" t="s">
        <v>439</v>
      </c>
      <c r="C333">
        <v>0</v>
      </c>
      <c r="D333">
        <v>20</v>
      </c>
      <c r="E333">
        <v>20</v>
      </c>
    </row>
    <row r="334" spans="1:5" x14ac:dyDescent="0.25">
      <c r="A334">
        <f t="shared" si="5"/>
        <v>3</v>
      </c>
      <c r="B334" s="12" t="s">
        <v>440</v>
      </c>
      <c r="C334">
        <v>0</v>
      </c>
      <c r="D334">
        <v>10</v>
      </c>
      <c r="E334">
        <v>10</v>
      </c>
    </row>
    <row r="335" spans="1:5" x14ac:dyDescent="0.25">
      <c r="A335">
        <f t="shared" si="5"/>
        <v>33</v>
      </c>
      <c r="B335" s="12" t="s">
        <v>441</v>
      </c>
      <c r="C335">
        <v>11</v>
      </c>
      <c r="D335">
        <v>0</v>
      </c>
      <c r="E335">
        <v>11</v>
      </c>
    </row>
    <row r="336" spans="1:5" x14ac:dyDescent="0.25">
      <c r="A336">
        <f t="shared" si="5"/>
        <v>30</v>
      </c>
      <c r="B336" s="12" t="s">
        <v>444</v>
      </c>
      <c r="C336">
        <v>10</v>
      </c>
      <c r="D336">
        <v>0</v>
      </c>
      <c r="E336">
        <v>10</v>
      </c>
    </row>
    <row r="337" spans="1:5" x14ac:dyDescent="0.25">
      <c r="A337">
        <f t="shared" si="5"/>
        <v>6</v>
      </c>
      <c r="B337" s="12" t="s">
        <v>445</v>
      </c>
      <c r="C337">
        <v>0</v>
      </c>
      <c r="D337">
        <v>20</v>
      </c>
      <c r="E337">
        <v>20</v>
      </c>
    </row>
    <row r="338" spans="1:5" x14ac:dyDescent="0.25">
      <c r="A338">
        <f t="shared" si="5"/>
        <v>693.3</v>
      </c>
      <c r="B338" s="12" t="s">
        <v>447</v>
      </c>
      <c r="C338">
        <v>229</v>
      </c>
      <c r="D338">
        <v>21</v>
      </c>
      <c r="E338">
        <v>250</v>
      </c>
    </row>
    <row r="339" spans="1:5" x14ac:dyDescent="0.25">
      <c r="A339">
        <f t="shared" si="5"/>
        <v>0</v>
      </c>
      <c r="B339" s="12" t="s">
        <v>450</v>
      </c>
      <c r="C339">
        <v>0</v>
      </c>
      <c r="D339">
        <v>0</v>
      </c>
      <c r="E339">
        <v>0</v>
      </c>
    </row>
    <row r="340" spans="1:5" x14ac:dyDescent="0.25">
      <c r="A340">
        <f t="shared" si="5"/>
        <v>0</v>
      </c>
      <c r="B340" s="12" t="s">
        <v>451</v>
      </c>
      <c r="C340">
        <v>0</v>
      </c>
      <c r="D340">
        <v>0</v>
      </c>
      <c r="E340">
        <v>0</v>
      </c>
    </row>
    <row r="341" spans="1:5" x14ac:dyDescent="0.25">
      <c r="A341">
        <f t="shared" si="5"/>
        <v>3</v>
      </c>
      <c r="B341" s="12" t="s">
        <v>452</v>
      </c>
      <c r="C341">
        <v>0</v>
      </c>
      <c r="D341">
        <v>10</v>
      </c>
      <c r="E341">
        <v>10</v>
      </c>
    </row>
    <row r="342" spans="1:5" x14ac:dyDescent="0.25">
      <c r="A342">
        <f t="shared" si="5"/>
        <v>33</v>
      </c>
      <c r="B342" s="12" t="s">
        <v>453</v>
      </c>
      <c r="C342">
        <v>10</v>
      </c>
      <c r="D342">
        <v>10</v>
      </c>
      <c r="E342">
        <v>20</v>
      </c>
    </row>
    <row r="343" spans="1:5" x14ac:dyDescent="0.25">
      <c r="A343">
        <f t="shared" si="5"/>
        <v>3</v>
      </c>
      <c r="B343" s="12" t="s">
        <v>454</v>
      </c>
      <c r="C343">
        <v>0</v>
      </c>
      <c r="D343">
        <v>10</v>
      </c>
      <c r="E343">
        <v>10</v>
      </c>
    </row>
    <row r="344" spans="1:5" x14ac:dyDescent="0.25">
      <c r="A344">
        <f t="shared" si="5"/>
        <v>33</v>
      </c>
      <c r="B344" s="12" t="s">
        <v>455</v>
      </c>
      <c r="C344">
        <v>10</v>
      </c>
      <c r="D344">
        <v>10</v>
      </c>
      <c r="E344">
        <v>20</v>
      </c>
    </row>
    <row r="345" spans="1:5" x14ac:dyDescent="0.25">
      <c r="A345">
        <f t="shared" si="5"/>
        <v>0</v>
      </c>
      <c r="B345" s="12" t="s">
        <v>456</v>
      </c>
      <c r="C345">
        <v>0</v>
      </c>
      <c r="D345">
        <v>0</v>
      </c>
      <c r="E345">
        <v>0</v>
      </c>
    </row>
    <row r="346" spans="1:5" x14ac:dyDescent="0.25">
      <c r="A346">
        <f t="shared" si="5"/>
        <v>0</v>
      </c>
      <c r="B346" s="12" t="s">
        <v>457</v>
      </c>
      <c r="C346">
        <v>0</v>
      </c>
      <c r="D346">
        <v>0</v>
      </c>
      <c r="E346">
        <v>0</v>
      </c>
    </row>
    <row r="347" spans="1:5" x14ac:dyDescent="0.25">
      <c r="A347">
        <f t="shared" si="5"/>
        <v>3</v>
      </c>
      <c r="B347" s="12" t="s">
        <v>458</v>
      </c>
      <c r="C347">
        <v>0</v>
      </c>
      <c r="D347">
        <v>10</v>
      </c>
      <c r="E347">
        <v>10</v>
      </c>
    </row>
    <row r="348" spans="1:5" x14ac:dyDescent="0.25">
      <c r="A348">
        <f t="shared" si="5"/>
        <v>120</v>
      </c>
      <c r="B348" s="12" t="s">
        <v>459</v>
      </c>
      <c r="C348">
        <v>40</v>
      </c>
      <c r="D348">
        <v>0</v>
      </c>
      <c r="E348">
        <v>40</v>
      </c>
    </row>
    <row r="349" spans="1:5" x14ac:dyDescent="0.25">
      <c r="A349">
        <f t="shared" si="5"/>
        <v>39</v>
      </c>
      <c r="B349" s="12" t="s">
        <v>462</v>
      </c>
      <c r="C349">
        <v>12</v>
      </c>
      <c r="D349">
        <v>10</v>
      </c>
      <c r="E349">
        <v>22</v>
      </c>
    </row>
    <row r="350" spans="1:5" x14ac:dyDescent="0.25">
      <c r="A350">
        <f t="shared" si="5"/>
        <v>3</v>
      </c>
      <c r="B350" s="12" t="s">
        <v>465</v>
      </c>
      <c r="C350">
        <v>0</v>
      </c>
      <c r="D350">
        <v>10</v>
      </c>
      <c r="E350">
        <v>10</v>
      </c>
    </row>
    <row r="351" spans="1:5" x14ac:dyDescent="0.25">
      <c r="A351">
        <f t="shared" si="5"/>
        <v>0</v>
      </c>
      <c r="B351" s="12" t="s">
        <v>466</v>
      </c>
      <c r="C351">
        <v>0</v>
      </c>
      <c r="D351">
        <v>0</v>
      </c>
      <c r="E351">
        <v>0</v>
      </c>
    </row>
    <row r="352" spans="1:5" x14ac:dyDescent="0.25">
      <c r="A352">
        <f t="shared" si="5"/>
        <v>222.29999999999995</v>
      </c>
      <c r="B352" s="12" t="s">
        <v>467</v>
      </c>
      <c r="C352">
        <v>65.999999999999986</v>
      </c>
      <c r="D352">
        <v>81</v>
      </c>
      <c r="E352">
        <v>147</v>
      </c>
    </row>
    <row r="353" spans="1:5" x14ac:dyDescent="0.25">
      <c r="A353">
        <f t="shared" si="5"/>
        <v>0</v>
      </c>
      <c r="B353" s="12" t="s">
        <v>469</v>
      </c>
      <c r="C353">
        <v>0</v>
      </c>
      <c r="D353">
        <v>0</v>
      </c>
      <c r="E353">
        <v>0</v>
      </c>
    </row>
    <row r="354" spans="1:5" x14ac:dyDescent="0.25">
      <c r="A354">
        <f t="shared" si="5"/>
        <v>47.4</v>
      </c>
      <c r="B354" s="12" t="s">
        <v>470</v>
      </c>
      <c r="C354">
        <v>0</v>
      </c>
      <c r="D354">
        <v>158</v>
      </c>
      <c r="E354">
        <v>158</v>
      </c>
    </row>
    <row r="355" spans="1:5" x14ac:dyDescent="0.25">
      <c r="A355">
        <f t="shared" si="5"/>
        <v>28.799999999999997</v>
      </c>
      <c r="B355" s="12" t="s">
        <v>472</v>
      </c>
      <c r="C355">
        <v>0</v>
      </c>
      <c r="D355">
        <v>96</v>
      </c>
      <c r="E355">
        <v>96</v>
      </c>
    </row>
    <row r="356" spans="1:5" x14ac:dyDescent="0.25">
      <c r="A356">
        <f t="shared" si="5"/>
        <v>0</v>
      </c>
      <c r="B356" s="12" t="s">
        <v>474</v>
      </c>
      <c r="C356">
        <v>0</v>
      </c>
      <c r="D356">
        <v>0</v>
      </c>
      <c r="E356">
        <v>0</v>
      </c>
    </row>
    <row r="357" spans="1:5" x14ac:dyDescent="0.25">
      <c r="A357">
        <f t="shared" si="5"/>
        <v>33</v>
      </c>
      <c r="B357" s="12" t="s">
        <v>475</v>
      </c>
      <c r="C357">
        <v>10</v>
      </c>
      <c r="D357">
        <v>10</v>
      </c>
      <c r="E357">
        <v>20</v>
      </c>
    </row>
    <row r="358" spans="1:5" x14ac:dyDescent="0.25">
      <c r="A358">
        <f t="shared" si="5"/>
        <v>33</v>
      </c>
      <c r="B358" s="12" t="s">
        <v>476</v>
      </c>
      <c r="C358">
        <v>10</v>
      </c>
      <c r="D358">
        <v>10</v>
      </c>
      <c r="E358">
        <v>20</v>
      </c>
    </row>
    <row r="359" spans="1:5" x14ac:dyDescent="0.25">
      <c r="A359">
        <f t="shared" si="5"/>
        <v>34.5</v>
      </c>
      <c r="B359" s="12" t="s">
        <v>477</v>
      </c>
      <c r="C359">
        <v>10</v>
      </c>
      <c r="D359">
        <v>15</v>
      </c>
      <c r="E359">
        <v>25</v>
      </c>
    </row>
    <row r="360" spans="1:5" x14ac:dyDescent="0.25">
      <c r="A360">
        <f t="shared" si="5"/>
        <v>33</v>
      </c>
      <c r="B360" s="12" t="s">
        <v>478</v>
      </c>
      <c r="C360">
        <v>10</v>
      </c>
      <c r="D360">
        <v>10</v>
      </c>
      <c r="E360">
        <v>20</v>
      </c>
    </row>
    <row r="361" spans="1:5" x14ac:dyDescent="0.25">
      <c r="A361">
        <f t="shared" si="5"/>
        <v>0</v>
      </c>
      <c r="B361" s="12" t="s">
        <v>479</v>
      </c>
      <c r="C361">
        <v>0</v>
      </c>
      <c r="D361">
        <v>0</v>
      </c>
      <c r="E361">
        <v>0</v>
      </c>
    </row>
    <row r="362" spans="1:5" x14ac:dyDescent="0.25">
      <c r="A362">
        <f t="shared" si="5"/>
        <v>30</v>
      </c>
      <c r="B362" s="12" t="s">
        <v>931</v>
      </c>
      <c r="D362">
        <v>10</v>
      </c>
      <c r="E362">
        <v>10</v>
      </c>
    </row>
    <row r="363" spans="1:5" x14ac:dyDescent="0.25">
      <c r="A363">
        <f t="shared" si="5"/>
        <v>0</v>
      </c>
      <c r="B363" s="12" t="s">
        <v>480</v>
      </c>
      <c r="C363">
        <v>0</v>
      </c>
      <c r="D363">
        <v>0</v>
      </c>
      <c r="E363">
        <v>0</v>
      </c>
    </row>
    <row r="364" spans="1:5" x14ac:dyDescent="0.25">
      <c r="A364">
        <f t="shared" si="5"/>
        <v>33</v>
      </c>
      <c r="B364" s="12" t="s">
        <v>481</v>
      </c>
      <c r="C364">
        <v>10</v>
      </c>
      <c r="D364">
        <v>10</v>
      </c>
      <c r="E364">
        <v>20</v>
      </c>
    </row>
    <row r="365" spans="1:5" x14ac:dyDescent="0.25">
      <c r="A365">
        <f t="shared" si="5"/>
        <v>30</v>
      </c>
      <c r="B365" s="12" t="s">
        <v>482</v>
      </c>
      <c r="C365">
        <v>10</v>
      </c>
      <c r="D365">
        <v>0</v>
      </c>
      <c r="E365">
        <v>10</v>
      </c>
    </row>
    <row r="366" spans="1:5" x14ac:dyDescent="0.25">
      <c r="A366">
        <f t="shared" si="5"/>
        <v>0</v>
      </c>
      <c r="B366" s="12" t="s">
        <v>483</v>
      </c>
      <c r="C366">
        <v>0</v>
      </c>
      <c r="E366">
        <v>0</v>
      </c>
    </row>
    <row r="367" spans="1:5" x14ac:dyDescent="0.25">
      <c r="A367">
        <f t="shared" si="5"/>
        <v>0</v>
      </c>
      <c r="B367" s="12" t="s">
        <v>485</v>
      </c>
      <c r="C367">
        <v>0</v>
      </c>
      <c r="D367">
        <v>0</v>
      </c>
      <c r="E367">
        <v>0</v>
      </c>
    </row>
    <row r="368" spans="1:5" x14ac:dyDescent="0.25">
      <c r="A368">
        <f t="shared" si="5"/>
        <v>3</v>
      </c>
      <c r="B368" s="12" t="s">
        <v>487</v>
      </c>
      <c r="C368">
        <v>0</v>
      </c>
      <c r="D368">
        <v>10</v>
      </c>
      <c r="E368">
        <v>10</v>
      </c>
    </row>
    <row r="369" spans="1:5" x14ac:dyDescent="0.25">
      <c r="A369">
        <f t="shared" si="5"/>
        <v>18.899999999999995</v>
      </c>
      <c r="B369" s="12" t="s">
        <v>488</v>
      </c>
      <c r="C369">
        <v>0</v>
      </c>
      <c r="D369">
        <v>62.999999999999986</v>
      </c>
      <c r="E369">
        <v>62.999999999999986</v>
      </c>
    </row>
    <row r="370" spans="1:5" x14ac:dyDescent="0.25">
      <c r="A370">
        <f t="shared" si="5"/>
        <v>77.999999999999986</v>
      </c>
      <c r="B370" s="12" t="s">
        <v>490</v>
      </c>
      <c r="C370">
        <v>25.999999999999996</v>
      </c>
      <c r="D370">
        <v>0</v>
      </c>
      <c r="E370">
        <v>25.999999999999996</v>
      </c>
    </row>
    <row r="371" spans="1:5" x14ac:dyDescent="0.25">
      <c r="A371">
        <f t="shared" si="5"/>
        <v>48</v>
      </c>
      <c r="B371" s="12" t="s">
        <v>491</v>
      </c>
      <c r="C371">
        <v>10</v>
      </c>
      <c r="D371">
        <v>60</v>
      </c>
      <c r="E371">
        <v>70</v>
      </c>
    </row>
    <row r="372" spans="1:5" x14ac:dyDescent="0.25">
      <c r="A372">
        <f t="shared" si="5"/>
        <v>0</v>
      </c>
      <c r="B372" s="12" t="s">
        <v>492</v>
      </c>
      <c r="C372">
        <v>0</v>
      </c>
      <c r="D372">
        <v>0</v>
      </c>
      <c r="E372">
        <v>0</v>
      </c>
    </row>
    <row r="373" spans="1:5" x14ac:dyDescent="0.25">
      <c r="A373">
        <f t="shared" si="5"/>
        <v>60</v>
      </c>
      <c r="B373" s="12" t="s">
        <v>493</v>
      </c>
      <c r="C373">
        <v>20</v>
      </c>
      <c r="D373">
        <v>0</v>
      </c>
      <c r="E373">
        <v>20</v>
      </c>
    </row>
    <row r="374" spans="1:5" x14ac:dyDescent="0.25">
      <c r="A374">
        <f t="shared" si="5"/>
        <v>75</v>
      </c>
      <c r="B374" s="12" t="s">
        <v>494</v>
      </c>
      <c r="C374">
        <v>25</v>
      </c>
      <c r="D374">
        <v>0</v>
      </c>
      <c r="E374">
        <v>25</v>
      </c>
    </row>
    <row r="375" spans="1:5" x14ac:dyDescent="0.25">
      <c r="A375">
        <f t="shared" si="5"/>
        <v>0</v>
      </c>
      <c r="B375" s="12" t="s">
        <v>495</v>
      </c>
      <c r="C375">
        <v>0</v>
      </c>
      <c r="D375">
        <v>0</v>
      </c>
      <c r="E375">
        <v>0</v>
      </c>
    </row>
    <row r="376" spans="1:5" x14ac:dyDescent="0.25">
      <c r="A376">
        <f t="shared" si="5"/>
        <v>3</v>
      </c>
      <c r="B376" s="12" t="s">
        <v>496</v>
      </c>
      <c r="C376">
        <v>0</v>
      </c>
      <c r="D376">
        <v>10</v>
      </c>
      <c r="E376">
        <v>10</v>
      </c>
    </row>
    <row r="377" spans="1:5" x14ac:dyDescent="0.25">
      <c r="A377">
        <f t="shared" si="5"/>
        <v>36</v>
      </c>
      <c r="B377" s="12" t="s">
        <v>497</v>
      </c>
      <c r="C377">
        <v>11</v>
      </c>
      <c r="D377">
        <v>10</v>
      </c>
      <c r="E377">
        <v>21</v>
      </c>
    </row>
    <row r="378" spans="1:5" x14ac:dyDescent="0.25">
      <c r="A378">
        <f t="shared" si="5"/>
        <v>0</v>
      </c>
      <c r="B378" s="12" t="s">
        <v>499</v>
      </c>
      <c r="C378">
        <v>0</v>
      </c>
      <c r="D378">
        <v>0</v>
      </c>
      <c r="E378">
        <v>0</v>
      </c>
    </row>
    <row r="379" spans="1:5" x14ac:dyDescent="0.25">
      <c r="A379">
        <f t="shared" si="5"/>
        <v>0</v>
      </c>
      <c r="B379" s="12" t="s">
        <v>500</v>
      </c>
      <c r="C379">
        <v>0</v>
      </c>
      <c r="D379">
        <v>0</v>
      </c>
      <c r="E379">
        <v>0</v>
      </c>
    </row>
    <row r="380" spans="1:5" x14ac:dyDescent="0.25">
      <c r="A380">
        <f t="shared" si="5"/>
        <v>0</v>
      </c>
      <c r="B380" s="12" t="s">
        <v>501</v>
      </c>
      <c r="C380">
        <v>0</v>
      </c>
      <c r="D380">
        <v>0</v>
      </c>
      <c r="E380">
        <v>0</v>
      </c>
    </row>
    <row r="381" spans="1:5" x14ac:dyDescent="0.25">
      <c r="A381">
        <f t="shared" si="5"/>
        <v>30</v>
      </c>
      <c r="B381" s="12" t="s">
        <v>502</v>
      </c>
      <c r="C381">
        <v>10</v>
      </c>
      <c r="D381">
        <v>0</v>
      </c>
      <c r="E381">
        <v>10</v>
      </c>
    </row>
    <row r="382" spans="1:5" x14ac:dyDescent="0.25">
      <c r="A382">
        <f t="shared" si="5"/>
        <v>73.5</v>
      </c>
      <c r="B382" s="12" t="s">
        <v>503</v>
      </c>
      <c r="C382">
        <v>20</v>
      </c>
      <c r="D382">
        <v>45</v>
      </c>
      <c r="E382">
        <v>65</v>
      </c>
    </row>
    <row r="383" spans="1:5" x14ac:dyDescent="0.25">
      <c r="A383">
        <f t="shared" si="5"/>
        <v>48</v>
      </c>
      <c r="B383" s="12" t="s">
        <v>505</v>
      </c>
      <c r="C383">
        <v>10</v>
      </c>
      <c r="D383">
        <v>60</v>
      </c>
      <c r="E383">
        <v>70</v>
      </c>
    </row>
    <row r="384" spans="1:5" x14ac:dyDescent="0.25">
      <c r="A384">
        <f t="shared" si="5"/>
        <v>48</v>
      </c>
      <c r="B384" s="12" t="s">
        <v>506</v>
      </c>
      <c r="C384">
        <v>10</v>
      </c>
      <c r="D384">
        <v>60</v>
      </c>
      <c r="E384">
        <v>70</v>
      </c>
    </row>
    <row r="385" spans="1:5" x14ac:dyDescent="0.25">
      <c r="A385">
        <f t="shared" si="5"/>
        <v>4.5</v>
      </c>
      <c r="B385" s="12" t="s">
        <v>507</v>
      </c>
      <c r="C385">
        <v>0</v>
      </c>
      <c r="D385">
        <v>15</v>
      </c>
      <c r="E385">
        <v>15</v>
      </c>
    </row>
    <row r="386" spans="1:5" x14ac:dyDescent="0.25">
      <c r="A386">
        <f t="shared" si="5"/>
        <v>0</v>
      </c>
      <c r="B386" s="12" t="s">
        <v>937</v>
      </c>
      <c r="D386">
        <v>0</v>
      </c>
      <c r="E386">
        <v>0</v>
      </c>
    </row>
    <row r="387" spans="1:5" x14ac:dyDescent="0.25">
      <c r="A387">
        <f t="shared" si="5"/>
        <v>0</v>
      </c>
      <c r="B387" s="12" t="s">
        <v>508</v>
      </c>
      <c r="C387">
        <v>0</v>
      </c>
      <c r="D387">
        <v>0</v>
      </c>
      <c r="E387">
        <v>0</v>
      </c>
    </row>
    <row r="388" spans="1:5" x14ac:dyDescent="0.25">
      <c r="A388">
        <f t="shared" si="5"/>
        <v>4.5</v>
      </c>
      <c r="B388" s="12" t="s">
        <v>509</v>
      </c>
      <c r="C388">
        <v>0</v>
      </c>
      <c r="D388">
        <v>15</v>
      </c>
      <c r="E388">
        <v>15</v>
      </c>
    </row>
    <row r="389" spans="1:5" x14ac:dyDescent="0.25">
      <c r="A389">
        <f t="shared" si="5"/>
        <v>210</v>
      </c>
      <c r="B389" s="12" t="s">
        <v>938</v>
      </c>
      <c r="D389">
        <v>70</v>
      </c>
      <c r="E389">
        <v>70</v>
      </c>
    </row>
    <row r="390" spans="1:5" x14ac:dyDescent="0.25">
      <c r="A390">
        <f t="shared" si="5"/>
        <v>60</v>
      </c>
      <c r="B390" s="12" t="s">
        <v>940</v>
      </c>
      <c r="D390">
        <v>20</v>
      </c>
      <c r="E390">
        <v>20</v>
      </c>
    </row>
    <row r="391" spans="1:5" x14ac:dyDescent="0.25">
      <c r="A391">
        <f t="shared" ref="A391:A454" si="6">IF(C391="",SUMPRODUCT($C$1:$D$1,$C391:$D391),SUMPRODUCT($C$2:$D$2,$C391:$D391))</f>
        <v>0</v>
      </c>
      <c r="B391" s="12" t="s">
        <v>510</v>
      </c>
      <c r="C391">
        <v>0</v>
      </c>
      <c r="D391">
        <v>0</v>
      </c>
      <c r="E391">
        <v>0</v>
      </c>
    </row>
    <row r="392" spans="1:5" x14ac:dyDescent="0.25">
      <c r="A392">
        <f t="shared" si="6"/>
        <v>136.19999999999999</v>
      </c>
      <c r="B392" s="12" t="s">
        <v>511</v>
      </c>
      <c r="C392">
        <v>0</v>
      </c>
      <c r="D392">
        <v>454</v>
      </c>
      <c r="E392">
        <v>454</v>
      </c>
    </row>
    <row r="393" spans="1:5" x14ac:dyDescent="0.25">
      <c r="A393">
        <f t="shared" si="6"/>
        <v>0</v>
      </c>
      <c r="B393" s="12" t="s">
        <v>513</v>
      </c>
      <c r="C393">
        <v>0</v>
      </c>
      <c r="D393">
        <v>0</v>
      </c>
      <c r="E393">
        <v>0</v>
      </c>
    </row>
    <row r="394" spans="1:5" x14ac:dyDescent="0.25">
      <c r="A394">
        <f t="shared" si="6"/>
        <v>0</v>
      </c>
      <c r="B394" s="12" t="s">
        <v>515</v>
      </c>
      <c r="C394">
        <v>0</v>
      </c>
      <c r="D394">
        <v>0</v>
      </c>
      <c r="E394">
        <v>0</v>
      </c>
    </row>
    <row r="395" spans="1:5" x14ac:dyDescent="0.25">
      <c r="A395">
        <f t="shared" si="6"/>
        <v>6</v>
      </c>
      <c r="B395" s="12" t="s">
        <v>516</v>
      </c>
      <c r="C395">
        <v>0</v>
      </c>
      <c r="D395">
        <v>20</v>
      </c>
      <c r="E395">
        <v>20</v>
      </c>
    </row>
    <row r="396" spans="1:5" x14ac:dyDescent="0.25">
      <c r="A396">
        <f t="shared" si="6"/>
        <v>0</v>
      </c>
      <c r="B396" s="12" t="s">
        <v>517</v>
      </c>
      <c r="C396">
        <v>0</v>
      </c>
      <c r="E396">
        <v>0</v>
      </c>
    </row>
    <row r="397" spans="1:5" x14ac:dyDescent="0.25">
      <c r="A397">
        <f t="shared" si="6"/>
        <v>0</v>
      </c>
      <c r="B397" s="12" t="s">
        <v>519</v>
      </c>
      <c r="C397">
        <v>0</v>
      </c>
      <c r="E397">
        <v>0</v>
      </c>
    </row>
    <row r="398" spans="1:5" x14ac:dyDescent="0.25">
      <c r="A398">
        <f t="shared" si="6"/>
        <v>3</v>
      </c>
      <c r="B398" s="12" t="s">
        <v>520</v>
      </c>
      <c r="C398">
        <v>0</v>
      </c>
      <c r="D398">
        <v>10</v>
      </c>
      <c r="E398">
        <v>10</v>
      </c>
    </row>
    <row r="399" spans="1:5" x14ac:dyDescent="0.25">
      <c r="A399">
        <f t="shared" si="6"/>
        <v>60</v>
      </c>
      <c r="B399" s="12" t="s">
        <v>521</v>
      </c>
      <c r="C399">
        <v>20</v>
      </c>
      <c r="D399">
        <v>0</v>
      </c>
      <c r="E399">
        <v>20</v>
      </c>
    </row>
    <row r="400" spans="1:5" x14ac:dyDescent="0.25">
      <c r="A400">
        <f t="shared" si="6"/>
        <v>0</v>
      </c>
      <c r="B400" s="12" t="s">
        <v>522</v>
      </c>
      <c r="C400">
        <v>0</v>
      </c>
      <c r="E400">
        <v>0</v>
      </c>
    </row>
    <row r="401" spans="1:5" x14ac:dyDescent="0.25">
      <c r="A401">
        <f t="shared" si="6"/>
        <v>88.8</v>
      </c>
      <c r="B401" s="12" t="s">
        <v>523</v>
      </c>
      <c r="C401">
        <v>25</v>
      </c>
      <c r="D401">
        <v>46</v>
      </c>
      <c r="E401">
        <v>71</v>
      </c>
    </row>
    <row r="402" spans="1:5" x14ac:dyDescent="0.25">
      <c r="A402">
        <f t="shared" si="6"/>
        <v>33</v>
      </c>
      <c r="B402" s="12" t="s">
        <v>524</v>
      </c>
      <c r="C402">
        <v>10</v>
      </c>
      <c r="D402">
        <v>10</v>
      </c>
      <c r="E402">
        <v>20</v>
      </c>
    </row>
    <row r="403" spans="1:5" x14ac:dyDescent="0.25">
      <c r="A403">
        <f t="shared" si="6"/>
        <v>34.5</v>
      </c>
      <c r="B403" s="12" t="s">
        <v>525</v>
      </c>
      <c r="C403">
        <v>10</v>
      </c>
      <c r="D403">
        <v>15</v>
      </c>
      <c r="E403">
        <v>25</v>
      </c>
    </row>
    <row r="404" spans="1:5" x14ac:dyDescent="0.25">
      <c r="A404">
        <f t="shared" si="6"/>
        <v>0</v>
      </c>
      <c r="B404" s="12" t="s">
        <v>944</v>
      </c>
      <c r="D404">
        <v>0</v>
      </c>
      <c r="E404">
        <v>0</v>
      </c>
    </row>
    <row r="405" spans="1:5" x14ac:dyDescent="0.25">
      <c r="A405">
        <f t="shared" si="6"/>
        <v>48</v>
      </c>
      <c r="B405" s="12" t="s">
        <v>526</v>
      </c>
      <c r="C405">
        <v>10</v>
      </c>
      <c r="D405">
        <v>60</v>
      </c>
      <c r="E405">
        <v>70</v>
      </c>
    </row>
    <row r="406" spans="1:5" x14ac:dyDescent="0.25">
      <c r="A406">
        <f t="shared" si="6"/>
        <v>33</v>
      </c>
      <c r="B406" s="12" t="s">
        <v>527</v>
      </c>
      <c r="C406">
        <v>10</v>
      </c>
      <c r="D406">
        <v>10</v>
      </c>
      <c r="E406">
        <v>20</v>
      </c>
    </row>
    <row r="407" spans="1:5" x14ac:dyDescent="0.25">
      <c r="A407">
        <f t="shared" si="6"/>
        <v>0</v>
      </c>
      <c r="B407" s="12" t="s">
        <v>945</v>
      </c>
      <c r="D407">
        <v>0</v>
      </c>
      <c r="E407">
        <v>0</v>
      </c>
    </row>
    <row r="408" spans="1:5" x14ac:dyDescent="0.25">
      <c r="A408">
        <f t="shared" si="6"/>
        <v>0</v>
      </c>
      <c r="B408" s="12" t="s">
        <v>946</v>
      </c>
      <c r="D408">
        <v>0</v>
      </c>
      <c r="E408">
        <v>0</v>
      </c>
    </row>
    <row r="409" spans="1:5" x14ac:dyDescent="0.25">
      <c r="A409">
        <f t="shared" si="6"/>
        <v>120</v>
      </c>
      <c r="B409" s="12" t="s">
        <v>947</v>
      </c>
      <c r="D409">
        <v>40</v>
      </c>
      <c r="E409">
        <v>40</v>
      </c>
    </row>
    <row r="410" spans="1:5" x14ac:dyDescent="0.25">
      <c r="A410">
        <f t="shared" si="6"/>
        <v>135</v>
      </c>
      <c r="B410" s="12" t="s">
        <v>948</v>
      </c>
      <c r="D410">
        <v>45</v>
      </c>
      <c r="E410">
        <v>45</v>
      </c>
    </row>
    <row r="411" spans="1:5" x14ac:dyDescent="0.25">
      <c r="A411">
        <f t="shared" si="6"/>
        <v>351</v>
      </c>
      <c r="B411" s="12" t="s">
        <v>528</v>
      </c>
      <c r="C411">
        <v>111</v>
      </c>
      <c r="D411">
        <v>60</v>
      </c>
      <c r="E411">
        <v>171</v>
      </c>
    </row>
    <row r="412" spans="1:5" x14ac:dyDescent="0.25">
      <c r="A412">
        <f t="shared" si="6"/>
        <v>0</v>
      </c>
      <c r="B412" s="12" t="s">
        <v>531</v>
      </c>
      <c r="C412">
        <v>0</v>
      </c>
      <c r="D412">
        <v>0</v>
      </c>
      <c r="E412">
        <v>0</v>
      </c>
    </row>
    <row r="413" spans="1:5" x14ac:dyDescent="0.25">
      <c r="A413">
        <f t="shared" si="6"/>
        <v>30</v>
      </c>
      <c r="B413" s="12" t="s">
        <v>951</v>
      </c>
      <c r="D413">
        <v>10</v>
      </c>
      <c r="E413">
        <v>10</v>
      </c>
    </row>
    <row r="414" spans="1:5" x14ac:dyDescent="0.25">
      <c r="A414">
        <f t="shared" si="6"/>
        <v>33</v>
      </c>
      <c r="B414" s="12" t="s">
        <v>532</v>
      </c>
      <c r="C414">
        <v>10</v>
      </c>
      <c r="D414">
        <v>10</v>
      </c>
      <c r="E414">
        <v>20</v>
      </c>
    </row>
    <row r="415" spans="1:5" x14ac:dyDescent="0.25">
      <c r="A415">
        <f t="shared" si="6"/>
        <v>4.5</v>
      </c>
      <c r="B415" s="12" t="s">
        <v>533</v>
      </c>
      <c r="C415">
        <v>0</v>
      </c>
      <c r="D415">
        <v>15</v>
      </c>
      <c r="E415">
        <v>15</v>
      </c>
    </row>
    <row r="416" spans="1:5" x14ac:dyDescent="0.25">
      <c r="A416">
        <f t="shared" si="6"/>
        <v>33</v>
      </c>
      <c r="B416" s="12" t="s">
        <v>534</v>
      </c>
      <c r="C416">
        <v>10</v>
      </c>
      <c r="D416">
        <v>10</v>
      </c>
      <c r="E416">
        <v>20</v>
      </c>
    </row>
    <row r="417" spans="1:5" x14ac:dyDescent="0.25">
      <c r="A417">
        <f t="shared" si="6"/>
        <v>33</v>
      </c>
      <c r="B417" s="12" t="s">
        <v>535</v>
      </c>
      <c r="C417">
        <v>10</v>
      </c>
      <c r="D417">
        <v>10</v>
      </c>
      <c r="E417">
        <v>20</v>
      </c>
    </row>
    <row r="418" spans="1:5" x14ac:dyDescent="0.25">
      <c r="A418">
        <f t="shared" si="6"/>
        <v>30</v>
      </c>
      <c r="B418" s="12" t="s">
        <v>536</v>
      </c>
      <c r="C418">
        <v>10</v>
      </c>
      <c r="D418">
        <v>0</v>
      </c>
      <c r="E418">
        <v>10</v>
      </c>
    </row>
    <row r="419" spans="1:5" x14ac:dyDescent="0.25">
      <c r="A419">
        <f t="shared" si="6"/>
        <v>150</v>
      </c>
      <c r="B419" s="12" t="s">
        <v>953</v>
      </c>
      <c r="D419">
        <v>50</v>
      </c>
      <c r="E419">
        <v>50</v>
      </c>
    </row>
    <row r="420" spans="1:5" x14ac:dyDescent="0.25">
      <c r="A420">
        <f t="shared" si="6"/>
        <v>30</v>
      </c>
      <c r="B420" s="12" t="s">
        <v>955</v>
      </c>
      <c r="D420">
        <v>10</v>
      </c>
      <c r="E420">
        <v>10</v>
      </c>
    </row>
    <row r="421" spans="1:5" x14ac:dyDescent="0.25">
      <c r="A421">
        <f t="shared" si="6"/>
        <v>30</v>
      </c>
      <c r="B421" s="12" t="s">
        <v>956</v>
      </c>
      <c r="D421">
        <v>10</v>
      </c>
      <c r="E421">
        <v>10</v>
      </c>
    </row>
    <row r="422" spans="1:5" x14ac:dyDescent="0.25">
      <c r="A422">
        <f t="shared" si="6"/>
        <v>30</v>
      </c>
      <c r="B422" s="12" t="s">
        <v>957</v>
      </c>
      <c r="D422">
        <v>10</v>
      </c>
      <c r="E422">
        <v>10</v>
      </c>
    </row>
    <row r="423" spans="1:5" x14ac:dyDescent="0.25">
      <c r="A423">
        <f t="shared" si="6"/>
        <v>30</v>
      </c>
      <c r="B423" s="12" t="s">
        <v>958</v>
      </c>
      <c r="D423">
        <v>10</v>
      </c>
      <c r="E423">
        <v>10</v>
      </c>
    </row>
    <row r="424" spans="1:5" x14ac:dyDescent="0.25">
      <c r="A424">
        <f t="shared" si="6"/>
        <v>0</v>
      </c>
      <c r="B424" s="12" t="s">
        <v>537</v>
      </c>
      <c r="C424">
        <v>0</v>
      </c>
      <c r="D424">
        <v>0</v>
      </c>
      <c r="E424">
        <v>0</v>
      </c>
    </row>
    <row r="425" spans="1:5" x14ac:dyDescent="0.25">
      <c r="A425">
        <f t="shared" si="6"/>
        <v>0</v>
      </c>
      <c r="B425" s="12" t="s">
        <v>538</v>
      </c>
      <c r="C425">
        <v>0</v>
      </c>
      <c r="D425">
        <v>0</v>
      </c>
      <c r="E425">
        <v>0</v>
      </c>
    </row>
    <row r="426" spans="1:5" x14ac:dyDescent="0.25">
      <c r="A426">
        <f t="shared" si="6"/>
        <v>0</v>
      </c>
      <c r="B426" s="12" t="s">
        <v>959</v>
      </c>
      <c r="D426">
        <v>0</v>
      </c>
      <c r="E426">
        <v>0</v>
      </c>
    </row>
    <row r="427" spans="1:5" x14ac:dyDescent="0.25">
      <c r="A427">
        <f t="shared" si="6"/>
        <v>0</v>
      </c>
      <c r="B427" s="12" t="s">
        <v>539</v>
      </c>
      <c r="C427">
        <v>0</v>
      </c>
      <c r="D427">
        <v>0</v>
      </c>
      <c r="E427">
        <v>0</v>
      </c>
    </row>
    <row r="428" spans="1:5" x14ac:dyDescent="0.25">
      <c r="A428">
        <f t="shared" si="6"/>
        <v>74.100000000000009</v>
      </c>
      <c r="B428" s="12" t="s">
        <v>540</v>
      </c>
      <c r="C428">
        <v>0</v>
      </c>
      <c r="D428">
        <v>247.00000000000003</v>
      </c>
      <c r="E428">
        <v>247.00000000000003</v>
      </c>
    </row>
    <row r="429" spans="1:5" x14ac:dyDescent="0.25">
      <c r="A429">
        <f t="shared" si="6"/>
        <v>0</v>
      </c>
      <c r="B429" s="12" t="s">
        <v>542</v>
      </c>
      <c r="C429">
        <v>0</v>
      </c>
      <c r="D429">
        <v>0</v>
      </c>
      <c r="E429">
        <v>0</v>
      </c>
    </row>
    <row r="430" spans="1:5" x14ac:dyDescent="0.25">
      <c r="A430">
        <f t="shared" si="6"/>
        <v>3</v>
      </c>
      <c r="B430" s="12" t="s">
        <v>543</v>
      </c>
      <c r="C430">
        <v>0</v>
      </c>
      <c r="D430">
        <v>10</v>
      </c>
      <c r="E430">
        <v>10</v>
      </c>
    </row>
    <row r="431" spans="1:5" x14ac:dyDescent="0.25">
      <c r="A431">
        <f t="shared" si="6"/>
        <v>0</v>
      </c>
      <c r="B431" s="12" t="s">
        <v>544</v>
      </c>
      <c r="C431">
        <v>0</v>
      </c>
      <c r="D431">
        <v>0</v>
      </c>
      <c r="E431">
        <v>0</v>
      </c>
    </row>
    <row r="432" spans="1:5" x14ac:dyDescent="0.25">
      <c r="A432">
        <f t="shared" si="6"/>
        <v>0</v>
      </c>
      <c r="B432" s="12" t="s">
        <v>545</v>
      </c>
      <c r="C432">
        <v>0</v>
      </c>
      <c r="D432">
        <v>0</v>
      </c>
      <c r="E432">
        <v>0</v>
      </c>
    </row>
    <row r="433" spans="1:5" x14ac:dyDescent="0.25">
      <c r="A433">
        <f t="shared" si="6"/>
        <v>3</v>
      </c>
      <c r="B433" s="12" t="s">
        <v>546</v>
      </c>
      <c r="C433">
        <v>0</v>
      </c>
      <c r="D433">
        <v>10</v>
      </c>
      <c r="E433">
        <v>10</v>
      </c>
    </row>
    <row r="434" spans="1:5" x14ac:dyDescent="0.25">
      <c r="A434">
        <f t="shared" si="6"/>
        <v>17.7</v>
      </c>
      <c r="B434" s="12" t="s">
        <v>547</v>
      </c>
      <c r="C434">
        <v>0</v>
      </c>
      <c r="D434">
        <v>59</v>
      </c>
      <c r="E434">
        <v>59</v>
      </c>
    </row>
    <row r="435" spans="1:5" x14ac:dyDescent="0.25">
      <c r="A435">
        <f t="shared" si="6"/>
        <v>30</v>
      </c>
      <c r="B435" s="12" t="s">
        <v>964</v>
      </c>
      <c r="D435">
        <v>10</v>
      </c>
      <c r="E435">
        <v>10</v>
      </c>
    </row>
    <row r="436" spans="1:5" x14ac:dyDescent="0.25">
      <c r="A436">
        <f t="shared" si="6"/>
        <v>3</v>
      </c>
      <c r="B436" s="12" t="s">
        <v>549</v>
      </c>
      <c r="C436">
        <v>0</v>
      </c>
      <c r="D436">
        <v>10</v>
      </c>
      <c r="E436">
        <v>10</v>
      </c>
    </row>
    <row r="437" spans="1:5" x14ac:dyDescent="0.25">
      <c r="A437">
        <f t="shared" si="6"/>
        <v>33</v>
      </c>
      <c r="B437" s="12" t="s">
        <v>550</v>
      </c>
      <c r="C437">
        <v>10</v>
      </c>
      <c r="D437">
        <v>10</v>
      </c>
      <c r="E437">
        <v>20</v>
      </c>
    </row>
    <row r="438" spans="1:5" x14ac:dyDescent="0.25">
      <c r="A438">
        <f t="shared" si="6"/>
        <v>12</v>
      </c>
      <c r="B438" s="12" t="s">
        <v>551</v>
      </c>
      <c r="C438">
        <v>0</v>
      </c>
      <c r="D438">
        <v>40</v>
      </c>
      <c r="E438">
        <v>40</v>
      </c>
    </row>
    <row r="439" spans="1:5" x14ac:dyDescent="0.25">
      <c r="A439">
        <f t="shared" si="6"/>
        <v>4.5</v>
      </c>
      <c r="B439" s="12" t="s">
        <v>552</v>
      </c>
      <c r="C439">
        <v>0</v>
      </c>
      <c r="D439">
        <v>15</v>
      </c>
      <c r="E439">
        <v>15</v>
      </c>
    </row>
    <row r="440" spans="1:5" x14ac:dyDescent="0.25">
      <c r="A440">
        <f t="shared" si="6"/>
        <v>33</v>
      </c>
      <c r="B440" s="12" t="s">
        <v>553</v>
      </c>
      <c r="C440">
        <v>10</v>
      </c>
      <c r="D440">
        <v>10</v>
      </c>
      <c r="E440">
        <v>20</v>
      </c>
    </row>
    <row r="441" spans="1:5" x14ac:dyDescent="0.25">
      <c r="A441">
        <f t="shared" si="6"/>
        <v>0</v>
      </c>
      <c r="B441" s="12" t="s">
        <v>554</v>
      </c>
      <c r="C441">
        <v>0</v>
      </c>
      <c r="D441">
        <v>0</v>
      </c>
      <c r="E441">
        <v>0</v>
      </c>
    </row>
    <row r="442" spans="1:5" x14ac:dyDescent="0.25">
      <c r="A442">
        <f t="shared" si="6"/>
        <v>30</v>
      </c>
      <c r="B442" s="12" t="s">
        <v>555</v>
      </c>
      <c r="C442">
        <v>10</v>
      </c>
      <c r="D442">
        <v>0</v>
      </c>
      <c r="E442">
        <v>10</v>
      </c>
    </row>
    <row r="443" spans="1:5" x14ac:dyDescent="0.25">
      <c r="A443">
        <f t="shared" si="6"/>
        <v>4.5</v>
      </c>
      <c r="B443" s="12" t="s">
        <v>556</v>
      </c>
      <c r="C443">
        <v>0</v>
      </c>
      <c r="D443">
        <v>15</v>
      </c>
      <c r="E443">
        <v>15</v>
      </c>
    </row>
    <row r="444" spans="1:5" x14ac:dyDescent="0.25">
      <c r="A444">
        <f t="shared" si="6"/>
        <v>24.599999999999998</v>
      </c>
      <c r="B444" s="12" t="s">
        <v>559</v>
      </c>
      <c r="C444">
        <v>0</v>
      </c>
      <c r="D444">
        <v>82</v>
      </c>
      <c r="E444">
        <v>82</v>
      </c>
    </row>
    <row r="445" spans="1:5" x14ac:dyDescent="0.25">
      <c r="A445">
        <f t="shared" si="6"/>
        <v>0</v>
      </c>
      <c r="B445" s="12" t="s">
        <v>561</v>
      </c>
      <c r="C445">
        <v>0</v>
      </c>
      <c r="D445">
        <v>0</v>
      </c>
      <c r="E445">
        <v>0</v>
      </c>
    </row>
    <row r="446" spans="1:5" x14ac:dyDescent="0.25">
      <c r="A446">
        <f t="shared" si="6"/>
        <v>0</v>
      </c>
      <c r="B446" s="12" t="s">
        <v>562</v>
      </c>
      <c r="C446">
        <v>0</v>
      </c>
      <c r="E446">
        <v>0</v>
      </c>
    </row>
    <row r="447" spans="1:5" x14ac:dyDescent="0.25">
      <c r="A447">
        <f t="shared" si="6"/>
        <v>6</v>
      </c>
      <c r="B447" s="12" t="s">
        <v>564</v>
      </c>
      <c r="C447">
        <v>0</v>
      </c>
      <c r="D447">
        <v>20</v>
      </c>
      <c r="E447">
        <v>20</v>
      </c>
    </row>
    <row r="448" spans="1:5" x14ac:dyDescent="0.25">
      <c r="A448">
        <f t="shared" si="6"/>
        <v>34.800000000000004</v>
      </c>
      <c r="B448" s="12" t="s">
        <v>565</v>
      </c>
      <c r="C448">
        <v>0</v>
      </c>
      <c r="D448">
        <v>116.00000000000001</v>
      </c>
      <c r="E448">
        <v>116.00000000000001</v>
      </c>
    </row>
    <row r="449" spans="1:5" x14ac:dyDescent="0.25">
      <c r="A449">
        <f t="shared" si="6"/>
        <v>30</v>
      </c>
      <c r="B449" s="12" t="s">
        <v>968</v>
      </c>
      <c r="D449">
        <v>10</v>
      </c>
      <c r="E449">
        <v>10</v>
      </c>
    </row>
    <row r="450" spans="1:5" x14ac:dyDescent="0.25">
      <c r="A450">
        <f t="shared" si="6"/>
        <v>0</v>
      </c>
      <c r="B450" s="12" t="s">
        <v>567</v>
      </c>
      <c r="C450">
        <v>0</v>
      </c>
      <c r="D450">
        <v>0</v>
      </c>
      <c r="E450">
        <v>0</v>
      </c>
    </row>
    <row r="451" spans="1:5" x14ac:dyDescent="0.25">
      <c r="A451">
        <f t="shared" si="6"/>
        <v>12</v>
      </c>
      <c r="B451" s="12" t="s">
        <v>568</v>
      </c>
      <c r="C451">
        <v>0</v>
      </c>
      <c r="D451">
        <v>40</v>
      </c>
      <c r="E451">
        <v>40</v>
      </c>
    </row>
    <row r="452" spans="1:5" x14ac:dyDescent="0.25">
      <c r="A452">
        <f t="shared" si="6"/>
        <v>7.5</v>
      </c>
      <c r="B452" s="12" t="s">
        <v>570</v>
      </c>
      <c r="C452">
        <v>0</v>
      </c>
      <c r="D452">
        <v>25</v>
      </c>
      <c r="E452">
        <v>25</v>
      </c>
    </row>
    <row r="453" spans="1:5" x14ac:dyDescent="0.25">
      <c r="A453">
        <f t="shared" si="6"/>
        <v>1314.2999999999997</v>
      </c>
      <c r="B453" s="12" t="s">
        <v>572</v>
      </c>
      <c r="C453">
        <v>431.99999999999994</v>
      </c>
      <c r="D453">
        <v>61</v>
      </c>
      <c r="E453">
        <v>492.99999999999994</v>
      </c>
    </row>
    <row r="454" spans="1:5" x14ac:dyDescent="0.25">
      <c r="A454">
        <f t="shared" si="6"/>
        <v>0</v>
      </c>
      <c r="B454" s="12" t="s">
        <v>575</v>
      </c>
      <c r="C454">
        <v>0</v>
      </c>
      <c r="D454">
        <v>0</v>
      </c>
      <c r="E454">
        <v>0</v>
      </c>
    </row>
    <row r="455" spans="1:5" x14ac:dyDescent="0.25">
      <c r="A455">
        <f t="shared" ref="A455:A518" si="7">IF(C455="",SUMPRODUCT($C$1:$D$1,$C455:$D455),SUMPRODUCT($C$2:$D$2,$C455:$D455))</f>
        <v>29.4</v>
      </c>
      <c r="B455" s="12" t="s">
        <v>577</v>
      </c>
      <c r="C455">
        <v>0</v>
      </c>
      <c r="D455">
        <v>98</v>
      </c>
      <c r="E455">
        <v>98</v>
      </c>
    </row>
    <row r="456" spans="1:5" x14ac:dyDescent="0.25">
      <c r="A456">
        <f t="shared" si="7"/>
        <v>0</v>
      </c>
      <c r="B456" s="12" t="s">
        <v>973</v>
      </c>
      <c r="D456">
        <v>0</v>
      </c>
      <c r="E456">
        <v>0</v>
      </c>
    </row>
    <row r="457" spans="1:5" x14ac:dyDescent="0.25">
      <c r="A457">
        <f t="shared" si="7"/>
        <v>0</v>
      </c>
      <c r="B457" s="12" t="s">
        <v>579</v>
      </c>
      <c r="C457">
        <v>0</v>
      </c>
      <c r="D457">
        <v>0</v>
      </c>
      <c r="E457">
        <v>0</v>
      </c>
    </row>
    <row r="458" spans="1:5" x14ac:dyDescent="0.25">
      <c r="A458">
        <f t="shared" si="7"/>
        <v>0</v>
      </c>
      <c r="B458" s="12" t="s">
        <v>580</v>
      </c>
      <c r="C458">
        <v>0</v>
      </c>
      <c r="D458">
        <v>0</v>
      </c>
      <c r="E458">
        <v>0</v>
      </c>
    </row>
    <row r="459" spans="1:5" x14ac:dyDescent="0.25">
      <c r="A459">
        <f t="shared" si="7"/>
        <v>0</v>
      </c>
      <c r="B459" s="12" t="s">
        <v>581</v>
      </c>
      <c r="C459">
        <v>0</v>
      </c>
      <c r="D459">
        <v>0</v>
      </c>
      <c r="E459">
        <v>0</v>
      </c>
    </row>
    <row r="460" spans="1:5" x14ac:dyDescent="0.25">
      <c r="A460">
        <f t="shared" si="7"/>
        <v>33</v>
      </c>
      <c r="B460" s="12" t="s">
        <v>582</v>
      </c>
      <c r="C460">
        <v>10</v>
      </c>
      <c r="D460">
        <v>10</v>
      </c>
      <c r="E460">
        <v>20</v>
      </c>
    </row>
    <row r="461" spans="1:5" x14ac:dyDescent="0.25">
      <c r="A461">
        <f t="shared" si="7"/>
        <v>30</v>
      </c>
      <c r="B461" s="12" t="s">
        <v>583</v>
      </c>
      <c r="C461">
        <v>10</v>
      </c>
      <c r="D461">
        <v>0</v>
      </c>
      <c r="E461">
        <v>10</v>
      </c>
    </row>
    <row r="462" spans="1:5" x14ac:dyDescent="0.25">
      <c r="A462">
        <f t="shared" si="7"/>
        <v>7.5</v>
      </c>
      <c r="B462" s="12" t="s">
        <v>585</v>
      </c>
      <c r="C462">
        <v>0</v>
      </c>
      <c r="D462">
        <v>25</v>
      </c>
      <c r="E462">
        <v>25</v>
      </c>
    </row>
    <row r="463" spans="1:5" x14ac:dyDescent="0.25">
      <c r="A463">
        <f t="shared" si="7"/>
        <v>0</v>
      </c>
      <c r="B463" s="12" t="s">
        <v>587</v>
      </c>
      <c r="C463">
        <v>0</v>
      </c>
      <c r="D463">
        <v>0</v>
      </c>
      <c r="E463">
        <v>0</v>
      </c>
    </row>
    <row r="464" spans="1:5" x14ac:dyDescent="0.25">
      <c r="A464">
        <f t="shared" si="7"/>
        <v>4.5</v>
      </c>
      <c r="B464" s="12" t="s">
        <v>588</v>
      </c>
      <c r="C464">
        <v>0</v>
      </c>
      <c r="D464">
        <v>15</v>
      </c>
      <c r="E464">
        <v>15</v>
      </c>
    </row>
    <row r="465" spans="1:5" x14ac:dyDescent="0.25">
      <c r="A465">
        <f t="shared" si="7"/>
        <v>33</v>
      </c>
      <c r="B465" s="12" t="s">
        <v>589</v>
      </c>
      <c r="C465">
        <v>10</v>
      </c>
      <c r="D465">
        <v>10</v>
      </c>
      <c r="E465">
        <v>20</v>
      </c>
    </row>
    <row r="466" spans="1:5" x14ac:dyDescent="0.25">
      <c r="A466">
        <f t="shared" si="7"/>
        <v>323.10000000000002</v>
      </c>
      <c r="B466" s="12" t="s">
        <v>590</v>
      </c>
      <c r="C466">
        <v>91</v>
      </c>
      <c r="D466">
        <v>167</v>
      </c>
      <c r="E466">
        <v>258</v>
      </c>
    </row>
    <row r="467" spans="1:5" x14ac:dyDescent="0.25">
      <c r="A467">
        <f t="shared" si="7"/>
        <v>0</v>
      </c>
      <c r="B467" s="12" t="s">
        <v>593</v>
      </c>
      <c r="C467">
        <v>0</v>
      </c>
      <c r="D467">
        <v>0</v>
      </c>
      <c r="E467">
        <v>0</v>
      </c>
    </row>
    <row r="468" spans="1:5" x14ac:dyDescent="0.25">
      <c r="A468">
        <f t="shared" si="7"/>
        <v>0</v>
      </c>
      <c r="B468" s="12" t="s">
        <v>594</v>
      </c>
      <c r="C468">
        <v>0</v>
      </c>
      <c r="D468">
        <v>0</v>
      </c>
      <c r="E468">
        <v>0</v>
      </c>
    </row>
    <row r="469" spans="1:5" x14ac:dyDescent="0.25">
      <c r="A469">
        <f t="shared" si="7"/>
        <v>17.099999999999998</v>
      </c>
      <c r="B469" s="12" t="s">
        <v>595</v>
      </c>
      <c r="C469">
        <v>0</v>
      </c>
      <c r="D469">
        <v>57</v>
      </c>
      <c r="E469">
        <v>57</v>
      </c>
    </row>
    <row r="470" spans="1:5" x14ac:dyDescent="0.25">
      <c r="A470">
        <f t="shared" si="7"/>
        <v>33</v>
      </c>
      <c r="B470" s="12" t="s">
        <v>597</v>
      </c>
      <c r="C470">
        <v>10</v>
      </c>
      <c r="D470">
        <v>10</v>
      </c>
      <c r="E470">
        <v>20</v>
      </c>
    </row>
    <row r="471" spans="1:5" x14ac:dyDescent="0.25">
      <c r="A471">
        <f t="shared" si="7"/>
        <v>4.5</v>
      </c>
      <c r="B471" s="12" t="s">
        <v>598</v>
      </c>
      <c r="C471">
        <v>0</v>
      </c>
      <c r="D471">
        <v>15</v>
      </c>
      <c r="E471">
        <v>15</v>
      </c>
    </row>
    <row r="472" spans="1:5" x14ac:dyDescent="0.25">
      <c r="A472">
        <f t="shared" si="7"/>
        <v>3</v>
      </c>
      <c r="B472" s="12" t="s">
        <v>599</v>
      </c>
      <c r="C472">
        <v>0</v>
      </c>
      <c r="D472">
        <v>10</v>
      </c>
      <c r="E472">
        <v>10</v>
      </c>
    </row>
    <row r="473" spans="1:5" x14ac:dyDescent="0.25">
      <c r="A473">
        <f t="shared" si="7"/>
        <v>0</v>
      </c>
      <c r="B473" s="12" t="s">
        <v>600</v>
      </c>
      <c r="C473">
        <v>0</v>
      </c>
      <c r="E473">
        <v>0</v>
      </c>
    </row>
    <row r="474" spans="1:5" x14ac:dyDescent="0.25">
      <c r="A474">
        <f t="shared" si="7"/>
        <v>0</v>
      </c>
      <c r="B474" s="12" t="s">
        <v>978</v>
      </c>
      <c r="D474">
        <v>0</v>
      </c>
      <c r="E474">
        <v>0</v>
      </c>
    </row>
    <row r="475" spans="1:5" x14ac:dyDescent="0.25">
      <c r="A475">
        <f t="shared" si="7"/>
        <v>33</v>
      </c>
      <c r="B475" s="12" t="s">
        <v>602</v>
      </c>
      <c r="C475">
        <v>10</v>
      </c>
      <c r="D475">
        <v>10</v>
      </c>
      <c r="E475">
        <v>20</v>
      </c>
    </row>
    <row r="476" spans="1:5" x14ac:dyDescent="0.25">
      <c r="A476">
        <f t="shared" si="7"/>
        <v>12</v>
      </c>
      <c r="B476" s="12" t="s">
        <v>603</v>
      </c>
      <c r="C476">
        <v>0</v>
      </c>
      <c r="D476">
        <v>40</v>
      </c>
      <c r="E476">
        <v>40</v>
      </c>
    </row>
    <row r="477" spans="1:5" x14ac:dyDescent="0.25">
      <c r="A477">
        <f t="shared" si="7"/>
        <v>33</v>
      </c>
      <c r="B477" s="12" t="s">
        <v>604</v>
      </c>
      <c r="C477">
        <v>10</v>
      </c>
      <c r="D477">
        <v>10</v>
      </c>
      <c r="E477">
        <v>20</v>
      </c>
    </row>
    <row r="478" spans="1:5" x14ac:dyDescent="0.25">
      <c r="A478">
        <f t="shared" si="7"/>
        <v>9.6</v>
      </c>
      <c r="B478" s="12" t="s">
        <v>605</v>
      </c>
      <c r="C478">
        <v>0</v>
      </c>
      <c r="D478">
        <v>32</v>
      </c>
      <c r="E478">
        <v>32</v>
      </c>
    </row>
    <row r="479" spans="1:5" x14ac:dyDescent="0.25">
      <c r="A479">
        <f t="shared" si="7"/>
        <v>33</v>
      </c>
      <c r="B479" s="12" t="s">
        <v>607</v>
      </c>
      <c r="C479">
        <v>10</v>
      </c>
      <c r="D479">
        <v>10</v>
      </c>
      <c r="E479">
        <v>20</v>
      </c>
    </row>
    <row r="480" spans="1:5" x14ac:dyDescent="0.25">
      <c r="A480">
        <f t="shared" si="7"/>
        <v>4.5</v>
      </c>
      <c r="B480" s="12" t="s">
        <v>608</v>
      </c>
      <c r="C480">
        <v>0</v>
      </c>
      <c r="D480">
        <v>15</v>
      </c>
      <c r="E480">
        <v>15</v>
      </c>
    </row>
    <row r="481" spans="1:5" x14ac:dyDescent="0.25">
      <c r="A481">
        <f t="shared" si="7"/>
        <v>19.799999999999994</v>
      </c>
      <c r="B481" s="12" t="s">
        <v>609</v>
      </c>
      <c r="C481">
        <v>0</v>
      </c>
      <c r="D481">
        <v>65.999999999999986</v>
      </c>
      <c r="E481">
        <v>65.999999999999986</v>
      </c>
    </row>
    <row r="482" spans="1:5" x14ac:dyDescent="0.25">
      <c r="A482">
        <f t="shared" si="7"/>
        <v>3</v>
      </c>
      <c r="B482" s="12" t="s">
        <v>611</v>
      </c>
      <c r="C482">
        <v>0</v>
      </c>
      <c r="D482">
        <v>10</v>
      </c>
      <c r="E482">
        <v>10</v>
      </c>
    </row>
    <row r="483" spans="1:5" x14ac:dyDescent="0.25">
      <c r="A483">
        <f t="shared" si="7"/>
        <v>6</v>
      </c>
      <c r="B483" s="12" t="s">
        <v>613</v>
      </c>
      <c r="C483">
        <v>0</v>
      </c>
      <c r="D483">
        <v>20</v>
      </c>
      <c r="E483">
        <v>20</v>
      </c>
    </row>
    <row r="484" spans="1:5" x14ac:dyDescent="0.25">
      <c r="A484">
        <f t="shared" si="7"/>
        <v>0</v>
      </c>
      <c r="B484" s="12" t="s">
        <v>615</v>
      </c>
      <c r="C484">
        <v>0</v>
      </c>
      <c r="D484">
        <v>0</v>
      </c>
      <c r="E484">
        <v>0</v>
      </c>
    </row>
    <row r="485" spans="1:5" x14ac:dyDescent="0.25">
      <c r="A485">
        <f t="shared" si="7"/>
        <v>0</v>
      </c>
      <c r="B485" s="12" t="s">
        <v>616</v>
      </c>
      <c r="C485">
        <v>0</v>
      </c>
      <c r="D485">
        <v>0</v>
      </c>
      <c r="E485">
        <v>0</v>
      </c>
    </row>
    <row r="486" spans="1:5" x14ac:dyDescent="0.25">
      <c r="A486">
        <f t="shared" si="7"/>
        <v>3</v>
      </c>
      <c r="B486" s="12" t="s">
        <v>618</v>
      </c>
      <c r="C486">
        <v>0</v>
      </c>
      <c r="D486">
        <v>10</v>
      </c>
      <c r="E486">
        <v>10</v>
      </c>
    </row>
    <row r="487" spans="1:5" x14ac:dyDescent="0.25">
      <c r="A487">
        <f t="shared" si="7"/>
        <v>10.5</v>
      </c>
      <c r="B487" s="12" t="s">
        <v>619</v>
      </c>
      <c r="C487">
        <v>0</v>
      </c>
      <c r="D487">
        <v>35</v>
      </c>
      <c r="E487">
        <v>35</v>
      </c>
    </row>
    <row r="488" spans="1:5" x14ac:dyDescent="0.25">
      <c r="A488">
        <f t="shared" si="7"/>
        <v>3</v>
      </c>
      <c r="B488" s="12" t="s">
        <v>621</v>
      </c>
      <c r="C488">
        <v>0</v>
      </c>
      <c r="D488">
        <v>10</v>
      </c>
      <c r="E488">
        <v>10</v>
      </c>
    </row>
    <row r="489" spans="1:5" x14ac:dyDescent="0.25">
      <c r="A489">
        <f t="shared" si="7"/>
        <v>3</v>
      </c>
      <c r="B489" s="12" t="s">
        <v>622</v>
      </c>
      <c r="C489">
        <v>0</v>
      </c>
      <c r="D489">
        <v>10</v>
      </c>
      <c r="E489">
        <v>10</v>
      </c>
    </row>
    <row r="490" spans="1:5" x14ac:dyDescent="0.25">
      <c r="A490">
        <f t="shared" si="7"/>
        <v>3</v>
      </c>
      <c r="B490" s="12" t="s">
        <v>623</v>
      </c>
      <c r="C490">
        <v>0</v>
      </c>
      <c r="D490">
        <v>10</v>
      </c>
      <c r="E490">
        <v>10</v>
      </c>
    </row>
    <row r="491" spans="1:5" x14ac:dyDescent="0.25">
      <c r="A491">
        <f t="shared" si="7"/>
        <v>3</v>
      </c>
      <c r="B491" s="12" t="s">
        <v>624</v>
      </c>
      <c r="C491">
        <v>0</v>
      </c>
      <c r="D491">
        <v>10</v>
      </c>
      <c r="E491">
        <v>10</v>
      </c>
    </row>
    <row r="492" spans="1:5" x14ac:dyDescent="0.25">
      <c r="A492">
        <f t="shared" si="7"/>
        <v>33</v>
      </c>
      <c r="B492" s="12" t="s">
        <v>625</v>
      </c>
      <c r="C492">
        <v>10</v>
      </c>
      <c r="D492">
        <v>10</v>
      </c>
      <c r="E492">
        <v>20</v>
      </c>
    </row>
    <row r="493" spans="1:5" x14ac:dyDescent="0.25">
      <c r="A493">
        <f t="shared" si="7"/>
        <v>33</v>
      </c>
      <c r="B493" s="12" t="s">
        <v>626</v>
      </c>
      <c r="C493">
        <v>10</v>
      </c>
      <c r="D493">
        <v>10</v>
      </c>
      <c r="E493">
        <v>20</v>
      </c>
    </row>
    <row r="494" spans="1:5" x14ac:dyDescent="0.25">
      <c r="A494">
        <f t="shared" si="7"/>
        <v>18</v>
      </c>
      <c r="B494" s="12" t="s">
        <v>627</v>
      </c>
      <c r="C494">
        <v>0</v>
      </c>
      <c r="D494">
        <v>60</v>
      </c>
      <c r="E494">
        <v>60</v>
      </c>
    </row>
    <row r="495" spans="1:5" x14ac:dyDescent="0.25">
      <c r="A495">
        <f t="shared" si="7"/>
        <v>18</v>
      </c>
      <c r="B495" s="12" t="s">
        <v>628</v>
      </c>
      <c r="C495">
        <v>0</v>
      </c>
      <c r="D495">
        <v>60</v>
      </c>
      <c r="E495">
        <v>60</v>
      </c>
    </row>
    <row r="496" spans="1:5" x14ac:dyDescent="0.25">
      <c r="A496">
        <f t="shared" si="7"/>
        <v>3</v>
      </c>
      <c r="B496" s="12" t="s">
        <v>629</v>
      </c>
      <c r="C496">
        <v>0</v>
      </c>
      <c r="D496">
        <v>10</v>
      </c>
      <c r="E496">
        <v>10</v>
      </c>
    </row>
    <row r="497" spans="1:5" x14ac:dyDescent="0.25">
      <c r="A497">
        <f t="shared" si="7"/>
        <v>0</v>
      </c>
      <c r="B497" s="12" t="s">
        <v>630</v>
      </c>
      <c r="C497">
        <v>0</v>
      </c>
      <c r="E497">
        <v>0</v>
      </c>
    </row>
    <row r="498" spans="1:5" x14ac:dyDescent="0.25">
      <c r="A498">
        <f t="shared" si="7"/>
        <v>3</v>
      </c>
      <c r="B498" s="12" t="s">
        <v>632</v>
      </c>
      <c r="C498">
        <v>0</v>
      </c>
      <c r="D498">
        <v>10</v>
      </c>
      <c r="E498">
        <v>10</v>
      </c>
    </row>
    <row r="499" spans="1:5" x14ac:dyDescent="0.25">
      <c r="A499">
        <f t="shared" si="7"/>
        <v>3</v>
      </c>
      <c r="B499" s="12" t="s">
        <v>633</v>
      </c>
      <c r="C499">
        <v>0</v>
      </c>
      <c r="D499">
        <v>10</v>
      </c>
      <c r="E499">
        <v>10</v>
      </c>
    </row>
    <row r="500" spans="1:5" x14ac:dyDescent="0.25">
      <c r="A500">
        <f t="shared" si="7"/>
        <v>30</v>
      </c>
      <c r="B500" s="12" t="s">
        <v>981</v>
      </c>
      <c r="D500">
        <v>10</v>
      </c>
      <c r="E500">
        <v>10</v>
      </c>
    </row>
    <row r="501" spans="1:5" x14ac:dyDescent="0.25">
      <c r="A501">
        <f t="shared" si="7"/>
        <v>33</v>
      </c>
      <c r="B501" s="12" t="s">
        <v>634</v>
      </c>
      <c r="C501">
        <v>10</v>
      </c>
      <c r="D501">
        <v>10</v>
      </c>
      <c r="E501">
        <v>20</v>
      </c>
    </row>
    <row r="502" spans="1:5" x14ac:dyDescent="0.25">
      <c r="A502">
        <f t="shared" si="7"/>
        <v>77.7</v>
      </c>
      <c r="B502" s="12" t="s">
        <v>635</v>
      </c>
      <c r="C502">
        <v>0</v>
      </c>
      <c r="D502">
        <v>259</v>
      </c>
      <c r="E502">
        <v>259</v>
      </c>
    </row>
    <row r="503" spans="1:5" x14ac:dyDescent="0.25">
      <c r="A503">
        <f t="shared" si="7"/>
        <v>21.3</v>
      </c>
      <c r="B503" s="12" t="s">
        <v>637</v>
      </c>
      <c r="C503">
        <v>0</v>
      </c>
      <c r="D503">
        <v>71</v>
      </c>
      <c r="E503">
        <v>71</v>
      </c>
    </row>
    <row r="504" spans="1:5" x14ac:dyDescent="0.25">
      <c r="A504">
        <f t="shared" si="7"/>
        <v>90</v>
      </c>
      <c r="B504" s="12" t="s">
        <v>986</v>
      </c>
      <c r="D504">
        <v>30</v>
      </c>
      <c r="E504">
        <v>30</v>
      </c>
    </row>
    <row r="505" spans="1:5" x14ac:dyDescent="0.25">
      <c r="A505">
        <f t="shared" si="7"/>
        <v>3</v>
      </c>
      <c r="B505" s="12" t="s">
        <v>639</v>
      </c>
      <c r="C505">
        <v>0</v>
      </c>
      <c r="D505">
        <v>10</v>
      </c>
      <c r="E505">
        <v>10</v>
      </c>
    </row>
    <row r="506" spans="1:5" x14ac:dyDescent="0.25">
      <c r="A506">
        <f t="shared" si="7"/>
        <v>9</v>
      </c>
      <c r="B506" s="12" t="s">
        <v>641</v>
      </c>
      <c r="C506">
        <v>0</v>
      </c>
      <c r="D506">
        <v>30</v>
      </c>
      <c r="E506">
        <v>30</v>
      </c>
    </row>
    <row r="507" spans="1:5" x14ac:dyDescent="0.25">
      <c r="A507">
        <f t="shared" si="7"/>
        <v>0</v>
      </c>
      <c r="B507" s="12" t="s">
        <v>987</v>
      </c>
      <c r="D507">
        <v>0</v>
      </c>
      <c r="E507">
        <v>0</v>
      </c>
    </row>
    <row r="508" spans="1:5" x14ac:dyDescent="0.25">
      <c r="A508">
        <f t="shared" si="7"/>
        <v>16.8</v>
      </c>
      <c r="B508" s="12" t="s">
        <v>642</v>
      </c>
      <c r="C508">
        <v>0</v>
      </c>
      <c r="D508">
        <v>56</v>
      </c>
      <c r="E508">
        <v>56</v>
      </c>
    </row>
    <row r="509" spans="1:5" x14ac:dyDescent="0.25">
      <c r="A509">
        <f t="shared" si="7"/>
        <v>0</v>
      </c>
      <c r="B509" s="12" t="s">
        <v>644</v>
      </c>
      <c r="C509">
        <v>0</v>
      </c>
      <c r="D509">
        <v>0</v>
      </c>
      <c r="E509">
        <v>0</v>
      </c>
    </row>
    <row r="510" spans="1:5" x14ac:dyDescent="0.25">
      <c r="A510">
        <f t="shared" si="7"/>
        <v>20.099999999999998</v>
      </c>
      <c r="B510" s="12" t="s">
        <v>645</v>
      </c>
      <c r="C510">
        <v>0</v>
      </c>
      <c r="D510">
        <v>67</v>
      </c>
      <c r="E510">
        <v>67</v>
      </c>
    </row>
    <row r="511" spans="1:5" x14ac:dyDescent="0.25">
      <c r="A511">
        <f t="shared" si="7"/>
        <v>30</v>
      </c>
      <c r="B511" s="12" t="s">
        <v>991</v>
      </c>
      <c r="D511">
        <v>10</v>
      </c>
      <c r="E511">
        <v>10</v>
      </c>
    </row>
    <row r="512" spans="1:5" x14ac:dyDescent="0.25">
      <c r="A512">
        <f t="shared" si="7"/>
        <v>30</v>
      </c>
      <c r="B512" s="12" t="s">
        <v>992</v>
      </c>
      <c r="D512">
        <v>10</v>
      </c>
      <c r="E512">
        <v>10</v>
      </c>
    </row>
    <row r="513" spans="1:5" x14ac:dyDescent="0.25">
      <c r="A513">
        <f t="shared" si="7"/>
        <v>30</v>
      </c>
      <c r="B513" s="12" t="s">
        <v>993</v>
      </c>
      <c r="D513">
        <v>10</v>
      </c>
      <c r="E513">
        <v>10</v>
      </c>
    </row>
    <row r="514" spans="1:5" x14ac:dyDescent="0.25">
      <c r="A514">
        <f t="shared" si="7"/>
        <v>30</v>
      </c>
      <c r="B514" s="12" t="s">
        <v>994</v>
      </c>
      <c r="D514">
        <v>10</v>
      </c>
      <c r="E514">
        <v>10</v>
      </c>
    </row>
    <row r="515" spans="1:5" x14ac:dyDescent="0.25">
      <c r="A515">
        <f t="shared" si="7"/>
        <v>30</v>
      </c>
      <c r="B515" s="12" t="s">
        <v>995</v>
      </c>
      <c r="D515">
        <v>10</v>
      </c>
      <c r="E515">
        <v>10</v>
      </c>
    </row>
    <row r="516" spans="1:5" x14ac:dyDescent="0.25">
      <c r="A516">
        <f t="shared" si="7"/>
        <v>33</v>
      </c>
      <c r="B516" s="12" t="s">
        <v>647</v>
      </c>
      <c r="C516">
        <v>10</v>
      </c>
      <c r="D516">
        <v>10</v>
      </c>
      <c r="E516">
        <v>20</v>
      </c>
    </row>
    <row r="517" spans="1:5" x14ac:dyDescent="0.25">
      <c r="A517">
        <f t="shared" si="7"/>
        <v>180</v>
      </c>
      <c r="B517" s="12" t="s">
        <v>996</v>
      </c>
      <c r="D517">
        <v>60</v>
      </c>
      <c r="E517">
        <v>60</v>
      </c>
    </row>
    <row r="518" spans="1:5" x14ac:dyDescent="0.25">
      <c r="A518">
        <f t="shared" si="7"/>
        <v>30</v>
      </c>
      <c r="B518" s="12" t="s">
        <v>997</v>
      </c>
      <c r="D518">
        <v>10</v>
      </c>
      <c r="E518">
        <v>10</v>
      </c>
    </row>
    <row r="519" spans="1:5" x14ac:dyDescent="0.25">
      <c r="A519">
        <f t="shared" ref="A519:A582" si="8">IF(C519="",SUMPRODUCT($C$1:$D$1,$C519:$D519),SUMPRODUCT($C$2:$D$2,$C519:$D519))</f>
        <v>30</v>
      </c>
      <c r="B519" s="12" t="s">
        <v>998</v>
      </c>
      <c r="D519">
        <v>10</v>
      </c>
      <c r="E519">
        <v>10</v>
      </c>
    </row>
    <row r="520" spans="1:5" x14ac:dyDescent="0.25">
      <c r="A520">
        <f t="shared" si="8"/>
        <v>33</v>
      </c>
      <c r="B520" s="12" t="s">
        <v>648</v>
      </c>
      <c r="C520">
        <v>10</v>
      </c>
      <c r="D520">
        <v>10</v>
      </c>
      <c r="E520">
        <v>20</v>
      </c>
    </row>
    <row r="521" spans="1:5" x14ac:dyDescent="0.25">
      <c r="A521">
        <f t="shared" si="8"/>
        <v>30</v>
      </c>
      <c r="B521" s="12" t="s">
        <v>999</v>
      </c>
      <c r="D521">
        <v>10</v>
      </c>
      <c r="E521">
        <v>10</v>
      </c>
    </row>
    <row r="522" spans="1:5" x14ac:dyDescent="0.25">
      <c r="A522">
        <f t="shared" si="8"/>
        <v>30</v>
      </c>
      <c r="B522" s="12" t="s">
        <v>1000</v>
      </c>
      <c r="D522">
        <v>10</v>
      </c>
      <c r="E522">
        <v>10</v>
      </c>
    </row>
    <row r="523" spans="1:5" x14ac:dyDescent="0.25">
      <c r="A523">
        <f t="shared" si="8"/>
        <v>33</v>
      </c>
      <c r="B523" s="12" t="s">
        <v>649</v>
      </c>
      <c r="C523">
        <v>10</v>
      </c>
      <c r="D523">
        <v>10</v>
      </c>
      <c r="E523">
        <v>20</v>
      </c>
    </row>
    <row r="524" spans="1:5" x14ac:dyDescent="0.25">
      <c r="A524">
        <f t="shared" si="8"/>
        <v>33</v>
      </c>
      <c r="B524" s="12" t="s">
        <v>650</v>
      </c>
      <c r="C524">
        <v>10</v>
      </c>
      <c r="D524">
        <v>10</v>
      </c>
      <c r="E524">
        <v>20</v>
      </c>
    </row>
    <row r="525" spans="1:5" x14ac:dyDescent="0.25">
      <c r="A525">
        <f t="shared" si="8"/>
        <v>30</v>
      </c>
      <c r="B525" s="12" t="s">
        <v>1001</v>
      </c>
      <c r="D525">
        <v>10</v>
      </c>
      <c r="E525">
        <v>10</v>
      </c>
    </row>
    <row r="526" spans="1:5" x14ac:dyDescent="0.25">
      <c r="A526">
        <f t="shared" si="8"/>
        <v>30</v>
      </c>
      <c r="B526" s="12" t="s">
        <v>1002</v>
      </c>
      <c r="D526">
        <v>10</v>
      </c>
      <c r="E526">
        <v>10</v>
      </c>
    </row>
    <row r="527" spans="1:5" x14ac:dyDescent="0.25">
      <c r="A527">
        <f t="shared" si="8"/>
        <v>30</v>
      </c>
      <c r="B527" s="12" t="s">
        <v>1003</v>
      </c>
      <c r="D527">
        <v>10</v>
      </c>
      <c r="E527">
        <v>10</v>
      </c>
    </row>
    <row r="528" spans="1:5" x14ac:dyDescent="0.25">
      <c r="A528">
        <f t="shared" si="8"/>
        <v>180</v>
      </c>
      <c r="B528" s="12" t="s">
        <v>1004</v>
      </c>
      <c r="D528">
        <v>60</v>
      </c>
      <c r="E528">
        <v>60</v>
      </c>
    </row>
    <row r="529" spans="1:5" x14ac:dyDescent="0.25">
      <c r="A529">
        <f t="shared" si="8"/>
        <v>30</v>
      </c>
      <c r="B529" s="12" t="s">
        <v>1005</v>
      </c>
      <c r="D529">
        <v>10</v>
      </c>
      <c r="E529">
        <v>10</v>
      </c>
    </row>
    <row r="530" spans="1:5" x14ac:dyDescent="0.25">
      <c r="A530">
        <f t="shared" si="8"/>
        <v>30</v>
      </c>
      <c r="B530" s="12" t="s">
        <v>1006</v>
      </c>
      <c r="D530">
        <v>10</v>
      </c>
      <c r="E530">
        <v>10</v>
      </c>
    </row>
    <row r="531" spans="1:5" x14ac:dyDescent="0.25">
      <c r="A531">
        <f t="shared" si="8"/>
        <v>30</v>
      </c>
      <c r="B531" s="12" t="s">
        <v>1007</v>
      </c>
      <c r="D531">
        <v>10</v>
      </c>
      <c r="E531">
        <v>10</v>
      </c>
    </row>
    <row r="532" spans="1:5" x14ac:dyDescent="0.25">
      <c r="A532">
        <f t="shared" si="8"/>
        <v>30</v>
      </c>
      <c r="B532" s="12" t="s">
        <v>1008</v>
      </c>
      <c r="D532">
        <v>10</v>
      </c>
      <c r="E532">
        <v>10</v>
      </c>
    </row>
    <row r="533" spans="1:5" x14ac:dyDescent="0.25">
      <c r="A533">
        <f t="shared" si="8"/>
        <v>30</v>
      </c>
      <c r="B533" s="12" t="s">
        <v>1009</v>
      </c>
      <c r="D533">
        <v>10</v>
      </c>
      <c r="E533">
        <v>10</v>
      </c>
    </row>
    <row r="534" spans="1:5" x14ac:dyDescent="0.25">
      <c r="A534">
        <f t="shared" si="8"/>
        <v>30</v>
      </c>
      <c r="B534" s="12" t="s">
        <v>1010</v>
      </c>
      <c r="D534">
        <v>10</v>
      </c>
      <c r="E534">
        <v>10</v>
      </c>
    </row>
    <row r="535" spans="1:5" x14ac:dyDescent="0.25">
      <c r="A535">
        <f t="shared" si="8"/>
        <v>33</v>
      </c>
      <c r="B535" s="12" t="s">
        <v>651</v>
      </c>
      <c r="C535">
        <v>10</v>
      </c>
      <c r="D535">
        <v>10</v>
      </c>
      <c r="E535">
        <v>20</v>
      </c>
    </row>
    <row r="536" spans="1:5" x14ac:dyDescent="0.25">
      <c r="A536">
        <f t="shared" si="8"/>
        <v>33</v>
      </c>
      <c r="B536" s="12" t="s">
        <v>652</v>
      </c>
      <c r="C536">
        <v>10</v>
      </c>
      <c r="D536">
        <v>10</v>
      </c>
      <c r="E536">
        <v>20</v>
      </c>
    </row>
    <row r="537" spans="1:5" x14ac:dyDescent="0.25">
      <c r="A537">
        <f t="shared" si="8"/>
        <v>33</v>
      </c>
      <c r="B537" s="12" t="s">
        <v>653</v>
      </c>
      <c r="C537">
        <v>10</v>
      </c>
      <c r="D537">
        <v>10</v>
      </c>
      <c r="E537">
        <v>20</v>
      </c>
    </row>
    <row r="538" spans="1:5" x14ac:dyDescent="0.25">
      <c r="A538">
        <f t="shared" si="8"/>
        <v>30</v>
      </c>
      <c r="B538" s="12" t="s">
        <v>1011</v>
      </c>
      <c r="D538">
        <v>10</v>
      </c>
      <c r="E538">
        <v>10</v>
      </c>
    </row>
    <row r="539" spans="1:5" x14ac:dyDescent="0.25">
      <c r="A539">
        <f t="shared" si="8"/>
        <v>33</v>
      </c>
      <c r="B539" s="12" t="s">
        <v>654</v>
      </c>
      <c r="C539">
        <v>10</v>
      </c>
      <c r="D539">
        <v>10</v>
      </c>
      <c r="E539">
        <v>20</v>
      </c>
    </row>
    <row r="540" spans="1:5" x14ac:dyDescent="0.25">
      <c r="A540">
        <f t="shared" si="8"/>
        <v>30</v>
      </c>
      <c r="B540" s="12" t="s">
        <v>1012</v>
      </c>
      <c r="D540">
        <v>10</v>
      </c>
      <c r="E540">
        <v>10</v>
      </c>
    </row>
    <row r="541" spans="1:5" x14ac:dyDescent="0.25">
      <c r="A541">
        <f t="shared" si="8"/>
        <v>30</v>
      </c>
      <c r="B541" s="12" t="s">
        <v>1013</v>
      </c>
      <c r="D541">
        <v>10</v>
      </c>
      <c r="E541">
        <v>10</v>
      </c>
    </row>
    <row r="542" spans="1:5" x14ac:dyDescent="0.25">
      <c r="A542">
        <f t="shared" si="8"/>
        <v>30</v>
      </c>
      <c r="B542" s="12" t="s">
        <v>1014</v>
      </c>
      <c r="D542">
        <v>10</v>
      </c>
      <c r="E542">
        <v>10</v>
      </c>
    </row>
    <row r="543" spans="1:5" x14ac:dyDescent="0.25">
      <c r="A543">
        <f t="shared" si="8"/>
        <v>180</v>
      </c>
      <c r="B543" s="12" t="s">
        <v>1015</v>
      </c>
      <c r="D543">
        <v>60</v>
      </c>
      <c r="E543">
        <v>60</v>
      </c>
    </row>
    <row r="544" spans="1:5" x14ac:dyDescent="0.25">
      <c r="A544">
        <f t="shared" si="8"/>
        <v>30</v>
      </c>
      <c r="B544" s="12" t="s">
        <v>1016</v>
      </c>
      <c r="D544">
        <v>10</v>
      </c>
      <c r="E544">
        <v>10</v>
      </c>
    </row>
    <row r="545" spans="1:5" x14ac:dyDescent="0.25">
      <c r="A545">
        <f t="shared" si="8"/>
        <v>33</v>
      </c>
      <c r="B545" s="12" t="s">
        <v>655</v>
      </c>
      <c r="C545">
        <v>10</v>
      </c>
      <c r="D545">
        <v>10</v>
      </c>
      <c r="E545">
        <v>20</v>
      </c>
    </row>
    <row r="546" spans="1:5" x14ac:dyDescent="0.25">
      <c r="A546">
        <f t="shared" si="8"/>
        <v>30</v>
      </c>
      <c r="B546" s="12" t="s">
        <v>1017</v>
      </c>
      <c r="D546">
        <v>10</v>
      </c>
      <c r="E546">
        <v>10</v>
      </c>
    </row>
    <row r="547" spans="1:5" x14ac:dyDescent="0.25">
      <c r="A547">
        <f t="shared" si="8"/>
        <v>33</v>
      </c>
      <c r="B547" s="12" t="s">
        <v>656</v>
      </c>
      <c r="C547">
        <v>10</v>
      </c>
      <c r="D547">
        <v>10</v>
      </c>
      <c r="E547">
        <v>20</v>
      </c>
    </row>
    <row r="548" spans="1:5" x14ac:dyDescent="0.25">
      <c r="A548">
        <f t="shared" si="8"/>
        <v>30</v>
      </c>
      <c r="B548" s="12" t="s">
        <v>1018</v>
      </c>
      <c r="D548">
        <v>10</v>
      </c>
      <c r="E548">
        <v>10</v>
      </c>
    </row>
    <row r="549" spans="1:5" x14ac:dyDescent="0.25">
      <c r="A549">
        <f t="shared" si="8"/>
        <v>30</v>
      </c>
      <c r="B549" s="12" t="s">
        <v>1019</v>
      </c>
      <c r="D549">
        <v>10</v>
      </c>
      <c r="E549">
        <v>10</v>
      </c>
    </row>
    <row r="550" spans="1:5" x14ac:dyDescent="0.25">
      <c r="A550">
        <f t="shared" si="8"/>
        <v>30</v>
      </c>
      <c r="B550" s="12" t="s">
        <v>1020</v>
      </c>
      <c r="D550">
        <v>10</v>
      </c>
      <c r="E550">
        <v>10</v>
      </c>
    </row>
    <row r="551" spans="1:5" x14ac:dyDescent="0.25">
      <c r="A551">
        <f t="shared" si="8"/>
        <v>30</v>
      </c>
      <c r="B551" s="12" t="s">
        <v>1021</v>
      </c>
      <c r="D551">
        <v>10</v>
      </c>
      <c r="E551">
        <v>10</v>
      </c>
    </row>
    <row r="552" spans="1:5" x14ac:dyDescent="0.25">
      <c r="A552">
        <f t="shared" si="8"/>
        <v>30</v>
      </c>
      <c r="B552" s="12" t="s">
        <v>1022</v>
      </c>
      <c r="D552">
        <v>10</v>
      </c>
      <c r="E552">
        <v>10</v>
      </c>
    </row>
    <row r="553" spans="1:5" x14ac:dyDescent="0.25">
      <c r="A553">
        <f t="shared" si="8"/>
        <v>33</v>
      </c>
      <c r="B553" s="12" t="s">
        <v>657</v>
      </c>
      <c r="C553">
        <v>10</v>
      </c>
      <c r="D553">
        <v>10</v>
      </c>
      <c r="E553">
        <v>20</v>
      </c>
    </row>
    <row r="554" spans="1:5" x14ac:dyDescent="0.25">
      <c r="A554">
        <f t="shared" si="8"/>
        <v>33</v>
      </c>
      <c r="B554" s="12" t="s">
        <v>658</v>
      </c>
      <c r="C554">
        <v>10</v>
      </c>
      <c r="D554">
        <v>10</v>
      </c>
      <c r="E554">
        <v>20</v>
      </c>
    </row>
    <row r="555" spans="1:5" x14ac:dyDescent="0.25">
      <c r="A555">
        <f t="shared" si="8"/>
        <v>33</v>
      </c>
      <c r="B555" s="12" t="s">
        <v>659</v>
      </c>
      <c r="C555">
        <v>10</v>
      </c>
      <c r="D555">
        <v>10</v>
      </c>
      <c r="E555">
        <v>20</v>
      </c>
    </row>
    <row r="556" spans="1:5" x14ac:dyDescent="0.25">
      <c r="A556">
        <f t="shared" si="8"/>
        <v>48</v>
      </c>
      <c r="B556" s="12" t="s">
        <v>660</v>
      </c>
      <c r="C556">
        <v>10</v>
      </c>
      <c r="D556">
        <v>60</v>
      </c>
      <c r="E556">
        <v>70</v>
      </c>
    </row>
    <row r="557" spans="1:5" x14ac:dyDescent="0.25">
      <c r="A557">
        <f t="shared" si="8"/>
        <v>33</v>
      </c>
      <c r="B557" s="12" t="s">
        <v>661</v>
      </c>
      <c r="C557">
        <v>10</v>
      </c>
      <c r="D557">
        <v>10</v>
      </c>
      <c r="E557">
        <v>20</v>
      </c>
    </row>
    <row r="558" spans="1:5" x14ac:dyDescent="0.25">
      <c r="A558">
        <f t="shared" si="8"/>
        <v>0</v>
      </c>
      <c r="B558" s="12" t="s">
        <v>662</v>
      </c>
      <c r="C558">
        <v>0</v>
      </c>
      <c r="D558">
        <v>0</v>
      </c>
      <c r="E558">
        <v>0</v>
      </c>
    </row>
    <row r="559" spans="1:5" x14ac:dyDescent="0.25">
      <c r="A559">
        <f t="shared" si="8"/>
        <v>0</v>
      </c>
      <c r="B559" s="12" t="s">
        <v>663</v>
      </c>
      <c r="C559">
        <v>0</v>
      </c>
      <c r="D559">
        <v>0</v>
      </c>
      <c r="E559">
        <v>0</v>
      </c>
    </row>
    <row r="560" spans="1:5" x14ac:dyDescent="0.25">
      <c r="A560">
        <f t="shared" si="8"/>
        <v>0</v>
      </c>
      <c r="B560" s="12" t="s">
        <v>664</v>
      </c>
      <c r="C560">
        <v>0</v>
      </c>
      <c r="D560">
        <v>0</v>
      </c>
      <c r="E560">
        <v>0</v>
      </c>
    </row>
    <row r="561" spans="1:5" x14ac:dyDescent="0.25">
      <c r="A561">
        <f t="shared" si="8"/>
        <v>0</v>
      </c>
      <c r="B561" s="12" t="s">
        <v>665</v>
      </c>
      <c r="C561">
        <v>0</v>
      </c>
      <c r="D561">
        <v>0</v>
      </c>
      <c r="E561">
        <v>0</v>
      </c>
    </row>
    <row r="562" spans="1:5" x14ac:dyDescent="0.25">
      <c r="A562">
        <f t="shared" si="8"/>
        <v>0</v>
      </c>
      <c r="B562" s="12" t="s">
        <v>666</v>
      </c>
      <c r="C562">
        <v>0</v>
      </c>
      <c r="D562">
        <v>0</v>
      </c>
      <c r="E562">
        <v>0</v>
      </c>
    </row>
    <row r="563" spans="1:5" x14ac:dyDescent="0.25">
      <c r="A563">
        <f t="shared" si="8"/>
        <v>60</v>
      </c>
      <c r="B563" s="12" t="s">
        <v>1024</v>
      </c>
      <c r="D563">
        <v>20</v>
      </c>
      <c r="E563">
        <v>20</v>
      </c>
    </row>
    <row r="564" spans="1:5" x14ac:dyDescent="0.25">
      <c r="A564">
        <f t="shared" si="8"/>
        <v>0</v>
      </c>
      <c r="B564" s="12" t="s">
        <v>668</v>
      </c>
      <c r="C564">
        <v>0</v>
      </c>
      <c r="E564">
        <v>0</v>
      </c>
    </row>
    <row r="565" spans="1:5" x14ac:dyDescent="0.25">
      <c r="A565">
        <f t="shared" si="8"/>
        <v>0</v>
      </c>
      <c r="B565" s="12" t="s">
        <v>670</v>
      </c>
      <c r="C565">
        <v>0</v>
      </c>
      <c r="D565">
        <v>0</v>
      </c>
      <c r="E565">
        <v>0</v>
      </c>
    </row>
    <row r="566" spans="1:5" x14ac:dyDescent="0.25">
      <c r="A566">
        <f t="shared" si="8"/>
        <v>3</v>
      </c>
      <c r="B566" s="12" t="s">
        <v>671</v>
      </c>
      <c r="C566">
        <v>0</v>
      </c>
      <c r="D566">
        <v>10</v>
      </c>
      <c r="E566">
        <v>10</v>
      </c>
    </row>
    <row r="567" spans="1:5" x14ac:dyDescent="0.25">
      <c r="A567">
        <f t="shared" si="8"/>
        <v>35.1</v>
      </c>
      <c r="B567" s="12" t="s">
        <v>672</v>
      </c>
      <c r="C567">
        <v>0</v>
      </c>
      <c r="D567">
        <v>117.00000000000001</v>
      </c>
      <c r="E567">
        <v>117.00000000000001</v>
      </c>
    </row>
    <row r="568" spans="1:5" x14ac:dyDescent="0.25">
      <c r="A568">
        <f t="shared" si="8"/>
        <v>4.8</v>
      </c>
      <c r="B568" s="12" t="s">
        <v>674</v>
      </c>
      <c r="C568">
        <v>0</v>
      </c>
      <c r="D568">
        <v>16</v>
      </c>
      <c r="E568">
        <v>16</v>
      </c>
    </row>
    <row r="569" spans="1:5" x14ac:dyDescent="0.25">
      <c r="A569">
        <f t="shared" si="8"/>
        <v>30</v>
      </c>
      <c r="B569" s="12" t="s">
        <v>1028</v>
      </c>
      <c r="D569">
        <v>10</v>
      </c>
      <c r="E569">
        <v>10</v>
      </c>
    </row>
    <row r="570" spans="1:5" x14ac:dyDescent="0.25">
      <c r="A570">
        <f t="shared" si="8"/>
        <v>0</v>
      </c>
      <c r="B570" s="12" t="s">
        <v>676</v>
      </c>
      <c r="C570">
        <v>0</v>
      </c>
      <c r="D570">
        <v>0</v>
      </c>
      <c r="E570">
        <v>0</v>
      </c>
    </row>
    <row r="571" spans="1:5" x14ac:dyDescent="0.25">
      <c r="A571">
        <f t="shared" si="8"/>
        <v>0</v>
      </c>
      <c r="B571" s="12" t="s">
        <v>677</v>
      </c>
      <c r="C571">
        <v>0</v>
      </c>
      <c r="D571">
        <v>0</v>
      </c>
      <c r="E571">
        <v>0</v>
      </c>
    </row>
    <row r="572" spans="1:5" x14ac:dyDescent="0.25">
      <c r="A572">
        <f t="shared" si="8"/>
        <v>0</v>
      </c>
      <c r="B572" s="12" t="s">
        <v>678</v>
      </c>
      <c r="C572">
        <v>0</v>
      </c>
      <c r="D572">
        <v>0</v>
      </c>
      <c r="E572">
        <v>0</v>
      </c>
    </row>
    <row r="573" spans="1:5" x14ac:dyDescent="0.25">
      <c r="A573">
        <f t="shared" si="8"/>
        <v>30</v>
      </c>
      <c r="B573" s="12" t="s">
        <v>679</v>
      </c>
      <c r="C573">
        <v>10</v>
      </c>
      <c r="D573">
        <v>0</v>
      </c>
      <c r="E573">
        <v>10</v>
      </c>
    </row>
    <row r="574" spans="1:5" x14ac:dyDescent="0.25">
      <c r="A574">
        <f t="shared" si="8"/>
        <v>3</v>
      </c>
      <c r="B574" s="12" t="s">
        <v>680</v>
      </c>
      <c r="C574">
        <v>0</v>
      </c>
      <c r="D574">
        <v>10</v>
      </c>
      <c r="E574">
        <v>10</v>
      </c>
    </row>
    <row r="575" spans="1:5" x14ac:dyDescent="0.25">
      <c r="A575">
        <f t="shared" si="8"/>
        <v>33</v>
      </c>
      <c r="B575" s="12" t="s">
        <v>681</v>
      </c>
      <c r="C575">
        <v>11</v>
      </c>
      <c r="D575">
        <v>0</v>
      </c>
      <c r="E575">
        <v>11</v>
      </c>
    </row>
    <row r="576" spans="1:5" x14ac:dyDescent="0.25">
      <c r="A576">
        <f t="shared" si="8"/>
        <v>62.099999999999987</v>
      </c>
      <c r="B576" s="12" t="s">
        <v>682</v>
      </c>
      <c r="C576">
        <v>0</v>
      </c>
      <c r="D576">
        <v>206.99999999999997</v>
      </c>
      <c r="E576">
        <v>206.99999999999997</v>
      </c>
    </row>
    <row r="577" spans="1:5" x14ac:dyDescent="0.25">
      <c r="A577">
        <f t="shared" si="8"/>
        <v>33</v>
      </c>
      <c r="B577" s="12" t="s">
        <v>684</v>
      </c>
      <c r="C577">
        <v>11</v>
      </c>
      <c r="D577">
        <v>0</v>
      </c>
      <c r="E577">
        <v>11</v>
      </c>
    </row>
    <row r="578" spans="1:5" x14ac:dyDescent="0.25">
      <c r="A578">
        <f t="shared" si="8"/>
        <v>0</v>
      </c>
      <c r="B578" s="12" t="s">
        <v>685</v>
      </c>
      <c r="C578">
        <v>0</v>
      </c>
      <c r="D578">
        <v>0</v>
      </c>
      <c r="E578">
        <v>0</v>
      </c>
    </row>
    <row r="579" spans="1:5" x14ac:dyDescent="0.25">
      <c r="A579">
        <f t="shared" si="8"/>
        <v>33</v>
      </c>
      <c r="B579" s="12" t="s">
        <v>686</v>
      </c>
      <c r="C579">
        <v>10</v>
      </c>
      <c r="D579">
        <v>10</v>
      </c>
      <c r="E579">
        <v>20</v>
      </c>
    </row>
    <row r="580" spans="1:5" x14ac:dyDescent="0.25">
      <c r="A580">
        <f t="shared" si="8"/>
        <v>0</v>
      </c>
      <c r="B580" s="12" t="s">
        <v>687</v>
      </c>
      <c r="C580">
        <v>0</v>
      </c>
      <c r="D580">
        <v>0</v>
      </c>
      <c r="E580">
        <v>0</v>
      </c>
    </row>
    <row r="581" spans="1:5" x14ac:dyDescent="0.25">
      <c r="A581">
        <f t="shared" si="8"/>
        <v>33</v>
      </c>
      <c r="B581" s="12" t="s">
        <v>688</v>
      </c>
      <c r="C581">
        <v>10</v>
      </c>
      <c r="D581">
        <v>10</v>
      </c>
      <c r="E581">
        <v>20</v>
      </c>
    </row>
    <row r="582" spans="1:5" x14ac:dyDescent="0.25">
      <c r="A582">
        <f t="shared" si="8"/>
        <v>0</v>
      </c>
      <c r="B582" s="12" t="s">
        <v>689</v>
      </c>
      <c r="C582">
        <v>0</v>
      </c>
      <c r="E582">
        <v>0</v>
      </c>
    </row>
    <row r="583" spans="1:5" x14ac:dyDescent="0.25">
      <c r="A583">
        <f t="shared" ref="A583:A633" si="9">IF(C583="",SUMPRODUCT($C$1:$D$1,$C583:$D583),SUMPRODUCT($C$2:$D$2,$C583:$D583))</f>
        <v>95.999999999999986</v>
      </c>
      <c r="B583" s="12" t="s">
        <v>691</v>
      </c>
      <c r="C583">
        <v>30.999999999999996</v>
      </c>
      <c r="D583">
        <v>10</v>
      </c>
      <c r="E583">
        <v>41</v>
      </c>
    </row>
    <row r="584" spans="1:5" x14ac:dyDescent="0.25">
      <c r="A584">
        <f t="shared" si="9"/>
        <v>33</v>
      </c>
      <c r="B584" s="12" t="s">
        <v>692</v>
      </c>
      <c r="C584">
        <v>10</v>
      </c>
      <c r="D584">
        <v>10</v>
      </c>
      <c r="E584">
        <v>20</v>
      </c>
    </row>
    <row r="585" spans="1:5" x14ac:dyDescent="0.25">
      <c r="A585">
        <f t="shared" si="9"/>
        <v>30</v>
      </c>
      <c r="B585" s="12" t="s">
        <v>693</v>
      </c>
      <c r="C585">
        <v>10</v>
      </c>
      <c r="D585">
        <v>0</v>
      </c>
      <c r="E585">
        <v>10</v>
      </c>
    </row>
    <row r="586" spans="1:5" x14ac:dyDescent="0.25">
      <c r="A586">
        <f t="shared" si="9"/>
        <v>33</v>
      </c>
      <c r="B586" s="12" t="s">
        <v>694</v>
      </c>
      <c r="C586">
        <v>10</v>
      </c>
      <c r="D586">
        <v>10</v>
      </c>
      <c r="E586">
        <v>20</v>
      </c>
    </row>
    <row r="587" spans="1:5" x14ac:dyDescent="0.25">
      <c r="A587">
        <f t="shared" si="9"/>
        <v>0</v>
      </c>
      <c r="B587" s="12" t="s">
        <v>695</v>
      </c>
      <c r="C587">
        <v>0</v>
      </c>
      <c r="E587">
        <v>0</v>
      </c>
    </row>
    <row r="588" spans="1:5" x14ac:dyDescent="0.25">
      <c r="A588">
        <f t="shared" si="9"/>
        <v>3</v>
      </c>
      <c r="B588" s="12" t="s">
        <v>697</v>
      </c>
      <c r="C588">
        <v>0</v>
      </c>
      <c r="D588">
        <v>10</v>
      </c>
      <c r="E588">
        <v>10</v>
      </c>
    </row>
    <row r="589" spans="1:5" x14ac:dyDescent="0.25">
      <c r="A589">
        <f t="shared" si="9"/>
        <v>3</v>
      </c>
      <c r="B589" s="12" t="s">
        <v>698</v>
      </c>
      <c r="C589">
        <v>0</v>
      </c>
      <c r="D589">
        <v>10</v>
      </c>
      <c r="E589">
        <v>10</v>
      </c>
    </row>
    <row r="590" spans="1:5" x14ac:dyDescent="0.25">
      <c r="A590">
        <f t="shared" si="9"/>
        <v>0</v>
      </c>
      <c r="B590" s="12" t="s">
        <v>700</v>
      </c>
      <c r="C590">
        <v>0</v>
      </c>
      <c r="D590">
        <v>0</v>
      </c>
      <c r="E590">
        <v>0</v>
      </c>
    </row>
    <row r="591" spans="1:5" x14ac:dyDescent="0.25">
      <c r="A591">
        <f t="shared" si="9"/>
        <v>33</v>
      </c>
      <c r="B591" s="12" t="s">
        <v>701</v>
      </c>
      <c r="C591">
        <v>10</v>
      </c>
      <c r="D591">
        <v>10</v>
      </c>
      <c r="E591">
        <v>20</v>
      </c>
    </row>
    <row r="592" spans="1:5" x14ac:dyDescent="0.25">
      <c r="A592">
        <f t="shared" si="9"/>
        <v>0</v>
      </c>
      <c r="B592" s="12" t="s">
        <v>702</v>
      </c>
      <c r="C592">
        <v>0</v>
      </c>
      <c r="D592">
        <v>0</v>
      </c>
      <c r="E592">
        <v>0</v>
      </c>
    </row>
    <row r="593" spans="1:5" x14ac:dyDescent="0.25">
      <c r="A593">
        <f t="shared" si="9"/>
        <v>0</v>
      </c>
      <c r="B593" s="12" t="s">
        <v>703</v>
      </c>
      <c r="C593">
        <v>0</v>
      </c>
      <c r="D593">
        <v>0</v>
      </c>
      <c r="E593">
        <v>0</v>
      </c>
    </row>
    <row r="594" spans="1:5" x14ac:dyDescent="0.25">
      <c r="A594">
        <f t="shared" si="9"/>
        <v>9</v>
      </c>
      <c r="B594" s="12" t="s">
        <v>704</v>
      </c>
      <c r="C594">
        <v>0</v>
      </c>
      <c r="D594">
        <v>30</v>
      </c>
      <c r="E594">
        <v>30</v>
      </c>
    </row>
    <row r="595" spans="1:5" x14ac:dyDescent="0.25">
      <c r="A595">
        <f t="shared" si="9"/>
        <v>3</v>
      </c>
      <c r="B595" s="12" t="s">
        <v>706</v>
      </c>
      <c r="C595">
        <v>0</v>
      </c>
      <c r="D595">
        <v>10</v>
      </c>
      <c r="E595">
        <v>10</v>
      </c>
    </row>
    <row r="596" spans="1:5" x14ac:dyDescent="0.25">
      <c r="A596">
        <f t="shared" si="9"/>
        <v>3</v>
      </c>
      <c r="B596" s="12" t="s">
        <v>707</v>
      </c>
      <c r="C596">
        <v>0</v>
      </c>
      <c r="D596">
        <v>10</v>
      </c>
      <c r="E596">
        <v>10</v>
      </c>
    </row>
    <row r="597" spans="1:5" x14ac:dyDescent="0.25">
      <c r="A597">
        <f t="shared" si="9"/>
        <v>0</v>
      </c>
      <c r="B597" s="12" t="s">
        <v>709</v>
      </c>
      <c r="C597">
        <v>0</v>
      </c>
      <c r="D597">
        <v>0</v>
      </c>
      <c r="E597">
        <v>0</v>
      </c>
    </row>
    <row r="598" spans="1:5" x14ac:dyDescent="0.25">
      <c r="A598">
        <f t="shared" si="9"/>
        <v>3</v>
      </c>
      <c r="B598" s="12" t="s">
        <v>710</v>
      </c>
      <c r="C598">
        <v>0</v>
      </c>
      <c r="D598">
        <v>10</v>
      </c>
      <c r="E598">
        <v>10</v>
      </c>
    </row>
    <row r="599" spans="1:5" x14ac:dyDescent="0.25">
      <c r="A599">
        <f t="shared" si="9"/>
        <v>60</v>
      </c>
      <c r="B599" s="12" t="s">
        <v>711</v>
      </c>
      <c r="C599">
        <v>20</v>
      </c>
      <c r="D599">
        <v>0</v>
      </c>
      <c r="E599">
        <v>20</v>
      </c>
    </row>
    <row r="600" spans="1:5" x14ac:dyDescent="0.25">
      <c r="A600">
        <f t="shared" si="9"/>
        <v>3</v>
      </c>
      <c r="B600" s="12" t="s">
        <v>712</v>
      </c>
      <c r="C600">
        <v>0</v>
      </c>
      <c r="D600">
        <v>10</v>
      </c>
      <c r="E600">
        <v>10</v>
      </c>
    </row>
    <row r="601" spans="1:5" x14ac:dyDescent="0.25">
      <c r="A601">
        <f t="shared" si="9"/>
        <v>33</v>
      </c>
      <c r="B601" s="12" t="s">
        <v>713</v>
      </c>
      <c r="C601">
        <v>10</v>
      </c>
      <c r="D601">
        <v>10</v>
      </c>
      <c r="E601">
        <v>20</v>
      </c>
    </row>
    <row r="602" spans="1:5" x14ac:dyDescent="0.25">
      <c r="A602">
        <f t="shared" si="9"/>
        <v>3</v>
      </c>
      <c r="B602" s="12" t="s">
        <v>714</v>
      </c>
      <c r="C602">
        <v>0</v>
      </c>
      <c r="D602">
        <v>10</v>
      </c>
      <c r="E602">
        <v>10</v>
      </c>
    </row>
    <row r="603" spans="1:5" x14ac:dyDescent="0.25">
      <c r="A603">
        <f t="shared" si="9"/>
        <v>33</v>
      </c>
      <c r="B603" s="12" t="s">
        <v>715</v>
      </c>
      <c r="C603">
        <v>10</v>
      </c>
      <c r="D603">
        <v>10</v>
      </c>
      <c r="E603">
        <v>20</v>
      </c>
    </row>
    <row r="604" spans="1:5" x14ac:dyDescent="0.25">
      <c r="A604">
        <f t="shared" si="9"/>
        <v>3</v>
      </c>
      <c r="B604" s="12" t="s">
        <v>716</v>
      </c>
      <c r="C604">
        <v>0</v>
      </c>
      <c r="D604">
        <v>10</v>
      </c>
      <c r="E604">
        <v>10</v>
      </c>
    </row>
    <row r="605" spans="1:5" x14ac:dyDescent="0.25">
      <c r="A605">
        <f t="shared" si="9"/>
        <v>0</v>
      </c>
      <c r="B605" s="12" t="s">
        <v>717</v>
      </c>
      <c r="C605">
        <v>0</v>
      </c>
      <c r="D605">
        <v>0</v>
      </c>
      <c r="E605">
        <v>0</v>
      </c>
    </row>
    <row r="606" spans="1:5" x14ac:dyDescent="0.25">
      <c r="A606">
        <f t="shared" si="9"/>
        <v>4.5</v>
      </c>
      <c r="B606" s="12" t="s">
        <v>718</v>
      </c>
      <c r="C606">
        <v>0</v>
      </c>
      <c r="D606">
        <v>15</v>
      </c>
      <c r="E606">
        <v>15</v>
      </c>
    </row>
    <row r="607" spans="1:5" x14ac:dyDescent="0.25">
      <c r="A607">
        <f t="shared" si="9"/>
        <v>33</v>
      </c>
      <c r="B607" s="12" t="s">
        <v>719</v>
      </c>
      <c r="C607">
        <v>10</v>
      </c>
      <c r="D607">
        <v>10</v>
      </c>
      <c r="E607">
        <v>20</v>
      </c>
    </row>
    <row r="608" spans="1:5" x14ac:dyDescent="0.25">
      <c r="A608">
        <f t="shared" si="9"/>
        <v>180</v>
      </c>
      <c r="B608" s="12" t="s">
        <v>720</v>
      </c>
      <c r="C608">
        <v>60</v>
      </c>
      <c r="E608">
        <v>60</v>
      </c>
    </row>
    <row r="609" spans="1:5" x14ac:dyDescent="0.25">
      <c r="A609">
        <f t="shared" si="9"/>
        <v>0</v>
      </c>
      <c r="B609" s="12" t="s">
        <v>721</v>
      </c>
      <c r="C609">
        <v>0</v>
      </c>
      <c r="D609">
        <v>0</v>
      </c>
      <c r="E609">
        <v>0</v>
      </c>
    </row>
    <row r="610" spans="1:5" x14ac:dyDescent="0.25">
      <c r="A610">
        <f t="shared" si="9"/>
        <v>92.999999999999986</v>
      </c>
      <c r="B610" s="12" t="s">
        <v>1032</v>
      </c>
      <c r="D610">
        <v>30.999999999999996</v>
      </c>
      <c r="E610">
        <v>30.999999999999996</v>
      </c>
    </row>
    <row r="611" spans="1:5" x14ac:dyDescent="0.25">
      <c r="A611">
        <f t="shared" si="9"/>
        <v>28.200000000000003</v>
      </c>
      <c r="B611" s="12" t="s">
        <v>722</v>
      </c>
      <c r="C611">
        <v>0</v>
      </c>
      <c r="D611">
        <v>94.000000000000014</v>
      </c>
      <c r="E611">
        <v>94.000000000000014</v>
      </c>
    </row>
    <row r="612" spans="1:5" x14ac:dyDescent="0.25">
      <c r="A612">
        <f t="shared" si="9"/>
        <v>0</v>
      </c>
      <c r="B612" s="12" t="s">
        <v>724</v>
      </c>
      <c r="C612">
        <v>0</v>
      </c>
      <c r="D612">
        <v>0</v>
      </c>
      <c r="E612">
        <v>0</v>
      </c>
    </row>
    <row r="613" spans="1:5" x14ac:dyDescent="0.25">
      <c r="A613">
        <f t="shared" si="9"/>
        <v>111</v>
      </c>
      <c r="B613" s="12" t="s">
        <v>1035</v>
      </c>
      <c r="D613">
        <v>37</v>
      </c>
      <c r="E613">
        <v>37</v>
      </c>
    </row>
    <row r="614" spans="1:5" x14ac:dyDescent="0.25">
      <c r="A614">
        <f t="shared" si="9"/>
        <v>3</v>
      </c>
      <c r="B614" s="12" t="s">
        <v>725</v>
      </c>
      <c r="C614">
        <v>0</v>
      </c>
      <c r="D614">
        <v>10</v>
      </c>
      <c r="E614">
        <v>10</v>
      </c>
    </row>
    <row r="615" spans="1:5" x14ac:dyDescent="0.25">
      <c r="A615">
        <f t="shared" si="9"/>
        <v>33</v>
      </c>
      <c r="B615" s="12" t="s">
        <v>726</v>
      </c>
      <c r="C615">
        <v>10</v>
      </c>
      <c r="D615">
        <v>10</v>
      </c>
      <c r="E615">
        <v>20</v>
      </c>
    </row>
    <row r="616" spans="1:5" x14ac:dyDescent="0.25">
      <c r="A616">
        <f t="shared" si="9"/>
        <v>0</v>
      </c>
      <c r="B616" s="12" t="s">
        <v>727</v>
      </c>
      <c r="C616">
        <v>0</v>
      </c>
      <c r="E616">
        <v>0</v>
      </c>
    </row>
    <row r="617" spans="1:5" x14ac:dyDescent="0.25">
      <c r="A617">
        <f t="shared" si="9"/>
        <v>0</v>
      </c>
      <c r="B617" s="12" t="s">
        <v>729</v>
      </c>
      <c r="C617">
        <v>0</v>
      </c>
      <c r="E617">
        <v>0</v>
      </c>
    </row>
    <row r="618" spans="1:5" x14ac:dyDescent="0.25">
      <c r="A618">
        <f t="shared" si="9"/>
        <v>0</v>
      </c>
      <c r="B618" s="12" t="s">
        <v>731</v>
      </c>
      <c r="C618">
        <v>0</v>
      </c>
      <c r="E618">
        <v>0</v>
      </c>
    </row>
    <row r="619" spans="1:5" x14ac:dyDescent="0.25">
      <c r="A619">
        <f t="shared" si="9"/>
        <v>0</v>
      </c>
      <c r="B619" s="12" t="s">
        <v>732</v>
      </c>
      <c r="C619">
        <v>0</v>
      </c>
      <c r="D619">
        <v>0</v>
      </c>
      <c r="E619">
        <v>0</v>
      </c>
    </row>
    <row r="620" spans="1:5" x14ac:dyDescent="0.25">
      <c r="A620">
        <f t="shared" si="9"/>
        <v>0</v>
      </c>
      <c r="B620" s="12" t="s">
        <v>733</v>
      </c>
      <c r="C620">
        <v>0</v>
      </c>
      <c r="E620">
        <v>0</v>
      </c>
    </row>
    <row r="621" spans="1:5" x14ac:dyDescent="0.25">
      <c r="A621">
        <f t="shared" si="9"/>
        <v>36</v>
      </c>
      <c r="B621" s="12" t="s">
        <v>735</v>
      </c>
      <c r="C621">
        <v>11</v>
      </c>
      <c r="D621">
        <v>10</v>
      </c>
      <c r="E621">
        <v>21</v>
      </c>
    </row>
    <row r="622" spans="1:5" x14ac:dyDescent="0.25">
      <c r="A622">
        <f t="shared" si="9"/>
        <v>30</v>
      </c>
      <c r="B622" s="12" t="s">
        <v>738</v>
      </c>
      <c r="C622">
        <v>10</v>
      </c>
      <c r="D622">
        <v>0</v>
      </c>
      <c r="E622">
        <v>10</v>
      </c>
    </row>
    <row r="623" spans="1:5" x14ac:dyDescent="0.25">
      <c r="A623">
        <f t="shared" si="9"/>
        <v>33</v>
      </c>
      <c r="B623" s="12" t="s">
        <v>739</v>
      </c>
      <c r="C623">
        <v>11</v>
      </c>
      <c r="D623">
        <v>0</v>
      </c>
      <c r="E623">
        <v>11</v>
      </c>
    </row>
    <row r="624" spans="1:5" x14ac:dyDescent="0.25">
      <c r="A624">
        <f t="shared" si="9"/>
        <v>51</v>
      </c>
      <c r="B624" s="12" t="s">
        <v>741</v>
      </c>
      <c r="C624">
        <v>15</v>
      </c>
      <c r="D624">
        <v>20</v>
      </c>
      <c r="E624">
        <v>35</v>
      </c>
    </row>
    <row r="625" spans="1:5" x14ac:dyDescent="0.25">
      <c r="A625">
        <f t="shared" si="9"/>
        <v>0</v>
      </c>
      <c r="B625" s="12" t="s">
        <v>742</v>
      </c>
      <c r="C625">
        <v>0</v>
      </c>
      <c r="D625">
        <v>0</v>
      </c>
      <c r="E625">
        <v>0</v>
      </c>
    </row>
    <row r="626" spans="1:5" x14ac:dyDescent="0.25">
      <c r="A626">
        <f t="shared" si="9"/>
        <v>0</v>
      </c>
      <c r="B626" s="12" t="s">
        <v>743</v>
      </c>
      <c r="C626">
        <v>0</v>
      </c>
      <c r="E626">
        <v>0</v>
      </c>
    </row>
    <row r="627" spans="1:5" x14ac:dyDescent="0.25">
      <c r="A627">
        <f t="shared" si="9"/>
        <v>0</v>
      </c>
      <c r="B627" s="12" t="s">
        <v>745</v>
      </c>
      <c r="C627">
        <v>0</v>
      </c>
      <c r="D627">
        <v>0</v>
      </c>
      <c r="E627">
        <v>0</v>
      </c>
    </row>
    <row r="628" spans="1:5" x14ac:dyDescent="0.25">
      <c r="A628">
        <f t="shared" si="9"/>
        <v>3</v>
      </c>
      <c r="B628" s="12" t="s">
        <v>746</v>
      </c>
      <c r="C628">
        <v>0</v>
      </c>
      <c r="D628">
        <v>10</v>
      </c>
      <c r="E628">
        <v>10</v>
      </c>
    </row>
    <row r="629" spans="1:5" x14ac:dyDescent="0.25">
      <c r="A629">
        <f t="shared" si="9"/>
        <v>6</v>
      </c>
      <c r="B629" s="12" t="s">
        <v>747</v>
      </c>
      <c r="C629">
        <v>0</v>
      </c>
      <c r="D629">
        <v>20</v>
      </c>
      <c r="E629">
        <v>20</v>
      </c>
    </row>
    <row r="630" spans="1:5" x14ac:dyDescent="0.25">
      <c r="A630">
        <f t="shared" si="9"/>
        <v>48</v>
      </c>
      <c r="B630" s="12" t="s">
        <v>749</v>
      </c>
      <c r="C630">
        <v>16</v>
      </c>
      <c r="D630">
        <v>0</v>
      </c>
      <c r="E630">
        <v>16</v>
      </c>
    </row>
    <row r="631" spans="1:5" x14ac:dyDescent="0.25">
      <c r="A631">
        <f t="shared" si="9"/>
        <v>34.799999999999997</v>
      </c>
      <c r="B631" s="12" t="s">
        <v>750</v>
      </c>
      <c r="C631">
        <v>10</v>
      </c>
      <c r="D631">
        <v>16</v>
      </c>
      <c r="E631">
        <v>26</v>
      </c>
    </row>
    <row r="632" spans="1:5" x14ac:dyDescent="0.25">
      <c r="A632">
        <f t="shared" si="9"/>
        <v>3</v>
      </c>
      <c r="B632" s="12" t="s">
        <v>751</v>
      </c>
      <c r="C632">
        <v>0</v>
      </c>
      <c r="D632">
        <v>10</v>
      </c>
      <c r="E632">
        <v>10</v>
      </c>
    </row>
    <row r="633" spans="1:5" x14ac:dyDescent="0.25">
      <c r="A633">
        <f t="shared" si="9"/>
        <v>33</v>
      </c>
      <c r="B633" s="12" t="s">
        <v>752</v>
      </c>
      <c r="C633">
        <v>10</v>
      </c>
      <c r="D633">
        <v>10</v>
      </c>
      <c r="E633">
        <v>20</v>
      </c>
    </row>
    <row r="634" spans="1:5" x14ac:dyDescent="0.25">
      <c r="B634" s="12" t="s">
        <v>758</v>
      </c>
      <c r="C634">
        <v>0</v>
      </c>
      <c r="D634">
        <v>0</v>
      </c>
      <c r="E634">
        <v>0</v>
      </c>
    </row>
    <row r="635" spans="1:5" x14ac:dyDescent="0.25">
      <c r="B635" s="12" t="s">
        <v>759</v>
      </c>
      <c r="C635">
        <v>8494</v>
      </c>
      <c r="D635">
        <v>13320</v>
      </c>
      <c r="E635">
        <v>21814</v>
      </c>
    </row>
  </sheetData>
  <autoFilter ref="A4:E635" xr:uid="{F17544F0-CA26-48F4-BD9D-D577D3D06943}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9"/>
  <sheetViews>
    <sheetView topLeftCell="A720" workbookViewId="0">
      <selection activeCell="C738" sqref="C738"/>
    </sheetView>
  </sheetViews>
  <sheetFormatPr baseColWidth="10" defaultColWidth="9.140625" defaultRowHeight="15" x14ac:dyDescent="0.25"/>
  <cols>
    <col min="3" max="3" width="78.28515625" bestFit="1" customWidth="1"/>
    <col min="5" max="5" width="5.5703125" bestFit="1" customWidth="1"/>
    <col min="6" max="6" width="59.7109375" customWidth="1"/>
  </cols>
  <sheetData>
    <row r="1" spans="1:6" s="10" customFormat="1" x14ac:dyDescent="0.25">
      <c r="A1" s="10" t="s">
        <v>756</v>
      </c>
      <c r="B1" s="10" t="s">
        <v>761</v>
      </c>
      <c r="C1" s="10" t="s">
        <v>754</v>
      </c>
      <c r="D1" s="10" t="s">
        <v>755</v>
      </c>
    </row>
    <row r="2" spans="1:6" x14ac:dyDescent="0.25">
      <c r="A2" t="s">
        <v>753</v>
      </c>
      <c r="B2" s="13">
        <f t="shared" ref="B2:B65" si="0">D2*24*60</f>
        <v>0</v>
      </c>
      <c r="C2" s="17" t="s">
        <v>0</v>
      </c>
      <c r="D2" s="17"/>
      <c r="E2" s="21" t="s">
        <v>1</v>
      </c>
      <c r="F2" s="1" t="s">
        <v>2</v>
      </c>
    </row>
    <row r="3" spans="1:6" x14ac:dyDescent="0.25">
      <c r="A3" t="s">
        <v>753</v>
      </c>
      <c r="B3" s="13">
        <f t="shared" si="0"/>
        <v>0</v>
      </c>
      <c r="C3" s="18"/>
      <c r="D3" s="18"/>
      <c r="E3" s="22"/>
      <c r="F3" s="2" t="s">
        <v>3</v>
      </c>
    </row>
    <row r="4" spans="1:6" x14ac:dyDescent="0.25">
      <c r="A4" t="s">
        <v>753</v>
      </c>
      <c r="B4" s="13">
        <f t="shared" si="0"/>
        <v>0</v>
      </c>
      <c r="C4" s="3" t="s">
        <v>4</v>
      </c>
      <c r="D4" s="3"/>
      <c r="E4" s="4" t="s">
        <v>1</v>
      </c>
      <c r="F4" s="4" t="s">
        <v>5</v>
      </c>
    </row>
    <row r="5" spans="1:6" x14ac:dyDescent="0.25">
      <c r="A5" t="s">
        <v>753</v>
      </c>
      <c r="B5" s="13">
        <f t="shared" si="0"/>
        <v>10</v>
      </c>
      <c r="C5" s="17" t="s">
        <v>6</v>
      </c>
      <c r="D5" s="19">
        <v>6.9444444444444441E-3</v>
      </c>
      <c r="E5" s="21" t="s">
        <v>1</v>
      </c>
      <c r="F5" s="5" t="s">
        <v>7</v>
      </c>
    </row>
    <row r="6" spans="1:6" x14ac:dyDescent="0.25">
      <c r="A6" t="s">
        <v>753</v>
      </c>
      <c r="B6" s="13">
        <f t="shared" si="0"/>
        <v>0</v>
      </c>
      <c r="C6" s="18"/>
      <c r="D6" s="20"/>
      <c r="E6" s="22"/>
      <c r="F6" s="6" t="s">
        <v>8</v>
      </c>
    </row>
    <row r="7" spans="1:6" x14ac:dyDescent="0.25">
      <c r="A7" t="s">
        <v>753</v>
      </c>
      <c r="B7" s="13">
        <f t="shared" si="0"/>
        <v>0</v>
      </c>
      <c r="C7" s="17" t="s">
        <v>9</v>
      </c>
      <c r="D7" s="17"/>
      <c r="E7" s="21" t="s">
        <v>1</v>
      </c>
      <c r="F7" s="1" t="s">
        <v>2</v>
      </c>
    </row>
    <row r="8" spans="1:6" x14ac:dyDescent="0.25">
      <c r="A8" t="s">
        <v>753</v>
      </c>
      <c r="B8" s="13">
        <f t="shared" si="0"/>
        <v>0</v>
      </c>
      <c r="C8" s="18"/>
      <c r="D8" s="18"/>
      <c r="E8" s="22"/>
      <c r="F8" s="2" t="s">
        <v>10</v>
      </c>
    </row>
    <row r="9" spans="1:6" x14ac:dyDescent="0.25">
      <c r="A9" t="s">
        <v>753</v>
      </c>
      <c r="B9" s="13">
        <f t="shared" si="0"/>
        <v>25</v>
      </c>
      <c r="C9" s="17" t="s">
        <v>11</v>
      </c>
      <c r="D9" s="19">
        <v>1.7361111111111112E-2</v>
      </c>
      <c r="E9" s="21" t="s">
        <v>1</v>
      </c>
      <c r="F9" s="5" t="s">
        <v>12</v>
      </c>
    </row>
    <row r="10" spans="1:6" x14ac:dyDescent="0.25">
      <c r="A10" t="s">
        <v>753</v>
      </c>
      <c r="B10" s="13">
        <f t="shared" si="0"/>
        <v>0</v>
      </c>
      <c r="C10" s="18"/>
      <c r="D10" s="20"/>
      <c r="E10" s="22"/>
      <c r="F10" s="6" t="s">
        <v>13</v>
      </c>
    </row>
    <row r="11" spans="1:6" x14ac:dyDescent="0.25">
      <c r="A11" t="s">
        <v>753</v>
      </c>
      <c r="B11" s="13">
        <f t="shared" si="0"/>
        <v>0</v>
      </c>
      <c r="C11" s="17" t="s">
        <v>14</v>
      </c>
      <c r="D11" s="17"/>
      <c r="E11" s="21" t="s">
        <v>1</v>
      </c>
      <c r="F11" s="1" t="s">
        <v>2</v>
      </c>
    </row>
    <row r="12" spans="1:6" x14ac:dyDescent="0.25">
      <c r="A12" t="s">
        <v>753</v>
      </c>
      <c r="B12" s="13">
        <f t="shared" si="0"/>
        <v>0</v>
      </c>
      <c r="C12" s="18"/>
      <c r="D12" s="18"/>
      <c r="E12" s="22"/>
      <c r="F12" s="2" t="s">
        <v>15</v>
      </c>
    </row>
    <row r="13" spans="1:6" x14ac:dyDescent="0.25">
      <c r="A13" t="s">
        <v>753</v>
      </c>
      <c r="B13" s="13">
        <f t="shared" si="0"/>
        <v>0</v>
      </c>
      <c r="C13" s="3" t="s">
        <v>16</v>
      </c>
      <c r="D13" s="3"/>
      <c r="E13" s="4" t="s">
        <v>1</v>
      </c>
      <c r="F13" s="4" t="s">
        <v>17</v>
      </c>
    </row>
    <row r="14" spans="1:6" x14ac:dyDescent="0.25">
      <c r="A14" t="s">
        <v>753</v>
      </c>
      <c r="B14" s="13">
        <f t="shared" si="0"/>
        <v>0</v>
      </c>
      <c r="C14" s="3" t="s">
        <v>18</v>
      </c>
      <c r="D14" s="3"/>
      <c r="E14" s="4" t="s">
        <v>1</v>
      </c>
      <c r="F14" s="4" t="s">
        <v>17</v>
      </c>
    </row>
    <row r="15" spans="1:6" x14ac:dyDescent="0.25">
      <c r="A15" t="s">
        <v>753</v>
      </c>
      <c r="B15" s="13">
        <f>D15*24*60</f>
        <v>10</v>
      </c>
      <c r="C15" s="3" t="s">
        <v>19</v>
      </c>
      <c r="D15" s="7">
        <v>6.9444444444444441E-3</v>
      </c>
      <c r="E15" s="4" t="s">
        <v>1</v>
      </c>
      <c r="F15" s="8" t="s">
        <v>7</v>
      </c>
    </row>
    <row r="16" spans="1:6" x14ac:dyDescent="0.25">
      <c r="A16" t="s">
        <v>753</v>
      </c>
      <c r="B16" s="13">
        <f t="shared" si="0"/>
        <v>0</v>
      </c>
      <c r="C16" s="17" t="s">
        <v>20</v>
      </c>
      <c r="D16" s="17"/>
      <c r="E16" s="21" t="s">
        <v>1</v>
      </c>
      <c r="F16" s="1" t="s">
        <v>2</v>
      </c>
    </row>
    <row r="17" spans="1:6" x14ac:dyDescent="0.25">
      <c r="A17" t="s">
        <v>753</v>
      </c>
      <c r="B17" s="13">
        <f t="shared" si="0"/>
        <v>0</v>
      </c>
      <c r="C17" s="18"/>
      <c r="D17" s="18"/>
      <c r="E17" s="22"/>
      <c r="F17" s="2" t="s">
        <v>21</v>
      </c>
    </row>
    <row r="18" spans="1:6" x14ac:dyDescent="0.25">
      <c r="A18" t="s">
        <v>753</v>
      </c>
      <c r="B18" s="13">
        <f t="shared" si="0"/>
        <v>0</v>
      </c>
      <c r="C18" s="3" t="s">
        <v>22</v>
      </c>
      <c r="D18" s="3"/>
      <c r="E18" s="4" t="s">
        <v>1</v>
      </c>
      <c r="F18" s="3" t="s">
        <v>23</v>
      </c>
    </row>
    <row r="19" spans="1:6" x14ac:dyDescent="0.25">
      <c r="A19" t="s">
        <v>753</v>
      </c>
      <c r="B19" s="13">
        <f t="shared" si="0"/>
        <v>0</v>
      </c>
      <c r="C19" s="3" t="s">
        <v>24</v>
      </c>
      <c r="D19" s="3"/>
      <c r="E19" s="4" t="s">
        <v>1</v>
      </c>
      <c r="F19" s="4" t="s">
        <v>25</v>
      </c>
    </row>
    <row r="20" spans="1:6" x14ac:dyDescent="0.25">
      <c r="A20" t="s">
        <v>753</v>
      </c>
      <c r="B20" s="13">
        <f t="shared" si="0"/>
        <v>0</v>
      </c>
      <c r="C20" s="3" t="s">
        <v>26</v>
      </c>
      <c r="D20" s="3"/>
      <c r="E20" s="4" t="s">
        <v>1</v>
      </c>
      <c r="F20" s="3" t="s">
        <v>27</v>
      </c>
    </row>
    <row r="21" spans="1:6" x14ac:dyDescent="0.25">
      <c r="A21" t="s">
        <v>753</v>
      </c>
      <c r="B21" s="13">
        <f t="shared" si="0"/>
        <v>25</v>
      </c>
      <c r="C21" s="17" t="s">
        <v>28</v>
      </c>
      <c r="D21" s="19">
        <v>1.7361111111111112E-2</v>
      </c>
      <c r="E21" s="21" t="s">
        <v>1</v>
      </c>
      <c r="F21" s="5" t="s">
        <v>12</v>
      </c>
    </row>
    <row r="22" spans="1:6" x14ac:dyDescent="0.25">
      <c r="A22" t="s">
        <v>753</v>
      </c>
      <c r="B22" s="13">
        <f t="shared" si="0"/>
        <v>0</v>
      </c>
      <c r="C22" s="18"/>
      <c r="D22" s="20"/>
      <c r="E22" s="22"/>
      <c r="F22" s="6" t="s">
        <v>29</v>
      </c>
    </row>
    <row r="23" spans="1:6" x14ac:dyDescent="0.25">
      <c r="A23" t="s">
        <v>753</v>
      </c>
      <c r="B23" s="13">
        <f t="shared" si="0"/>
        <v>10</v>
      </c>
      <c r="C23" s="3" t="s">
        <v>30</v>
      </c>
      <c r="D23" s="7">
        <v>6.9444444444444441E-3</v>
      </c>
      <c r="E23" s="4" t="s">
        <v>1</v>
      </c>
      <c r="F23" s="8" t="s">
        <v>7</v>
      </c>
    </row>
    <row r="24" spans="1:6" x14ac:dyDescent="0.25">
      <c r="A24" t="s">
        <v>753</v>
      </c>
      <c r="B24" s="13">
        <f t="shared" si="0"/>
        <v>0</v>
      </c>
      <c r="C24" s="3" t="s">
        <v>31</v>
      </c>
      <c r="D24" s="3"/>
      <c r="E24" s="4" t="s">
        <v>1</v>
      </c>
      <c r="F24" s="4" t="s">
        <v>17</v>
      </c>
    </row>
    <row r="25" spans="1:6" x14ac:dyDescent="0.25">
      <c r="A25" t="s">
        <v>753</v>
      </c>
      <c r="B25" s="13">
        <f t="shared" si="0"/>
        <v>0</v>
      </c>
      <c r="C25" s="17" t="s">
        <v>32</v>
      </c>
      <c r="D25" s="17"/>
      <c r="E25" s="21" t="s">
        <v>1</v>
      </c>
      <c r="F25" s="1" t="s">
        <v>2</v>
      </c>
    </row>
    <row r="26" spans="1:6" x14ac:dyDescent="0.25">
      <c r="A26" t="s">
        <v>753</v>
      </c>
      <c r="B26" s="13">
        <f t="shared" si="0"/>
        <v>0</v>
      </c>
      <c r="C26" s="18"/>
      <c r="D26" s="18"/>
      <c r="E26" s="22"/>
      <c r="F26" s="2" t="s">
        <v>33</v>
      </c>
    </row>
    <row r="27" spans="1:6" x14ac:dyDescent="0.25">
      <c r="A27" t="s">
        <v>753</v>
      </c>
      <c r="B27" s="13">
        <f t="shared" si="0"/>
        <v>0</v>
      </c>
      <c r="C27" s="3" t="s">
        <v>34</v>
      </c>
      <c r="D27" s="3"/>
      <c r="E27" s="4" t="s">
        <v>1</v>
      </c>
      <c r="F27" s="3" t="s">
        <v>35</v>
      </c>
    </row>
    <row r="28" spans="1:6" x14ac:dyDescent="0.25">
      <c r="A28" t="s">
        <v>753</v>
      </c>
      <c r="B28" s="13">
        <f t="shared" si="0"/>
        <v>0</v>
      </c>
      <c r="C28" s="3" t="s">
        <v>36</v>
      </c>
      <c r="D28" s="3"/>
      <c r="E28" s="4" t="s">
        <v>1</v>
      </c>
      <c r="F28" s="4" t="s">
        <v>25</v>
      </c>
    </row>
    <row r="29" spans="1:6" x14ac:dyDescent="0.25">
      <c r="A29" t="s">
        <v>753</v>
      </c>
      <c r="B29" s="13">
        <f t="shared" si="0"/>
        <v>0</v>
      </c>
      <c r="C29" s="3" t="s">
        <v>37</v>
      </c>
      <c r="D29" s="3"/>
      <c r="E29" s="4" t="s">
        <v>1</v>
      </c>
      <c r="F29" s="4" t="s">
        <v>17</v>
      </c>
    </row>
    <row r="30" spans="1:6" x14ac:dyDescent="0.25">
      <c r="A30" t="s">
        <v>753</v>
      </c>
      <c r="B30" s="13">
        <f t="shared" si="0"/>
        <v>0</v>
      </c>
      <c r="C30" s="3" t="s">
        <v>38</v>
      </c>
      <c r="D30" s="3"/>
      <c r="E30" s="4" t="s">
        <v>1</v>
      </c>
      <c r="F30" s="4" t="s">
        <v>5</v>
      </c>
    </row>
    <row r="31" spans="1:6" x14ac:dyDescent="0.25">
      <c r="A31" t="s">
        <v>753</v>
      </c>
      <c r="B31" s="13">
        <f t="shared" si="0"/>
        <v>0</v>
      </c>
      <c r="C31" s="3" t="s">
        <v>39</v>
      </c>
      <c r="D31" s="3"/>
      <c r="E31" s="4" t="s">
        <v>1</v>
      </c>
      <c r="F31" s="4" t="s">
        <v>25</v>
      </c>
    </row>
    <row r="32" spans="1:6" x14ac:dyDescent="0.25">
      <c r="A32" t="s">
        <v>753</v>
      </c>
      <c r="B32" s="13">
        <f t="shared" si="0"/>
        <v>10</v>
      </c>
      <c r="C32" s="3" t="s">
        <v>40</v>
      </c>
      <c r="D32" s="7">
        <v>6.9444444444444441E-3</v>
      </c>
      <c r="E32" s="4" t="s">
        <v>1</v>
      </c>
      <c r="F32" s="8" t="s">
        <v>7</v>
      </c>
    </row>
    <row r="33" spans="1:6" x14ac:dyDescent="0.25">
      <c r="A33" t="s">
        <v>753</v>
      </c>
      <c r="B33" s="13">
        <f t="shared" si="0"/>
        <v>0</v>
      </c>
      <c r="C33" s="3" t="s">
        <v>41</v>
      </c>
      <c r="D33" s="3"/>
      <c r="E33" s="4" t="s">
        <v>1</v>
      </c>
      <c r="F33" s="4" t="s">
        <v>25</v>
      </c>
    </row>
    <row r="34" spans="1:6" x14ac:dyDescent="0.25">
      <c r="A34" t="s">
        <v>753</v>
      </c>
      <c r="B34" s="13">
        <f t="shared" si="0"/>
        <v>0</v>
      </c>
      <c r="C34" s="17" t="s">
        <v>42</v>
      </c>
      <c r="D34" s="17"/>
      <c r="E34" s="21" t="s">
        <v>1</v>
      </c>
      <c r="F34" s="1" t="s">
        <v>2</v>
      </c>
    </row>
    <row r="35" spans="1:6" x14ac:dyDescent="0.25">
      <c r="A35" t="s">
        <v>753</v>
      </c>
      <c r="B35" s="13">
        <f t="shared" si="0"/>
        <v>0</v>
      </c>
      <c r="C35" s="18"/>
      <c r="D35" s="18"/>
      <c r="E35" s="22"/>
      <c r="F35" s="2" t="s">
        <v>43</v>
      </c>
    </row>
    <row r="36" spans="1:6" x14ac:dyDescent="0.25">
      <c r="A36" t="s">
        <v>753</v>
      </c>
      <c r="B36" s="13">
        <f t="shared" si="0"/>
        <v>0</v>
      </c>
      <c r="C36" s="3" t="s">
        <v>44</v>
      </c>
      <c r="D36" s="3"/>
      <c r="E36" s="4" t="s">
        <v>1</v>
      </c>
      <c r="F36" s="4" t="s">
        <v>5</v>
      </c>
    </row>
    <row r="37" spans="1:6" x14ac:dyDescent="0.25">
      <c r="A37" t="s">
        <v>753</v>
      </c>
      <c r="B37" s="13">
        <f t="shared" si="0"/>
        <v>0</v>
      </c>
      <c r="C37" s="17" t="s">
        <v>45</v>
      </c>
      <c r="D37" s="17"/>
      <c r="E37" s="21" t="s">
        <v>1</v>
      </c>
      <c r="F37" s="1" t="s">
        <v>25</v>
      </c>
    </row>
    <row r="38" spans="1:6" x14ac:dyDescent="0.25">
      <c r="A38" t="s">
        <v>753</v>
      </c>
      <c r="B38" s="13">
        <f t="shared" si="0"/>
        <v>0</v>
      </c>
      <c r="C38" s="18"/>
      <c r="D38" s="18"/>
      <c r="E38" s="22"/>
      <c r="F38" s="2" t="s">
        <v>8</v>
      </c>
    </row>
    <row r="39" spans="1:6" x14ac:dyDescent="0.25">
      <c r="A39" t="s">
        <v>753</v>
      </c>
      <c r="B39" s="13">
        <f t="shared" si="0"/>
        <v>0</v>
      </c>
      <c r="C39" s="3" t="s">
        <v>46</v>
      </c>
      <c r="D39" s="3"/>
      <c r="E39" s="4" t="s">
        <v>1</v>
      </c>
      <c r="F39" s="4" t="s">
        <v>17</v>
      </c>
    </row>
    <row r="40" spans="1:6" x14ac:dyDescent="0.25">
      <c r="A40" t="s">
        <v>753</v>
      </c>
      <c r="B40" s="13">
        <f t="shared" si="0"/>
        <v>0</v>
      </c>
      <c r="C40" s="3" t="s">
        <v>47</v>
      </c>
      <c r="D40" s="3"/>
      <c r="E40" s="4" t="s">
        <v>1</v>
      </c>
      <c r="F40" s="4" t="s">
        <v>25</v>
      </c>
    </row>
    <row r="41" spans="1:6" x14ac:dyDescent="0.25">
      <c r="A41" t="s">
        <v>753</v>
      </c>
      <c r="B41" s="13">
        <f t="shared" si="0"/>
        <v>0</v>
      </c>
      <c r="C41" s="3" t="s">
        <v>48</v>
      </c>
      <c r="D41" s="3"/>
      <c r="E41" s="4" t="s">
        <v>1</v>
      </c>
      <c r="F41" s="4" t="s">
        <v>5</v>
      </c>
    </row>
    <row r="42" spans="1:6" x14ac:dyDescent="0.25">
      <c r="A42" t="s">
        <v>753</v>
      </c>
      <c r="B42" s="13">
        <f t="shared" si="0"/>
        <v>0</v>
      </c>
      <c r="C42" s="3" t="s">
        <v>49</v>
      </c>
      <c r="D42" s="3"/>
      <c r="E42" s="4" t="s">
        <v>1</v>
      </c>
      <c r="F42" s="4" t="s">
        <v>5</v>
      </c>
    </row>
    <row r="43" spans="1:6" x14ac:dyDescent="0.25">
      <c r="A43" t="s">
        <v>753</v>
      </c>
      <c r="B43" s="13">
        <f t="shared" si="0"/>
        <v>0</v>
      </c>
      <c r="C43" s="17" t="s">
        <v>50</v>
      </c>
      <c r="D43" s="17"/>
      <c r="E43" s="21" t="s">
        <v>1</v>
      </c>
      <c r="F43" s="1" t="s">
        <v>25</v>
      </c>
    </row>
    <row r="44" spans="1:6" x14ac:dyDescent="0.25">
      <c r="A44" t="s">
        <v>753</v>
      </c>
      <c r="B44" s="13">
        <f t="shared" si="0"/>
        <v>0</v>
      </c>
      <c r="C44" s="18"/>
      <c r="D44" s="18"/>
      <c r="E44" s="22"/>
      <c r="F44" s="2" t="s">
        <v>8</v>
      </c>
    </row>
    <row r="45" spans="1:6" x14ac:dyDescent="0.25">
      <c r="A45" t="s">
        <v>753</v>
      </c>
      <c r="B45" s="13">
        <f t="shared" si="0"/>
        <v>95.000000000000014</v>
      </c>
      <c r="C45" s="17" t="s">
        <v>51</v>
      </c>
      <c r="D45" s="19">
        <v>6.5972222222222224E-2</v>
      </c>
      <c r="E45" s="21" t="s">
        <v>1</v>
      </c>
      <c r="F45" s="5" t="s">
        <v>52</v>
      </c>
    </row>
    <row r="46" spans="1:6" x14ac:dyDescent="0.25">
      <c r="A46" t="s">
        <v>753</v>
      </c>
      <c r="B46" s="13">
        <f t="shared" si="0"/>
        <v>0</v>
      </c>
      <c r="C46" s="18"/>
      <c r="D46" s="20"/>
      <c r="E46" s="22"/>
      <c r="F46" s="6" t="s">
        <v>53</v>
      </c>
    </row>
    <row r="47" spans="1:6" x14ac:dyDescent="0.25">
      <c r="A47" t="s">
        <v>753</v>
      </c>
      <c r="B47" s="13">
        <f t="shared" si="0"/>
        <v>0</v>
      </c>
      <c r="C47" s="17" t="s">
        <v>54</v>
      </c>
      <c r="D47" s="17"/>
      <c r="E47" s="21" t="s">
        <v>1</v>
      </c>
      <c r="F47" s="1" t="s">
        <v>25</v>
      </c>
    </row>
    <row r="48" spans="1:6" x14ac:dyDescent="0.25">
      <c r="A48" t="s">
        <v>753</v>
      </c>
      <c r="B48" s="13">
        <f t="shared" si="0"/>
        <v>0</v>
      </c>
      <c r="C48" s="18"/>
      <c r="D48" s="18"/>
      <c r="E48" s="22"/>
      <c r="F48" s="2" t="s">
        <v>8</v>
      </c>
    </row>
    <row r="49" spans="1:6" x14ac:dyDescent="0.25">
      <c r="A49" t="s">
        <v>753</v>
      </c>
      <c r="B49" s="13">
        <f t="shared" si="0"/>
        <v>0</v>
      </c>
      <c r="C49" s="3" t="s">
        <v>55</v>
      </c>
      <c r="D49" s="3"/>
      <c r="E49" s="4" t="s">
        <v>1</v>
      </c>
      <c r="F49" s="4" t="s">
        <v>25</v>
      </c>
    </row>
    <row r="50" spans="1:6" x14ac:dyDescent="0.25">
      <c r="A50" t="s">
        <v>753</v>
      </c>
      <c r="B50" s="13">
        <f t="shared" si="0"/>
        <v>0</v>
      </c>
      <c r="C50" s="17" t="s">
        <v>56</v>
      </c>
      <c r="D50" s="17"/>
      <c r="E50" s="21" t="s">
        <v>1</v>
      </c>
      <c r="F50" s="1" t="s">
        <v>25</v>
      </c>
    </row>
    <row r="51" spans="1:6" x14ac:dyDescent="0.25">
      <c r="A51" t="s">
        <v>753</v>
      </c>
      <c r="B51" s="13">
        <f t="shared" si="0"/>
        <v>0</v>
      </c>
      <c r="C51" s="18"/>
      <c r="D51" s="18"/>
      <c r="E51" s="22"/>
      <c r="F51" s="2" t="s">
        <v>57</v>
      </c>
    </row>
    <row r="52" spans="1:6" x14ac:dyDescent="0.25">
      <c r="A52" t="s">
        <v>753</v>
      </c>
      <c r="B52" s="13">
        <f t="shared" si="0"/>
        <v>0</v>
      </c>
      <c r="C52" s="17" t="s">
        <v>58</v>
      </c>
      <c r="D52" s="17"/>
      <c r="E52" s="21" t="s">
        <v>1</v>
      </c>
      <c r="F52" s="1" t="s">
        <v>25</v>
      </c>
    </row>
    <row r="53" spans="1:6" x14ac:dyDescent="0.25">
      <c r="A53" t="s">
        <v>753</v>
      </c>
      <c r="B53" s="13">
        <f t="shared" si="0"/>
        <v>0</v>
      </c>
      <c r="C53" s="18"/>
      <c r="D53" s="18"/>
      <c r="E53" s="22"/>
      <c r="F53" s="2" t="s">
        <v>59</v>
      </c>
    </row>
    <row r="54" spans="1:6" x14ac:dyDescent="0.25">
      <c r="A54" t="s">
        <v>753</v>
      </c>
      <c r="B54" s="13">
        <f t="shared" si="0"/>
        <v>0</v>
      </c>
      <c r="C54" s="3" t="s">
        <v>60</v>
      </c>
      <c r="D54" s="3"/>
      <c r="E54" s="4" t="s">
        <v>1</v>
      </c>
      <c r="F54" s="4" t="s">
        <v>5</v>
      </c>
    </row>
    <row r="55" spans="1:6" x14ac:dyDescent="0.25">
      <c r="A55" t="s">
        <v>753</v>
      </c>
      <c r="B55" s="13">
        <f t="shared" si="0"/>
        <v>0</v>
      </c>
      <c r="C55" s="3" t="s">
        <v>61</v>
      </c>
      <c r="D55" s="3"/>
      <c r="E55" s="4" t="s">
        <v>1</v>
      </c>
      <c r="F55" s="4" t="s">
        <v>25</v>
      </c>
    </row>
    <row r="56" spans="1:6" x14ac:dyDescent="0.25">
      <c r="A56" t="s">
        <v>753</v>
      </c>
      <c r="B56" s="13">
        <f t="shared" si="0"/>
        <v>0</v>
      </c>
      <c r="C56" s="3" t="s">
        <v>62</v>
      </c>
      <c r="D56" s="3"/>
      <c r="E56" s="4" t="s">
        <v>1</v>
      </c>
      <c r="F56" s="4" t="s">
        <v>5</v>
      </c>
    </row>
    <row r="57" spans="1:6" x14ac:dyDescent="0.25">
      <c r="A57" t="s">
        <v>753</v>
      </c>
      <c r="B57" s="13">
        <f t="shared" si="0"/>
        <v>0</v>
      </c>
      <c r="C57" s="17" t="s">
        <v>63</v>
      </c>
      <c r="D57" s="17"/>
      <c r="E57" s="21" t="s">
        <v>1</v>
      </c>
      <c r="F57" s="1" t="s">
        <v>2</v>
      </c>
    </row>
    <row r="58" spans="1:6" x14ac:dyDescent="0.25">
      <c r="A58" t="s">
        <v>753</v>
      </c>
      <c r="B58" s="13">
        <f t="shared" si="0"/>
        <v>0</v>
      </c>
      <c r="C58" s="18"/>
      <c r="D58" s="18"/>
      <c r="E58" s="22"/>
      <c r="F58" s="2" t="s">
        <v>64</v>
      </c>
    </row>
    <row r="59" spans="1:6" x14ac:dyDescent="0.25">
      <c r="A59" t="s">
        <v>753</v>
      </c>
      <c r="B59" s="13">
        <f t="shared" si="0"/>
        <v>0</v>
      </c>
      <c r="C59" s="3" t="s">
        <v>65</v>
      </c>
      <c r="D59" s="3"/>
      <c r="E59" s="4" t="s">
        <v>1</v>
      </c>
      <c r="F59" s="4" t="s">
        <v>5</v>
      </c>
    </row>
    <row r="60" spans="1:6" x14ac:dyDescent="0.25">
      <c r="A60" t="s">
        <v>753</v>
      </c>
      <c r="B60" s="13">
        <f t="shared" si="0"/>
        <v>0</v>
      </c>
      <c r="C60" s="3" t="s">
        <v>66</v>
      </c>
      <c r="D60" s="3"/>
      <c r="E60" s="4" t="s">
        <v>1</v>
      </c>
      <c r="F60" s="4" t="s">
        <v>5</v>
      </c>
    </row>
    <row r="61" spans="1:6" x14ac:dyDescent="0.25">
      <c r="A61" t="s">
        <v>753</v>
      </c>
      <c r="B61" s="13">
        <f t="shared" si="0"/>
        <v>0</v>
      </c>
      <c r="C61" s="17" t="s">
        <v>67</v>
      </c>
      <c r="D61" s="17"/>
      <c r="E61" s="21" t="s">
        <v>1</v>
      </c>
      <c r="F61" s="1" t="s">
        <v>2</v>
      </c>
    </row>
    <row r="62" spans="1:6" x14ac:dyDescent="0.25">
      <c r="A62" t="s">
        <v>753</v>
      </c>
      <c r="B62" s="13">
        <f t="shared" si="0"/>
        <v>0</v>
      </c>
      <c r="C62" s="18"/>
      <c r="D62" s="18"/>
      <c r="E62" s="22"/>
      <c r="F62" s="2" t="s">
        <v>68</v>
      </c>
    </row>
    <row r="63" spans="1:6" x14ac:dyDescent="0.25">
      <c r="A63" t="s">
        <v>753</v>
      </c>
      <c r="B63" s="13">
        <f t="shared" si="0"/>
        <v>0</v>
      </c>
      <c r="C63" s="17" t="s">
        <v>69</v>
      </c>
      <c r="D63" s="17"/>
      <c r="E63" s="21" t="s">
        <v>1</v>
      </c>
      <c r="F63" s="1" t="s">
        <v>25</v>
      </c>
    </row>
    <row r="64" spans="1:6" x14ac:dyDescent="0.25">
      <c r="A64" t="s">
        <v>753</v>
      </c>
      <c r="B64" s="13">
        <f t="shared" si="0"/>
        <v>0</v>
      </c>
      <c r="C64" s="18"/>
      <c r="D64" s="18"/>
      <c r="E64" s="22"/>
      <c r="F64" s="2" t="s">
        <v>70</v>
      </c>
    </row>
    <row r="65" spans="1:6" x14ac:dyDescent="0.25">
      <c r="A65" t="s">
        <v>753</v>
      </c>
      <c r="B65" s="13">
        <f t="shared" si="0"/>
        <v>0</v>
      </c>
      <c r="C65" s="3" t="s">
        <v>71</v>
      </c>
      <c r="D65" s="3"/>
      <c r="E65" s="4" t="s">
        <v>1</v>
      </c>
      <c r="F65" s="4" t="s">
        <v>25</v>
      </c>
    </row>
    <row r="66" spans="1:6" x14ac:dyDescent="0.25">
      <c r="A66" t="s">
        <v>753</v>
      </c>
      <c r="B66" s="13">
        <f t="shared" ref="B66:B129" si="1">D66*24*60</f>
        <v>0</v>
      </c>
      <c r="C66" s="17" t="s">
        <v>72</v>
      </c>
      <c r="D66" s="17"/>
      <c r="E66" s="21" t="s">
        <v>1</v>
      </c>
      <c r="F66" s="1" t="s">
        <v>2</v>
      </c>
    </row>
    <row r="67" spans="1:6" x14ac:dyDescent="0.25">
      <c r="A67" t="s">
        <v>753</v>
      </c>
      <c r="B67" s="13">
        <f t="shared" si="1"/>
        <v>0</v>
      </c>
      <c r="C67" s="18"/>
      <c r="D67" s="18"/>
      <c r="E67" s="22"/>
      <c r="F67" s="2" t="s">
        <v>73</v>
      </c>
    </row>
    <row r="68" spans="1:6" x14ac:dyDescent="0.25">
      <c r="A68" t="s">
        <v>753</v>
      </c>
      <c r="B68" s="13">
        <f t="shared" si="1"/>
        <v>0</v>
      </c>
      <c r="C68" s="3" t="s">
        <v>74</v>
      </c>
      <c r="D68" s="3"/>
      <c r="E68" s="4" t="s">
        <v>1</v>
      </c>
      <c r="F68" s="4" t="s">
        <v>17</v>
      </c>
    </row>
    <row r="69" spans="1:6" x14ac:dyDescent="0.25">
      <c r="A69" t="s">
        <v>753</v>
      </c>
      <c r="B69" s="13">
        <f t="shared" si="1"/>
        <v>10</v>
      </c>
      <c r="C69" s="17" t="s">
        <v>75</v>
      </c>
      <c r="D69" s="19">
        <v>6.9444444444444441E-3</v>
      </c>
      <c r="E69" s="21" t="s">
        <v>1</v>
      </c>
      <c r="F69" s="5" t="s">
        <v>7</v>
      </c>
    </row>
    <row r="70" spans="1:6" x14ac:dyDescent="0.25">
      <c r="A70" t="s">
        <v>753</v>
      </c>
      <c r="B70" s="13">
        <f t="shared" si="1"/>
        <v>0</v>
      </c>
      <c r="C70" s="18"/>
      <c r="D70" s="20"/>
      <c r="E70" s="22"/>
      <c r="F70" s="6" t="s">
        <v>10</v>
      </c>
    </row>
    <row r="71" spans="1:6" x14ac:dyDescent="0.25">
      <c r="A71" t="s">
        <v>753</v>
      </c>
      <c r="B71" s="13">
        <f t="shared" si="1"/>
        <v>0</v>
      </c>
      <c r="C71" s="3" t="s">
        <v>76</v>
      </c>
      <c r="D71" s="3"/>
      <c r="E71" s="4" t="s">
        <v>1</v>
      </c>
      <c r="F71" s="4" t="s">
        <v>17</v>
      </c>
    </row>
    <row r="72" spans="1:6" x14ac:dyDescent="0.25">
      <c r="A72" t="s">
        <v>753</v>
      </c>
      <c r="B72" s="13">
        <f t="shared" si="1"/>
        <v>10</v>
      </c>
      <c r="C72" s="3" t="s">
        <v>77</v>
      </c>
      <c r="D72" s="7">
        <v>6.9444444444444441E-3</v>
      </c>
      <c r="E72" s="4" t="s">
        <v>1</v>
      </c>
      <c r="F72" s="8" t="s">
        <v>7</v>
      </c>
    </row>
    <row r="73" spans="1:6" x14ac:dyDescent="0.25">
      <c r="A73" t="s">
        <v>753</v>
      </c>
      <c r="B73" s="13">
        <f t="shared" si="1"/>
        <v>0</v>
      </c>
      <c r="C73" s="17" t="s">
        <v>78</v>
      </c>
      <c r="D73" s="17"/>
      <c r="E73" s="21" t="s">
        <v>1</v>
      </c>
      <c r="F73" s="1" t="s">
        <v>25</v>
      </c>
    </row>
    <row r="74" spans="1:6" x14ac:dyDescent="0.25">
      <c r="A74" t="s">
        <v>753</v>
      </c>
      <c r="B74" s="13">
        <f t="shared" si="1"/>
        <v>0</v>
      </c>
      <c r="C74" s="18"/>
      <c r="D74" s="18"/>
      <c r="E74" s="22"/>
      <c r="F74" s="2" t="s">
        <v>8</v>
      </c>
    </row>
    <row r="75" spans="1:6" x14ac:dyDescent="0.25">
      <c r="A75" t="s">
        <v>753</v>
      </c>
      <c r="B75" s="13">
        <f t="shared" si="1"/>
        <v>0</v>
      </c>
      <c r="C75" s="3" t="s">
        <v>79</v>
      </c>
      <c r="D75" s="3"/>
      <c r="E75" s="4" t="s">
        <v>1</v>
      </c>
      <c r="F75" s="4" t="s">
        <v>17</v>
      </c>
    </row>
    <row r="76" spans="1:6" x14ac:dyDescent="0.25">
      <c r="A76" t="s">
        <v>753</v>
      </c>
      <c r="B76" s="13">
        <f t="shared" si="1"/>
        <v>0</v>
      </c>
      <c r="C76" s="17" t="s">
        <v>80</v>
      </c>
      <c r="D76" s="17"/>
      <c r="E76" s="21" t="s">
        <v>1</v>
      </c>
      <c r="F76" s="1" t="s">
        <v>2</v>
      </c>
    </row>
    <row r="77" spans="1:6" x14ac:dyDescent="0.25">
      <c r="A77" t="s">
        <v>753</v>
      </c>
      <c r="B77" s="13">
        <f t="shared" si="1"/>
        <v>0</v>
      </c>
      <c r="C77" s="18"/>
      <c r="D77" s="18"/>
      <c r="E77" s="22"/>
      <c r="F77" s="2" t="s">
        <v>81</v>
      </c>
    </row>
    <row r="78" spans="1:6" x14ac:dyDescent="0.25">
      <c r="A78" t="s">
        <v>753</v>
      </c>
      <c r="B78" s="13">
        <f t="shared" si="1"/>
        <v>0</v>
      </c>
      <c r="C78" s="3" t="s">
        <v>82</v>
      </c>
      <c r="D78" s="3"/>
      <c r="E78" s="4" t="s">
        <v>1</v>
      </c>
      <c r="F78" s="4" t="s">
        <v>17</v>
      </c>
    </row>
    <row r="79" spans="1:6" x14ac:dyDescent="0.25">
      <c r="A79" t="s">
        <v>753</v>
      </c>
      <c r="B79" s="13">
        <f t="shared" si="1"/>
        <v>0</v>
      </c>
      <c r="C79" s="3" t="s">
        <v>83</v>
      </c>
      <c r="D79" s="3"/>
      <c r="E79" s="4" t="s">
        <v>1</v>
      </c>
      <c r="F79" s="4" t="s">
        <v>17</v>
      </c>
    </row>
    <row r="80" spans="1:6" x14ac:dyDescent="0.25">
      <c r="A80" t="s">
        <v>753</v>
      </c>
      <c r="B80" s="13">
        <f t="shared" si="1"/>
        <v>0</v>
      </c>
      <c r="C80" s="17" t="s">
        <v>84</v>
      </c>
      <c r="D80" s="17"/>
      <c r="E80" s="21" t="s">
        <v>1</v>
      </c>
      <c r="F80" s="1" t="s">
        <v>2</v>
      </c>
    </row>
    <row r="81" spans="1:6" x14ac:dyDescent="0.25">
      <c r="A81" t="s">
        <v>753</v>
      </c>
      <c r="B81" s="13">
        <f t="shared" si="1"/>
        <v>0</v>
      </c>
      <c r="C81" s="18"/>
      <c r="D81" s="18"/>
      <c r="E81" s="22"/>
      <c r="F81" s="2" t="s">
        <v>85</v>
      </c>
    </row>
    <row r="82" spans="1:6" x14ac:dyDescent="0.25">
      <c r="A82" t="s">
        <v>753</v>
      </c>
      <c r="B82" s="13">
        <f t="shared" si="1"/>
        <v>0</v>
      </c>
      <c r="C82" s="17" t="s">
        <v>86</v>
      </c>
      <c r="D82" s="17"/>
      <c r="E82" s="21" t="s">
        <v>1</v>
      </c>
      <c r="F82" s="1" t="s">
        <v>2</v>
      </c>
    </row>
    <row r="83" spans="1:6" x14ac:dyDescent="0.25">
      <c r="A83" t="s">
        <v>753</v>
      </c>
      <c r="B83" s="13">
        <f t="shared" si="1"/>
        <v>0</v>
      </c>
      <c r="C83" s="18"/>
      <c r="D83" s="18"/>
      <c r="E83" s="22"/>
      <c r="F83" s="2" t="s">
        <v>87</v>
      </c>
    </row>
    <row r="84" spans="1:6" x14ac:dyDescent="0.25">
      <c r="A84" t="s">
        <v>753</v>
      </c>
      <c r="B84" s="13">
        <f t="shared" si="1"/>
        <v>35</v>
      </c>
      <c r="C84" s="17" t="s">
        <v>88</v>
      </c>
      <c r="D84" s="19">
        <v>2.4305555555555556E-2</v>
      </c>
      <c r="E84" s="21" t="s">
        <v>1</v>
      </c>
      <c r="F84" s="5" t="s">
        <v>89</v>
      </c>
    </row>
    <row r="85" spans="1:6" x14ac:dyDescent="0.25">
      <c r="A85" t="s">
        <v>753</v>
      </c>
      <c r="B85" s="13">
        <f t="shared" si="1"/>
        <v>0</v>
      </c>
      <c r="C85" s="18"/>
      <c r="D85" s="20"/>
      <c r="E85" s="22"/>
      <c r="F85" s="6" t="s">
        <v>90</v>
      </c>
    </row>
    <row r="86" spans="1:6" x14ac:dyDescent="0.25">
      <c r="A86" t="s">
        <v>753</v>
      </c>
      <c r="B86" s="13">
        <f t="shared" si="1"/>
        <v>25</v>
      </c>
      <c r="C86" s="17" t="s">
        <v>91</v>
      </c>
      <c r="D86" s="19">
        <v>1.7361111111111112E-2</v>
      </c>
      <c r="E86" s="21" t="s">
        <v>1</v>
      </c>
      <c r="F86" s="5" t="s">
        <v>12</v>
      </c>
    </row>
    <row r="87" spans="1:6" x14ac:dyDescent="0.25">
      <c r="A87" t="s">
        <v>753</v>
      </c>
      <c r="B87" s="13">
        <f t="shared" si="1"/>
        <v>0</v>
      </c>
      <c r="C87" s="18"/>
      <c r="D87" s="20"/>
      <c r="E87" s="22"/>
      <c r="F87" s="6" t="s">
        <v>29</v>
      </c>
    </row>
    <row r="88" spans="1:6" x14ac:dyDescent="0.25">
      <c r="A88" t="s">
        <v>753</v>
      </c>
      <c r="B88" s="13">
        <f t="shared" si="1"/>
        <v>0</v>
      </c>
      <c r="C88" s="3" t="s">
        <v>92</v>
      </c>
      <c r="D88" s="3"/>
      <c r="E88" s="4" t="s">
        <v>1</v>
      </c>
      <c r="F88" s="4" t="s">
        <v>5</v>
      </c>
    </row>
    <row r="89" spans="1:6" x14ac:dyDescent="0.25">
      <c r="A89" t="s">
        <v>753</v>
      </c>
      <c r="B89" s="13">
        <f t="shared" si="1"/>
        <v>10</v>
      </c>
      <c r="C89" s="3" t="s">
        <v>93</v>
      </c>
      <c r="D89" s="7">
        <v>6.9444444444444441E-3</v>
      </c>
      <c r="E89" s="4" t="s">
        <v>1</v>
      </c>
      <c r="F89" s="8" t="s">
        <v>7</v>
      </c>
    </row>
    <row r="90" spans="1:6" x14ac:dyDescent="0.25">
      <c r="A90" t="s">
        <v>753</v>
      </c>
      <c r="B90" s="13">
        <f t="shared" si="1"/>
        <v>0</v>
      </c>
      <c r="C90" s="17" t="s">
        <v>94</v>
      </c>
      <c r="D90" s="17"/>
      <c r="E90" s="21" t="s">
        <v>1</v>
      </c>
      <c r="F90" s="1" t="s">
        <v>2</v>
      </c>
    </row>
    <row r="91" spans="1:6" x14ac:dyDescent="0.25">
      <c r="A91" t="s">
        <v>753</v>
      </c>
      <c r="B91" s="13">
        <f t="shared" si="1"/>
        <v>0</v>
      </c>
      <c r="C91" s="18"/>
      <c r="D91" s="18"/>
      <c r="E91" s="22"/>
      <c r="F91" s="2" t="s">
        <v>95</v>
      </c>
    </row>
    <row r="92" spans="1:6" x14ac:dyDescent="0.25">
      <c r="A92" t="s">
        <v>753</v>
      </c>
      <c r="B92" s="13">
        <f t="shared" si="1"/>
        <v>0</v>
      </c>
      <c r="C92" s="3" t="s">
        <v>96</v>
      </c>
      <c r="D92" s="3"/>
      <c r="E92" s="4" t="s">
        <v>1</v>
      </c>
      <c r="F92" s="4" t="s">
        <v>17</v>
      </c>
    </row>
    <row r="93" spans="1:6" x14ac:dyDescent="0.25">
      <c r="A93" t="s">
        <v>753</v>
      </c>
      <c r="B93" s="13">
        <f t="shared" si="1"/>
        <v>0</v>
      </c>
      <c r="C93" s="17" t="s">
        <v>97</v>
      </c>
      <c r="D93" s="17"/>
      <c r="E93" s="21" t="s">
        <v>1</v>
      </c>
      <c r="F93" s="1" t="s">
        <v>25</v>
      </c>
    </row>
    <row r="94" spans="1:6" x14ac:dyDescent="0.25">
      <c r="A94" t="s">
        <v>753</v>
      </c>
      <c r="B94" s="13">
        <f t="shared" si="1"/>
        <v>0</v>
      </c>
      <c r="C94" s="18"/>
      <c r="D94" s="18"/>
      <c r="E94" s="22"/>
      <c r="F94" s="2" t="s">
        <v>98</v>
      </c>
    </row>
    <row r="95" spans="1:6" x14ac:dyDescent="0.25">
      <c r="A95" t="s">
        <v>753</v>
      </c>
      <c r="B95" s="13">
        <f t="shared" si="1"/>
        <v>0</v>
      </c>
      <c r="C95" s="17" t="s">
        <v>99</v>
      </c>
      <c r="D95" s="17"/>
      <c r="E95" s="21" t="s">
        <v>1</v>
      </c>
      <c r="F95" s="1" t="s">
        <v>2</v>
      </c>
    </row>
    <row r="96" spans="1:6" x14ac:dyDescent="0.25">
      <c r="A96" t="s">
        <v>753</v>
      </c>
      <c r="B96" s="13">
        <f t="shared" si="1"/>
        <v>0</v>
      </c>
      <c r="C96" s="18"/>
      <c r="D96" s="18"/>
      <c r="E96" s="22"/>
      <c r="F96" s="2" t="s">
        <v>100</v>
      </c>
    </row>
    <row r="97" spans="1:6" x14ac:dyDescent="0.25">
      <c r="A97" t="s">
        <v>753</v>
      </c>
      <c r="B97" s="13">
        <f t="shared" si="1"/>
        <v>0</v>
      </c>
      <c r="C97" s="3" t="s">
        <v>101</v>
      </c>
      <c r="D97" s="3"/>
      <c r="E97" s="4" t="s">
        <v>1</v>
      </c>
      <c r="F97" s="4" t="s">
        <v>25</v>
      </c>
    </row>
    <row r="98" spans="1:6" x14ac:dyDescent="0.25">
      <c r="A98" t="s">
        <v>753</v>
      </c>
      <c r="B98" s="13">
        <f t="shared" si="1"/>
        <v>0</v>
      </c>
      <c r="C98" s="3" t="s">
        <v>102</v>
      </c>
      <c r="D98" s="3"/>
      <c r="E98" s="4" t="s">
        <v>1</v>
      </c>
      <c r="F98" s="4" t="s">
        <v>5</v>
      </c>
    </row>
    <row r="99" spans="1:6" x14ac:dyDescent="0.25">
      <c r="A99" t="s">
        <v>753</v>
      </c>
      <c r="B99" s="13">
        <f t="shared" si="1"/>
        <v>0</v>
      </c>
      <c r="C99" s="17" t="s">
        <v>103</v>
      </c>
      <c r="D99" s="17"/>
      <c r="E99" s="21" t="s">
        <v>1</v>
      </c>
      <c r="F99" s="1" t="s">
        <v>25</v>
      </c>
    </row>
    <row r="100" spans="1:6" x14ac:dyDescent="0.25">
      <c r="A100" t="s">
        <v>753</v>
      </c>
      <c r="B100" s="13">
        <f t="shared" si="1"/>
        <v>0</v>
      </c>
      <c r="C100" s="18"/>
      <c r="D100" s="18"/>
      <c r="E100" s="22"/>
      <c r="F100" s="2" t="s">
        <v>64</v>
      </c>
    </row>
    <row r="101" spans="1:6" x14ac:dyDescent="0.25">
      <c r="A101" t="s">
        <v>753</v>
      </c>
      <c r="B101" s="13">
        <f t="shared" si="1"/>
        <v>0</v>
      </c>
      <c r="C101" s="17" t="s">
        <v>104</v>
      </c>
      <c r="D101" s="17"/>
      <c r="E101" s="21" t="s">
        <v>1</v>
      </c>
      <c r="F101" s="1" t="s">
        <v>25</v>
      </c>
    </row>
    <row r="102" spans="1:6" x14ac:dyDescent="0.25">
      <c r="A102" t="s">
        <v>753</v>
      </c>
      <c r="B102" s="13">
        <f t="shared" si="1"/>
        <v>0</v>
      </c>
      <c r="C102" s="18"/>
      <c r="D102" s="18"/>
      <c r="E102" s="22"/>
      <c r="F102" s="2" t="s">
        <v>70</v>
      </c>
    </row>
    <row r="103" spans="1:6" x14ac:dyDescent="0.25">
      <c r="A103" t="s">
        <v>753</v>
      </c>
      <c r="B103" s="13">
        <f t="shared" si="1"/>
        <v>0</v>
      </c>
      <c r="C103" s="3" t="s">
        <v>105</v>
      </c>
      <c r="D103" s="3"/>
      <c r="E103" s="4" t="s">
        <v>1</v>
      </c>
      <c r="F103" s="4" t="s">
        <v>25</v>
      </c>
    </row>
    <row r="104" spans="1:6" x14ac:dyDescent="0.25">
      <c r="A104" t="s">
        <v>753</v>
      </c>
      <c r="B104" s="13">
        <f t="shared" si="1"/>
        <v>0</v>
      </c>
      <c r="C104" s="17" t="s">
        <v>106</v>
      </c>
      <c r="D104" s="17"/>
      <c r="E104" s="21" t="s">
        <v>1</v>
      </c>
      <c r="F104" s="1" t="s">
        <v>2</v>
      </c>
    </row>
    <row r="105" spans="1:6" x14ac:dyDescent="0.25">
      <c r="A105" t="s">
        <v>753</v>
      </c>
      <c r="B105" s="13">
        <f t="shared" si="1"/>
        <v>0</v>
      </c>
      <c r="C105" s="18"/>
      <c r="D105" s="18"/>
      <c r="E105" s="22"/>
      <c r="F105" s="2" t="s">
        <v>107</v>
      </c>
    </row>
    <row r="106" spans="1:6" x14ac:dyDescent="0.25">
      <c r="A106" t="s">
        <v>753</v>
      </c>
      <c r="B106" s="13">
        <f t="shared" si="1"/>
        <v>0</v>
      </c>
      <c r="C106" s="17" t="s">
        <v>108</v>
      </c>
      <c r="D106" s="17"/>
      <c r="E106" s="21" t="s">
        <v>1</v>
      </c>
      <c r="F106" s="1" t="s">
        <v>2</v>
      </c>
    </row>
    <row r="107" spans="1:6" x14ac:dyDescent="0.25">
      <c r="A107" t="s">
        <v>753</v>
      </c>
      <c r="B107" s="13">
        <f t="shared" si="1"/>
        <v>0</v>
      </c>
      <c r="C107" s="18"/>
      <c r="D107" s="18"/>
      <c r="E107" s="22"/>
      <c r="F107" s="2" t="s">
        <v>109</v>
      </c>
    </row>
    <row r="108" spans="1:6" x14ac:dyDescent="0.25">
      <c r="A108" t="s">
        <v>753</v>
      </c>
      <c r="B108" s="13">
        <f t="shared" si="1"/>
        <v>0</v>
      </c>
      <c r="C108" s="17" t="s">
        <v>110</v>
      </c>
      <c r="D108" s="17"/>
      <c r="E108" s="21" t="s">
        <v>1</v>
      </c>
      <c r="F108" s="1" t="s">
        <v>2</v>
      </c>
    </row>
    <row r="109" spans="1:6" x14ac:dyDescent="0.25">
      <c r="A109" t="s">
        <v>753</v>
      </c>
      <c r="B109" s="13">
        <f t="shared" si="1"/>
        <v>0</v>
      </c>
      <c r="C109" s="18"/>
      <c r="D109" s="18"/>
      <c r="E109" s="22"/>
      <c r="F109" s="2" t="s">
        <v>111</v>
      </c>
    </row>
    <row r="110" spans="1:6" x14ac:dyDescent="0.25">
      <c r="A110" t="s">
        <v>753</v>
      </c>
      <c r="B110" s="13">
        <f t="shared" si="1"/>
        <v>0</v>
      </c>
      <c r="C110" s="17" t="s">
        <v>112</v>
      </c>
      <c r="D110" s="17"/>
      <c r="E110" s="21" t="s">
        <v>1</v>
      </c>
      <c r="F110" s="1" t="s">
        <v>2</v>
      </c>
    </row>
    <row r="111" spans="1:6" x14ac:dyDescent="0.25">
      <c r="A111" t="s">
        <v>753</v>
      </c>
      <c r="B111" s="13">
        <f t="shared" si="1"/>
        <v>0</v>
      </c>
      <c r="C111" s="18"/>
      <c r="D111" s="18"/>
      <c r="E111" s="22"/>
      <c r="F111" s="2" t="s">
        <v>113</v>
      </c>
    </row>
    <row r="112" spans="1:6" x14ac:dyDescent="0.25">
      <c r="A112" t="s">
        <v>753</v>
      </c>
      <c r="B112" s="13">
        <f t="shared" si="1"/>
        <v>15</v>
      </c>
      <c r="C112" s="17" t="s">
        <v>114</v>
      </c>
      <c r="D112" s="19">
        <v>1.0416666666666666E-2</v>
      </c>
      <c r="E112" s="21" t="s">
        <v>1</v>
      </c>
      <c r="F112" s="5" t="s">
        <v>115</v>
      </c>
    </row>
    <row r="113" spans="1:6" x14ac:dyDescent="0.25">
      <c r="A113" t="s">
        <v>753</v>
      </c>
      <c r="B113" s="13">
        <f t="shared" si="1"/>
        <v>0</v>
      </c>
      <c r="C113" s="18"/>
      <c r="D113" s="20"/>
      <c r="E113" s="22"/>
      <c r="F113" s="6" t="s">
        <v>116</v>
      </c>
    </row>
    <row r="114" spans="1:6" x14ac:dyDescent="0.25">
      <c r="A114" t="s">
        <v>753</v>
      </c>
      <c r="B114" s="13">
        <f t="shared" si="1"/>
        <v>0</v>
      </c>
      <c r="C114" s="3" t="s">
        <v>117</v>
      </c>
      <c r="D114" s="3"/>
      <c r="E114" s="4" t="s">
        <v>1</v>
      </c>
      <c r="F114" s="4" t="s">
        <v>5</v>
      </c>
    </row>
    <row r="115" spans="1:6" x14ac:dyDescent="0.25">
      <c r="A115" t="s">
        <v>753</v>
      </c>
      <c r="B115" s="13">
        <f t="shared" si="1"/>
        <v>0</v>
      </c>
      <c r="C115" s="17" t="s">
        <v>118</v>
      </c>
      <c r="D115" s="17"/>
      <c r="E115" s="21" t="s">
        <v>1</v>
      </c>
      <c r="F115" s="1" t="s">
        <v>2</v>
      </c>
    </row>
    <row r="116" spans="1:6" x14ac:dyDescent="0.25">
      <c r="A116" t="s">
        <v>753</v>
      </c>
      <c r="B116" s="13">
        <f t="shared" si="1"/>
        <v>0</v>
      </c>
      <c r="C116" s="18"/>
      <c r="D116" s="18"/>
      <c r="E116" s="22"/>
      <c r="F116" s="2" t="s">
        <v>119</v>
      </c>
    </row>
    <row r="117" spans="1:6" x14ac:dyDescent="0.25">
      <c r="A117" t="s">
        <v>753</v>
      </c>
      <c r="B117" s="13">
        <f t="shared" si="1"/>
        <v>0</v>
      </c>
      <c r="C117" s="17" t="s">
        <v>120</v>
      </c>
      <c r="D117" s="17"/>
      <c r="E117" s="21" t="s">
        <v>1</v>
      </c>
      <c r="F117" s="1" t="s">
        <v>2</v>
      </c>
    </row>
    <row r="118" spans="1:6" x14ac:dyDescent="0.25">
      <c r="A118" t="s">
        <v>753</v>
      </c>
      <c r="B118" s="13">
        <f t="shared" si="1"/>
        <v>0</v>
      </c>
      <c r="C118" s="18"/>
      <c r="D118" s="18"/>
      <c r="E118" s="22"/>
      <c r="F118" s="2" t="s">
        <v>121</v>
      </c>
    </row>
    <row r="119" spans="1:6" x14ac:dyDescent="0.25">
      <c r="A119" t="s">
        <v>753</v>
      </c>
      <c r="B119" s="13">
        <f t="shared" si="1"/>
        <v>0</v>
      </c>
      <c r="C119" s="3" t="s">
        <v>122</v>
      </c>
      <c r="D119" s="3"/>
      <c r="E119" s="4" t="s">
        <v>1</v>
      </c>
      <c r="F119" s="4" t="s">
        <v>5</v>
      </c>
    </row>
    <row r="120" spans="1:6" x14ac:dyDescent="0.25">
      <c r="A120" t="s">
        <v>753</v>
      </c>
      <c r="B120" s="13">
        <f t="shared" si="1"/>
        <v>0</v>
      </c>
      <c r="C120" s="3" t="s">
        <v>123</v>
      </c>
      <c r="D120" s="3"/>
      <c r="E120" s="4" t="s">
        <v>1</v>
      </c>
      <c r="F120" s="4" t="s">
        <v>5</v>
      </c>
    </row>
    <row r="121" spans="1:6" x14ac:dyDescent="0.25">
      <c r="A121" t="s">
        <v>753</v>
      </c>
      <c r="B121" s="13">
        <f t="shared" si="1"/>
        <v>0</v>
      </c>
      <c r="C121" s="17" t="s">
        <v>124</v>
      </c>
      <c r="D121" s="17"/>
      <c r="E121" s="21" t="s">
        <v>1</v>
      </c>
      <c r="F121" s="1" t="s">
        <v>25</v>
      </c>
    </row>
    <row r="122" spans="1:6" x14ac:dyDescent="0.25">
      <c r="A122" t="s">
        <v>753</v>
      </c>
      <c r="B122" s="13">
        <f t="shared" si="1"/>
        <v>0</v>
      </c>
      <c r="C122" s="18"/>
      <c r="D122" s="18"/>
      <c r="E122" s="22"/>
      <c r="F122" s="2" t="s">
        <v>85</v>
      </c>
    </row>
    <row r="123" spans="1:6" x14ac:dyDescent="0.25">
      <c r="A123" t="s">
        <v>753</v>
      </c>
      <c r="B123" s="13">
        <f t="shared" si="1"/>
        <v>0</v>
      </c>
      <c r="C123" s="3" t="s">
        <v>125</v>
      </c>
      <c r="D123" s="3"/>
      <c r="E123" s="4" t="s">
        <v>1</v>
      </c>
      <c r="F123" s="4" t="s">
        <v>17</v>
      </c>
    </row>
    <row r="124" spans="1:6" x14ac:dyDescent="0.25">
      <c r="A124" t="s">
        <v>753</v>
      </c>
      <c r="B124" s="13">
        <f t="shared" si="1"/>
        <v>0</v>
      </c>
      <c r="C124" s="17" t="s">
        <v>126</v>
      </c>
      <c r="D124" s="17"/>
      <c r="E124" s="21" t="s">
        <v>1</v>
      </c>
      <c r="F124" s="1" t="s">
        <v>2</v>
      </c>
    </row>
    <row r="125" spans="1:6" x14ac:dyDescent="0.25">
      <c r="A125" t="s">
        <v>753</v>
      </c>
      <c r="B125" s="13">
        <f t="shared" si="1"/>
        <v>0</v>
      </c>
      <c r="C125" s="18"/>
      <c r="D125" s="18"/>
      <c r="E125" s="22"/>
      <c r="F125" s="2" t="s">
        <v>127</v>
      </c>
    </row>
    <row r="126" spans="1:6" x14ac:dyDescent="0.25">
      <c r="A126" t="s">
        <v>753</v>
      </c>
      <c r="B126" s="13">
        <f t="shared" si="1"/>
        <v>10</v>
      </c>
      <c r="C126" s="17" t="s">
        <v>128</v>
      </c>
      <c r="D126" s="19">
        <v>6.9444444444444441E-3</v>
      </c>
      <c r="E126" s="21" t="s">
        <v>1</v>
      </c>
      <c r="F126" s="5" t="s">
        <v>7</v>
      </c>
    </row>
    <row r="127" spans="1:6" x14ac:dyDescent="0.25">
      <c r="A127" t="s">
        <v>753</v>
      </c>
      <c r="B127" s="13">
        <f t="shared" si="1"/>
        <v>0</v>
      </c>
      <c r="C127" s="18"/>
      <c r="D127" s="20"/>
      <c r="E127" s="22"/>
      <c r="F127" s="6" t="s">
        <v>43</v>
      </c>
    </row>
    <row r="128" spans="1:6" x14ac:dyDescent="0.25">
      <c r="A128" t="s">
        <v>753</v>
      </c>
      <c r="B128" s="13">
        <f t="shared" si="1"/>
        <v>0</v>
      </c>
      <c r="C128" s="17" t="s">
        <v>129</v>
      </c>
      <c r="D128" s="17"/>
      <c r="E128" s="21" t="s">
        <v>1</v>
      </c>
      <c r="F128" s="1" t="s">
        <v>2</v>
      </c>
    </row>
    <row r="129" spans="1:6" x14ac:dyDescent="0.25">
      <c r="A129" t="s">
        <v>753</v>
      </c>
      <c r="B129" s="13">
        <f t="shared" si="1"/>
        <v>0</v>
      </c>
      <c r="C129" s="18"/>
      <c r="D129" s="18"/>
      <c r="E129" s="22"/>
      <c r="F129" s="2" t="s">
        <v>130</v>
      </c>
    </row>
    <row r="130" spans="1:6" x14ac:dyDescent="0.25">
      <c r="A130" t="s">
        <v>753</v>
      </c>
      <c r="B130" s="13">
        <f t="shared" ref="B130:B193" si="2">D130*24*60</f>
        <v>30.999999999999996</v>
      </c>
      <c r="C130" s="17" t="s">
        <v>131</v>
      </c>
      <c r="D130" s="19">
        <v>2.1527777777777778E-2</v>
      </c>
      <c r="E130" s="21" t="s">
        <v>1</v>
      </c>
      <c r="F130" s="5" t="s">
        <v>132</v>
      </c>
    </row>
    <row r="131" spans="1:6" x14ac:dyDescent="0.25">
      <c r="A131" t="s">
        <v>753</v>
      </c>
      <c r="B131" s="13">
        <f t="shared" si="2"/>
        <v>0</v>
      </c>
      <c r="C131" s="18"/>
      <c r="D131" s="20"/>
      <c r="E131" s="22"/>
      <c r="F131" s="6" t="s">
        <v>133</v>
      </c>
    </row>
    <row r="132" spans="1:6" x14ac:dyDescent="0.25">
      <c r="A132" t="s">
        <v>753</v>
      </c>
      <c r="B132" s="13">
        <f t="shared" si="2"/>
        <v>0</v>
      </c>
      <c r="C132" s="3" t="s">
        <v>134</v>
      </c>
      <c r="D132" s="3"/>
      <c r="E132" s="4" t="s">
        <v>1</v>
      </c>
      <c r="F132" s="4" t="s">
        <v>17</v>
      </c>
    </row>
    <row r="133" spans="1:6" x14ac:dyDescent="0.25">
      <c r="A133" t="s">
        <v>753</v>
      </c>
      <c r="B133" s="13">
        <f t="shared" si="2"/>
        <v>20</v>
      </c>
      <c r="C133" s="17" t="s">
        <v>135</v>
      </c>
      <c r="D133" s="19">
        <v>1.3888888888888888E-2</v>
      </c>
      <c r="E133" s="21" t="s">
        <v>1</v>
      </c>
      <c r="F133" s="5" t="s">
        <v>136</v>
      </c>
    </row>
    <row r="134" spans="1:6" x14ac:dyDescent="0.25">
      <c r="A134" t="s">
        <v>753</v>
      </c>
      <c r="B134" s="13">
        <f t="shared" si="2"/>
        <v>0</v>
      </c>
      <c r="C134" s="18"/>
      <c r="D134" s="20"/>
      <c r="E134" s="22"/>
      <c r="F134" s="6" t="s">
        <v>137</v>
      </c>
    </row>
    <row r="135" spans="1:6" x14ac:dyDescent="0.25">
      <c r="A135" t="s">
        <v>753</v>
      </c>
      <c r="B135" s="13">
        <f t="shared" si="2"/>
        <v>0</v>
      </c>
      <c r="C135" s="17" t="s">
        <v>138</v>
      </c>
      <c r="D135" s="17"/>
      <c r="E135" s="21" t="s">
        <v>1</v>
      </c>
      <c r="F135" s="1" t="s">
        <v>2</v>
      </c>
    </row>
    <row r="136" spans="1:6" x14ac:dyDescent="0.25">
      <c r="A136" t="s">
        <v>753</v>
      </c>
      <c r="B136" s="13">
        <f t="shared" si="2"/>
        <v>0</v>
      </c>
      <c r="C136" s="18"/>
      <c r="D136" s="18"/>
      <c r="E136" s="22"/>
      <c r="F136" s="2" t="s">
        <v>139</v>
      </c>
    </row>
    <row r="137" spans="1:6" x14ac:dyDescent="0.25">
      <c r="A137" t="s">
        <v>753</v>
      </c>
      <c r="B137" s="13">
        <f t="shared" si="2"/>
        <v>0</v>
      </c>
      <c r="C137" s="17" t="s">
        <v>140</v>
      </c>
      <c r="D137" s="17"/>
      <c r="E137" s="21" t="s">
        <v>1</v>
      </c>
      <c r="F137" s="1" t="s">
        <v>2</v>
      </c>
    </row>
    <row r="138" spans="1:6" x14ac:dyDescent="0.25">
      <c r="A138" t="s">
        <v>753</v>
      </c>
      <c r="B138" s="13">
        <f t="shared" si="2"/>
        <v>0</v>
      </c>
      <c r="C138" s="18"/>
      <c r="D138" s="18"/>
      <c r="E138" s="22"/>
      <c r="F138" s="2" t="s">
        <v>8</v>
      </c>
    </row>
    <row r="139" spans="1:6" x14ac:dyDescent="0.25">
      <c r="A139" t="s">
        <v>753</v>
      </c>
      <c r="B139" s="13">
        <f t="shared" si="2"/>
        <v>15</v>
      </c>
      <c r="C139" s="17" t="s">
        <v>141</v>
      </c>
      <c r="D139" s="19">
        <v>1.0416666666666666E-2</v>
      </c>
      <c r="E139" s="21" t="s">
        <v>1</v>
      </c>
      <c r="F139" s="5" t="s">
        <v>115</v>
      </c>
    </row>
    <row r="140" spans="1:6" x14ac:dyDescent="0.25">
      <c r="A140" t="s">
        <v>753</v>
      </c>
      <c r="B140" s="13">
        <f t="shared" si="2"/>
        <v>0</v>
      </c>
      <c r="C140" s="18"/>
      <c r="D140" s="20"/>
      <c r="E140" s="22"/>
      <c r="F140" s="6" t="s">
        <v>116</v>
      </c>
    </row>
    <row r="141" spans="1:6" x14ac:dyDescent="0.25">
      <c r="A141" t="s">
        <v>753</v>
      </c>
      <c r="B141" s="13">
        <f t="shared" si="2"/>
        <v>0</v>
      </c>
      <c r="C141" s="3" t="s">
        <v>142</v>
      </c>
      <c r="D141" s="3"/>
      <c r="E141" s="4" t="s">
        <v>1</v>
      </c>
      <c r="F141" s="4" t="s">
        <v>17</v>
      </c>
    </row>
    <row r="142" spans="1:6" x14ac:dyDescent="0.25">
      <c r="A142" t="s">
        <v>753</v>
      </c>
      <c r="B142" s="13">
        <f t="shared" si="2"/>
        <v>10</v>
      </c>
      <c r="C142" s="17" t="s">
        <v>143</v>
      </c>
      <c r="D142" s="19">
        <v>6.9444444444444441E-3</v>
      </c>
      <c r="E142" s="21" t="s">
        <v>1</v>
      </c>
      <c r="F142" s="5" t="s">
        <v>7</v>
      </c>
    </row>
    <row r="143" spans="1:6" x14ac:dyDescent="0.25">
      <c r="A143" t="s">
        <v>753</v>
      </c>
      <c r="B143" s="13">
        <f t="shared" si="2"/>
        <v>0</v>
      </c>
      <c r="C143" s="18"/>
      <c r="D143" s="20"/>
      <c r="E143" s="22"/>
      <c r="F143" s="6" t="s">
        <v>8</v>
      </c>
    </row>
    <row r="144" spans="1:6" x14ac:dyDescent="0.25">
      <c r="A144" t="s">
        <v>753</v>
      </c>
      <c r="B144" s="13">
        <f t="shared" si="2"/>
        <v>0</v>
      </c>
      <c r="C144" s="3" t="s">
        <v>144</v>
      </c>
      <c r="D144" s="3"/>
      <c r="E144" s="4" t="s">
        <v>1</v>
      </c>
      <c r="F144" s="4" t="s">
        <v>25</v>
      </c>
    </row>
    <row r="145" spans="1:6" x14ac:dyDescent="0.25">
      <c r="A145" t="s">
        <v>753</v>
      </c>
      <c r="B145" s="13">
        <f t="shared" si="2"/>
        <v>10</v>
      </c>
      <c r="C145" s="3" t="s">
        <v>145</v>
      </c>
      <c r="D145" s="7">
        <v>6.9444444444444441E-3</v>
      </c>
      <c r="E145" s="4" t="s">
        <v>1</v>
      </c>
      <c r="F145" s="8" t="s">
        <v>7</v>
      </c>
    </row>
    <row r="146" spans="1:6" x14ac:dyDescent="0.25">
      <c r="A146" t="s">
        <v>753</v>
      </c>
      <c r="B146" s="13">
        <f t="shared" si="2"/>
        <v>10</v>
      </c>
      <c r="C146" s="3" t="s">
        <v>146</v>
      </c>
      <c r="D146" s="7">
        <v>6.9444444444444441E-3</v>
      </c>
      <c r="E146" s="4" t="s">
        <v>1</v>
      </c>
      <c r="F146" s="8" t="s">
        <v>7</v>
      </c>
    </row>
    <row r="147" spans="1:6" x14ac:dyDescent="0.25">
      <c r="A147" t="s">
        <v>753</v>
      </c>
      <c r="B147" s="13">
        <f t="shared" si="2"/>
        <v>10</v>
      </c>
      <c r="C147" s="3" t="s">
        <v>147</v>
      </c>
      <c r="D147" s="7">
        <v>6.9444444444444441E-3</v>
      </c>
      <c r="E147" s="4" t="s">
        <v>1</v>
      </c>
      <c r="F147" s="8" t="s">
        <v>7</v>
      </c>
    </row>
    <row r="148" spans="1:6" x14ac:dyDescent="0.25">
      <c r="A148" t="s">
        <v>753</v>
      </c>
      <c r="B148" s="13">
        <f t="shared" si="2"/>
        <v>0</v>
      </c>
      <c r="C148" s="17" t="s">
        <v>148</v>
      </c>
      <c r="D148" s="17"/>
      <c r="E148" s="21" t="s">
        <v>1</v>
      </c>
      <c r="F148" s="1" t="s">
        <v>25</v>
      </c>
    </row>
    <row r="149" spans="1:6" x14ac:dyDescent="0.25">
      <c r="A149" t="s">
        <v>753</v>
      </c>
      <c r="B149" s="13">
        <f t="shared" si="2"/>
        <v>0</v>
      </c>
      <c r="C149" s="18"/>
      <c r="D149" s="18"/>
      <c r="E149" s="22"/>
      <c r="F149" s="2" t="s">
        <v>149</v>
      </c>
    </row>
    <row r="150" spans="1:6" x14ac:dyDescent="0.25">
      <c r="A150" t="s">
        <v>753</v>
      </c>
      <c r="B150" s="13">
        <f t="shared" si="2"/>
        <v>0</v>
      </c>
      <c r="C150" s="3" t="s">
        <v>150</v>
      </c>
      <c r="D150" s="3"/>
      <c r="E150" s="4" t="s">
        <v>1</v>
      </c>
      <c r="F150" s="4" t="s">
        <v>17</v>
      </c>
    </row>
    <row r="151" spans="1:6" x14ac:dyDescent="0.25">
      <c r="A151" t="s">
        <v>753</v>
      </c>
      <c r="B151" s="13">
        <f t="shared" si="2"/>
        <v>0</v>
      </c>
      <c r="C151" s="3" t="s">
        <v>151</v>
      </c>
      <c r="D151" s="3"/>
      <c r="E151" s="4" t="s">
        <v>1</v>
      </c>
      <c r="F151" s="4" t="s">
        <v>25</v>
      </c>
    </row>
    <row r="152" spans="1:6" x14ac:dyDescent="0.25">
      <c r="A152" t="s">
        <v>753</v>
      </c>
      <c r="B152" s="13">
        <f t="shared" si="2"/>
        <v>0</v>
      </c>
      <c r="C152" s="17" t="s">
        <v>152</v>
      </c>
      <c r="D152" s="17"/>
      <c r="E152" s="21" t="s">
        <v>1</v>
      </c>
      <c r="F152" s="1" t="s">
        <v>2</v>
      </c>
    </row>
    <row r="153" spans="1:6" x14ac:dyDescent="0.25">
      <c r="A153" t="s">
        <v>753</v>
      </c>
      <c r="B153" s="13">
        <f t="shared" si="2"/>
        <v>0</v>
      </c>
      <c r="C153" s="18"/>
      <c r="D153" s="18"/>
      <c r="E153" s="22"/>
      <c r="F153" s="2" t="s">
        <v>153</v>
      </c>
    </row>
    <row r="154" spans="1:6" x14ac:dyDescent="0.25">
      <c r="A154" t="s">
        <v>753</v>
      </c>
      <c r="B154" s="13">
        <f t="shared" si="2"/>
        <v>0</v>
      </c>
      <c r="C154" s="3" t="s">
        <v>154</v>
      </c>
      <c r="D154" s="3"/>
      <c r="E154" s="4" t="s">
        <v>1</v>
      </c>
      <c r="F154" s="4" t="s">
        <v>17</v>
      </c>
    </row>
    <row r="155" spans="1:6" x14ac:dyDescent="0.25">
      <c r="A155" t="s">
        <v>753</v>
      </c>
      <c r="B155" s="13">
        <f t="shared" si="2"/>
        <v>10</v>
      </c>
      <c r="C155" s="3" t="s">
        <v>155</v>
      </c>
      <c r="D155" s="7">
        <v>6.9444444444444441E-3</v>
      </c>
      <c r="E155" s="4" t="s">
        <v>1</v>
      </c>
      <c r="F155" s="8" t="s">
        <v>7</v>
      </c>
    </row>
    <row r="156" spans="1:6" x14ac:dyDescent="0.25">
      <c r="A156" t="s">
        <v>753</v>
      </c>
      <c r="B156" s="13">
        <f t="shared" si="2"/>
        <v>30</v>
      </c>
      <c r="C156" s="17" t="s">
        <v>156</v>
      </c>
      <c r="D156" s="19">
        <v>2.0833333333333332E-2</v>
      </c>
      <c r="E156" s="21" t="s">
        <v>1</v>
      </c>
      <c r="F156" s="5" t="s">
        <v>157</v>
      </c>
    </row>
    <row r="157" spans="1:6" x14ac:dyDescent="0.25">
      <c r="A157" t="s">
        <v>753</v>
      </c>
      <c r="B157" s="13">
        <f t="shared" si="2"/>
        <v>0</v>
      </c>
      <c r="C157" s="18"/>
      <c r="D157" s="20"/>
      <c r="E157" s="22"/>
      <c r="F157" s="6" t="s">
        <v>158</v>
      </c>
    </row>
    <row r="158" spans="1:6" x14ac:dyDescent="0.25">
      <c r="A158" t="s">
        <v>753</v>
      </c>
      <c r="B158" s="13">
        <f t="shared" si="2"/>
        <v>60</v>
      </c>
      <c r="C158" s="3" t="s">
        <v>159</v>
      </c>
      <c r="D158" s="7">
        <v>4.1666666666666664E-2</v>
      </c>
      <c r="E158" s="4" t="s">
        <v>1</v>
      </c>
      <c r="F158" s="9" t="s">
        <v>160</v>
      </c>
    </row>
    <row r="159" spans="1:6" x14ac:dyDescent="0.25">
      <c r="A159" t="s">
        <v>753</v>
      </c>
      <c r="B159" s="13">
        <f t="shared" si="2"/>
        <v>70</v>
      </c>
      <c r="C159" s="17" t="s">
        <v>161</v>
      </c>
      <c r="D159" s="19">
        <v>4.8611111111111112E-2</v>
      </c>
      <c r="E159" s="21" t="s">
        <v>1</v>
      </c>
      <c r="F159" s="5" t="s">
        <v>162</v>
      </c>
    </row>
    <row r="160" spans="1:6" x14ac:dyDescent="0.25">
      <c r="A160" t="s">
        <v>753</v>
      </c>
      <c r="B160" s="13">
        <f t="shared" si="2"/>
        <v>0</v>
      </c>
      <c r="C160" s="18"/>
      <c r="D160" s="20"/>
      <c r="E160" s="22"/>
      <c r="F160" s="6" t="s">
        <v>163</v>
      </c>
    </row>
    <row r="161" spans="1:6" x14ac:dyDescent="0.25">
      <c r="A161" t="s">
        <v>753</v>
      </c>
      <c r="B161" s="13">
        <f t="shared" si="2"/>
        <v>10</v>
      </c>
      <c r="C161" s="3" t="s">
        <v>164</v>
      </c>
      <c r="D161" s="7">
        <v>6.9444444444444441E-3</v>
      </c>
      <c r="E161" s="4" t="s">
        <v>1</v>
      </c>
      <c r="F161" s="8" t="s">
        <v>7</v>
      </c>
    </row>
    <row r="162" spans="1:6" x14ac:dyDescent="0.25">
      <c r="A162" t="s">
        <v>753</v>
      </c>
      <c r="B162" s="13">
        <f t="shared" si="2"/>
        <v>133</v>
      </c>
      <c r="C162" s="17" t="s">
        <v>165</v>
      </c>
      <c r="D162" s="19">
        <v>9.2361111111111116E-2</v>
      </c>
      <c r="E162" s="21" t="s">
        <v>1</v>
      </c>
      <c r="F162" s="5" t="s">
        <v>166</v>
      </c>
    </row>
    <row r="163" spans="1:6" x14ac:dyDescent="0.25">
      <c r="A163" t="s">
        <v>753</v>
      </c>
      <c r="B163" s="13">
        <f t="shared" si="2"/>
        <v>0</v>
      </c>
      <c r="C163" s="18"/>
      <c r="D163" s="20"/>
      <c r="E163" s="22"/>
      <c r="F163" s="6" t="s">
        <v>167</v>
      </c>
    </row>
    <row r="164" spans="1:6" x14ac:dyDescent="0.25">
      <c r="A164" t="s">
        <v>753</v>
      </c>
      <c r="B164" s="13">
        <f t="shared" si="2"/>
        <v>32</v>
      </c>
      <c r="C164" s="17" t="s">
        <v>168</v>
      </c>
      <c r="D164" s="19">
        <v>2.2222222222222223E-2</v>
      </c>
      <c r="E164" s="21" t="s">
        <v>1</v>
      </c>
      <c r="F164" s="5" t="s">
        <v>169</v>
      </c>
    </row>
    <row r="165" spans="1:6" x14ac:dyDescent="0.25">
      <c r="A165" t="s">
        <v>753</v>
      </c>
      <c r="B165" s="13">
        <f t="shared" si="2"/>
        <v>0</v>
      </c>
      <c r="C165" s="18"/>
      <c r="D165" s="20"/>
      <c r="E165" s="22"/>
      <c r="F165" s="6" t="s">
        <v>170</v>
      </c>
    </row>
    <row r="166" spans="1:6" x14ac:dyDescent="0.25">
      <c r="A166" t="s">
        <v>753</v>
      </c>
      <c r="B166" s="13">
        <f t="shared" si="2"/>
        <v>102</v>
      </c>
      <c r="C166" s="17" t="s">
        <v>171</v>
      </c>
      <c r="D166" s="19">
        <v>7.0833333333333331E-2</v>
      </c>
      <c r="E166" s="21" t="s">
        <v>1</v>
      </c>
      <c r="F166" s="5" t="s">
        <v>172</v>
      </c>
    </row>
    <row r="167" spans="1:6" x14ac:dyDescent="0.25">
      <c r="A167" t="s">
        <v>753</v>
      </c>
      <c r="B167" s="13">
        <f t="shared" si="2"/>
        <v>0</v>
      </c>
      <c r="C167" s="18"/>
      <c r="D167" s="20"/>
      <c r="E167" s="22"/>
      <c r="F167" s="6" t="s">
        <v>173</v>
      </c>
    </row>
    <row r="168" spans="1:6" x14ac:dyDescent="0.25">
      <c r="A168" t="s">
        <v>753</v>
      </c>
      <c r="B168" s="13">
        <f t="shared" si="2"/>
        <v>10</v>
      </c>
      <c r="C168" s="3" t="s">
        <v>174</v>
      </c>
      <c r="D168" s="7">
        <v>6.9444444444444441E-3</v>
      </c>
      <c r="E168" s="4" t="s">
        <v>1</v>
      </c>
      <c r="F168" s="8" t="s">
        <v>7</v>
      </c>
    </row>
    <row r="169" spans="1:6" x14ac:dyDescent="0.25">
      <c r="A169" t="s">
        <v>753</v>
      </c>
      <c r="B169" s="13">
        <f t="shared" si="2"/>
        <v>55.000000000000007</v>
      </c>
      <c r="C169" s="17" t="s">
        <v>175</v>
      </c>
      <c r="D169" s="19">
        <v>3.8194444444444448E-2</v>
      </c>
      <c r="E169" s="21" t="s">
        <v>1</v>
      </c>
      <c r="F169" s="5" t="s">
        <v>176</v>
      </c>
    </row>
    <row r="170" spans="1:6" x14ac:dyDescent="0.25">
      <c r="A170" t="s">
        <v>753</v>
      </c>
      <c r="B170" s="13">
        <f t="shared" si="2"/>
        <v>0</v>
      </c>
      <c r="C170" s="18"/>
      <c r="D170" s="20"/>
      <c r="E170" s="22"/>
      <c r="F170" s="6" t="s">
        <v>177</v>
      </c>
    </row>
    <row r="171" spans="1:6" x14ac:dyDescent="0.25">
      <c r="A171" t="s">
        <v>753</v>
      </c>
      <c r="B171" s="13">
        <f t="shared" si="2"/>
        <v>30.999999999999996</v>
      </c>
      <c r="C171" s="17" t="s">
        <v>178</v>
      </c>
      <c r="D171" s="19">
        <v>2.1527777777777778E-2</v>
      </c>
      <c r="E171" s="21" t="s">
        <v>1</v>
      </c>
      <c r="F171" s="5" t="s">
        <v>132</v>
      </c>
    </row>
    <row r="172" spans="1:6" x14ac:dyDescent="0.25">
      <c r="A172" t="s">
        <v>753</v>
      </c>
      <c r="B172" s="13">
        <f t="shared" si="2"/>
        <v>0</v>
      </c>
      <c r="C172" s="18"/>
      <c r="D172" s="20"/>
      <c r="E172" s="22"/>
      <c r="F172" s="6" t="s">
        <v>179</v>
      </c>
    </row>
    <row r="173" spans="1:6" x14ac:dyDescent="0.25">
      <c r="A173" t="s">
        <v>753</v>
      </c>
      <c r="B173" s="13">
        <f t="shared" si="2"/>
        <v>159</v>
      </c>
      <c r="C173" s="17" t="s">
        <v>180</v>
      </c>
      <c r="D173" s="19">
        <v>0.11041666666666666</v>
      </c>
      <c r="E173" s="21" t="s">
        <v>1</v>
      </c>
      <c r="F173" s="5" t="s">
        <v>181</v>
      </c>
    </row>
    <row r="174" spans="1:6" x14ac:dyDescent="0.25">
      <c r="A174" t="s">
        <v>753</v>
      </c>
      <c r="B174" s="13">
        <f t="shared" si="2"/>
        <v>0</v>
      </c>
      <c r="C174" s="18"/>
      <c r="D174" s="20"/>
      <c r="E174" s="22"/>
      <c r="F174" s="6" t="s">
        <v>182</v>
      </c>
    </row>
    <row r="175" spans="1:6" x14ac:dyDescent="0.25">
      <c r="A175" t="s">
        <v>753</v>
      </c>
      <c r="B175" s="13">
        <f t="shared" si="2"/>
        <v>53.999999999999993</v>
      </c>
      <c r="C175" s="17" t="s">
        <v>183</v>
      </c>
      <c r="D175" s="19">
        <v>3.7499999999999999E-2</v>
      </c>
      <c r="E175" s="21" t="s">
        <v>1</v>
      </c>
      <c r="F175" s="5" t="s">
        <v>184</v>
      </c>
    </row>
    <row r="176" spans="1:6" x14ac:dyDescent="0.25">
      <c r="A176" t="s">
        <v>753</v>
      </c>
      <c r="B176" s="13">
        <f t="shared" si="2"/>
        <v>0</v>
      </c>
      <c r="C176" s="18"/>
      <c r="D176" s="20"/>
      <c r="E176" s="22"/>
      <c r="F176" s="6" t="s">
        <v>185</v>
      </c>
    </row>
    <row r="177" spans="1:6" x14ac:dyDescent="0.25">
      <c r="A177" t="s">
        <v>753</v>
      </c>
      <c r="B177" s="13">
        <f t="shared" si="2"/>
        <v>65.999999999999986</v>
      </c>
      <c r="C177" s="17" t="s">
        <v>186</v>
      </c>
      <c r="D177" s="19">
        <v>4.583333333333333E-2</v>
      </c>
      <c r="E177" s="21" t="s">
        <v>1</v>
      </c>
      <c r="F177" s="5" t="s">
        <v>187</v>
      </c>
    </row>
    <row r="178" spans="1:6" x14ac:dyDescent="0.25">
      <c r="A178" t="s">
        <v>753</v>
      </c>
      <c r="B178" s="13">
        <f t="shared" si="2"/>
        <v>0</v>
      </c>
      <c r="C178" s="18"/>
      <c r="D178" s="20"/>
      <c r="E178" s="22"/>
      <c r="F178" s="6" t="s">
        <v>188</v>
      </c>
    </row>
    <row r="179" spans="1:6" x14ac:dyDescent="0.25">
      <c r="A179" t="s">
        <v>753</v>
      </c>
      <c r="B179" s="13">
        <f t="shared" si="2"/>
        <v>10</v>
      </c>
      <c r="C179" s="3" t="s">
        <v>189</v>
      </c>
      <c r="D179" s="7">
        <v>6.9444444444444441E-3</v>
      </c>
      <c r="E179" s="4" t="s">
        <v>1</v>
      </c>
      <c r="F179" s="8" t="s">
        <v>7</v>
      </c>
    </row>
    <row r="180" spans="1:6" x14ac:dyDescent="0.25">
      <c r="A180" t="s">
        <v>753</v>
      </c>
      <c r="B180" s="13">
        <f t="shared" si="2"/>
        <v>45</v>
      </c>
      <c r="C180" s="17" t="s">
        <v>190</v>
      </c>
      <c r="D180" s="19">
        <v>3.125E-2</v>
      </c>
      <c r="E180" s="21" t="s">
        <v>1</v>
      </c>
      <c r="F180" s="5" t="s">
        <v>191</v>
      </c>
    </row>
    <row r="181" spans="1:6" x14ac:dyDescent="0.25">
      <c r="A181" t="s">
        <v>753</v>
      </c>
      <c r="B181" s="13">
        <f t="shared" si="2"/>
        <v>0</v>
      </c>
      <c r="C181" s="18"/>
      <c r="D181" s="20"/>
      <c r="E181" s="22"/>
      <c r="F181" s="6" t="s">
        <v>192</v>
      </c>
    </row>
    <row r="182" spans="1:6" x14ac:dyDescent="0.25">
      <c r="A182" t="s">
        <v>753</v>
      </c>
      <c r="B182" s="13">
        <f t="shared" si="2"/>
        <v>19</v>
      </c>
      <c r="C182" s="17" t="s">
        <v>193</v>
      </c>
      <c r="D182" s="19">
        <v>1.3194444444444444E-2</v>
      </c>
      <c r="E182" s="21" t="s">
        <v>1</v>
      </c>
      <c r="F182" s="5" t="s">
        <v>194</v>
      </c>
    </row>
    <row r="183" spans="1:6" x14ac:dyDescent="0.25">
      <c r="A183" t="s">
        <v>753</v>
      </c>
      <c r="B183" s="13">
        <f t="shared" si="2"/>
        <v>0</v>
      </c>
      <c r="C183" s="18"/>
      <c r="D183" s="20"/>
      <c r="E183" s="22"/>
      <c r="F183" s="6" t="s">
        <v>195</v>
      </c>
    </row>
    <row r="184" spans="1:6" x14ac:dyDescent="0.25">
      <c r="A184" t="s">
        <v>753</v>
      </c>
      <c r="B184" s="13">
        <f t="shared" si="2"/>
        <v>10</v>
      </c>
      <c r="C184" s="3" t="s">
        <v>196</v>
      </c>
      <c r="D184" s="7">
        <v>6.9444444444444441E-3</v>
      </c>
      <c r="E184" s="4" t="s">
        <v>1</v>
      </c>
      <c r="F184" s="8" t="s">
        <v>7</v>
      </c>
    </row>
    <row r="185" spans="1:6" x14ac:dyDescent="0.25">
      <c r="A185" t="s">
        <v>753</v>
      </c>
      <c r="B185" s="13">
        <f t="shared" si="2"/>
        <v>57</v>
      </c>
      <c r="C185" s="17" t="s">
        <v>197</v>
      </c>
      <c r="D185" s="19">
        <v>3.9583333333333331E-2</v>
      </c>
      <c r="E185" s="21" t="s">
        <v>1</v>
      </c>
      <c r="F185" s="5" t="s">
        <v>198</v>
      </c>
    </row>
    <row r="186" spans="1:6" x14ac:dyDescent="0.25">
      <c r="A186" t="s">
        <v>753</v>
      </c>
      <c r="B186" s="13">
        <f t="shared" si="2"/>
        <v>0</v>
      </c>
      <c r="C186" s="18"/>
      <c r="D186" s="20"/>
      <c r="E186" s="22"/>
      <c r="F186" s="6" t="s">
        <v>199</v>
      </c>
    </row>
    <row r="187" spans="1:6" x14ac:dyDescent="0.25">
      <c r="A187" t="s">
        <v>753</v>
      </c>
      <c r="B187" s="13">
        <f t="shared" si="2"/>
        <v>10</v>
      </c>
      <c r="C187" s="3" t="s">
        <v>200</v>
      </c>
      <c r="D187" s="7">
        <v>6.9444444444444441E-3</v>
      </c>
      <c r="E187" s="4" t="s">
        <v>1</v>
      </c>
      <c r="F187" s="8" t="s">
        <v>7</v>
      </c>
    </row>
    <row r="188" spans="1:6" x14ac:dyDescent="0.25">
      <c r="A188" t="s">
        <v>753</v>
      </c>
      <c r="B188" s="13">
        <f t="shared" si="2"/>
        <v>20</v>
      </c>
      <c r="C188" s="17" t="s">
        <v>201</v>
      </c>
      <c r="D188" s="19">
        <v>1.3888888888888888E-2</v>
      </c>
      <c r="E188" s="21" t="s">
        <v>1</v>
      </c>
      <c r="F188" s="5" t="s">
        <v>136</v>
      </c>
    </row>
    <row r="189" spans="1:6" x14ac:dyDescent="0.25">
      <c r="A189" t="s">
        <v>753</v>
      </c>
      <c r="B189" s="13">
        <f t="shared" si="2"/>
        <v>0</v>
      </c>
      <c r="C189" s="18"/>
      <c r="D189" s="20"/>
      <c r="E189" s="22"/>
      <c r="F189" s="6" t="s">
        <v>202</v>
      </c>
    </row>
    <row r="190" spans="1:6" x14ac:dyDescent="0.25">
      <c r="A190" t="s">
        <v>753</v>
      </c>
      <c r="B190" s="13">
        <f t="shared" si="2"/>
        <v>96</v>
      </c>
      <c r="C190" s="17" t="s">
        <v>203</v>
      </c>
      <c r="D190" s="19">
        <v>6.6666666666666666E-2</v>
      </c>
      <c r="E190" s="21" t="s">
        <v>1</v>
      </c>
      <c r="F190" s="5" t="s">
        <v>204</v>
      </c>
    </row>
    <row r="191" spans="1:6" x14ac:dyDescent="0.25">
      <c r="A191" t="s">
        <v>753</v>
      </c>
      <c r="B191" s="13">
        <f t="shared" si="2"/>
        <v>0</v>
      </c>
      <c r="C191" s="18"/>
      <c r="D191" s="20"/>
      <c r="E191" s="22"/>
      <c r="F191" s="6" t="s">
        <v>205</v>
      </c>
    </row>
    <row r="192" spans="1:6" x14ac:dyDescent="0.25">
      <c r="A192" t="s">
        <v>753</v>
      </c>
      <c r="B192" s="13">
        <f t="shared" si="2"/>
        <v>285</v>
      </c>
      <c r="C192" s="17" t="s">
        <v>206</v>
      </c>
      <c r="D192" s="19">
        <v>0.19791666666666666</v>
      </c>
      <c r="E192" s="21" t="s">
        <v>1</v>
      </c>
      <c r="F192" s="5" t="s">
        <v>207</v>
      </c>
    </row>
    <row r="193" spans="1:6" x14ac:dyDescent="0.25">
      <c r="A193" t="s">
        <v>753</v>
      </c>
      <c r="B193" s="13">
        <f t="shared" si="2"/>
        <v>0</v>
      </c>
      <c r="C193" s="18"/>
      <c r="D193" s="20"/>
      <c r="E193" s="22"/>
      <c r="F193" s="6" t="s">
        <v>208</v>
      </c>
    </row>
    <row r="194" spans="1:6" x14ac:dyDescent="0.25">
      <c r="A194" t="s">
        <v>753</v>
      </c>
      <c r="B194" s="13">
        <f t="shared" ref="B194:B257" si="3">D194*24*60</f>
        <v>0</v>
      </c>
      <c r="C194" s="3" t="s">
        <v>209</v>
      </c>
      <c r="D194" s="3"/>
      <c r="E194" s="4" t="s">
        <v>1</v>
      </c>
      <c r="F194" s="3" t="s">
        <v>210</v>
      </c>
    </row>
    <row r="195" spans="1:6" x14ac:dyDescent="0.25">
      <c r="A195" t="s">
        <v>753</v>
      </c>
      <c r="B195" s="13">
        <f t="shared" si="3"/>
        <v>0</v>
      </c>
      <c r="C195" s="3" t="s">
        <v>211</v>
      </c>
      <c r="D195" s="3"/>
      <c r="E195" s="4" t="s">
        <v>1</v>
      </c>
      <c r="F195" s="3" t="s">
        <v>210</v>
      </c>
    </row>
    <row r="196" spans="1:6" x14ac:dyDescent="0.25">
      <c r="A196" t="s">
        <v>753</v>
      </c>
      <c r="B196" s="13">
        <f t="shared" si="3"/>
        <v>10</v>
      </c>
      <c r="C196" s="17" t="s">
        <v>212</v>
      </c>
      <c r="D196" s="19">
        <v>6.9444444444444441E-3</v>
      </c>
      <c r="E196" s="21" t="s">
        <v>1</v>
      </c>
      <c r="F196" s="5" t="s">
        <v>7</v>
      </c>
    </row>
    <row r="197" spans="1:6" x14ac:dyDescent="0.25">
      <c r="A197" t="s">
        <v>753</v>
      </c>
      <c r="B197" s="13">
        <f t="shared" si="3"/>
        <v>0</v>
      </c>
      <c r="C197" s="18"/>
      <c r="D197" s="20"/>
      <c r="E197" s="22"/>
      <c r="F197" s="6" t="s">
        <v>8</v>
      </c>
    </row>
    <row r="198" spans="1:6" x14ac:dyDescent="0.25">
      <c r="A198" t="s">
        <v>753</v>
      </c>
      <c r="B198" s="13">
        <f t="shared" si="3"/>
        <v>0</v>
      </c>
      <c r="C198" s="3" t="s">
        <v>213</v>
      </c>
      <c r="D198" s="3"/>
      <c r="E198" s="4" t="s">
        <v>1</v>
      </c>
      <c r="F198" s="4" t="s">
        <v>17</v>
      </c>
    </row>
    <row r="199" spans="1:6" x14ac:dyDescent="0.25">
      <c r="A199" t="s">
        <v>753</v>
      </c>
      <c r="B199" s="13">
        <f t="shared" si="3"/>
        <v>10</v>
      </c>
      <c r="C199" s="17" t="s">
        <v>214</v>
      </c>
      <c r="D199" s="19">
        <v>6.9444444444444441E-3</v>
      </c>
      <c r="E199" s="21" t="s">
        <v>1</v>
      </c>
      <c r="F199" s="5" t="s">
        <v>7</v>
      </c>
    </row>
    <row r="200" spans="1:6" x14ac:dyDescent="0.25">
      <c r="A200" t="s">
        <v>753</v>
      </c>
      <c r="B200" s="13">
        <f t="shared" si="3"/>
        <v>0</v>
      </c>
      <c r="C200" s="18"/>
      <c r="D200" s="20"/>
      <c r="E200" s="22"/>
      <c r="F200" s="6" t="s">
        <v>8</v>
      </c>
    </row>
    <row r="201" spans="1:6" x14ac:dyDescent="0.25">
      <c r="A201" t="s">
        <v>753</v>
      </c>
      <c r="B201" s="13">
        <f t="shared" si="3"/>
        <v>10</v>
      </c>
      <c r="C201" s="17" t="s">
        <v>215</v>
      </c>
      <c r="D201" s="19">
        <v>6.9444444444444441E-3</v>
      </c>
      <c r="E201" s="21" t="s">
        <v>1</v>
      </c>
      <c r="F201" s="5" t="s">
        <v>7</v>
      </c>
    </row>
    <row r="202" spans="1:6" x14ac:dyDescent="0.25">
      <c r="A202" t="s">
        <v>753</v>
      </c>
      <c r="B202" s="13">
        <f t="shared" si="3"/>
        <v>0</v>
      </c>
      <c r="C202" s="18"/>
      <c r="D202" s="20"/>
      <c r="E202" s="22"/>
      <c r="F202" s="6" t="s">
        <v>8</v>
      </c>
    </row>
    <row r="203" spans="1:6" x14ac:dyDescent="0.25">
      <c r="A203" t="s">
        <v>753</v>
      </c>
      <c r="B203" s="13">
        <f t="shared" si="3"/>
        <v>10</v>
      </c>
      <c r="C203" s="17" t="s">
        <v>216</v>
      </c>
      <c r="D203" s="19">
        <v>6.9444444444444441E-3</v>
      </c>
      <c r="E203" s="21" t="s">
        <v>1</v>
      </c>
      <c r="F203" s="5" t="s">
        <v>7</v>
      </c>
    </row>
    <row r="204" spans="1:6" x14ac:dyDescent="0.25">
      <c r="A204" t="s">
        <v>753</v>
      </c>
      <c r="B204" s="13">
        <f t="shared" si="3"/>
        <v>0</v>
      </c>
      <c r="C204" s="18"/>
      <c r="D204" s="20"/>
      <c r="E204" s="22"/>
      <c r="F204" s="6" t="s">
        <v>8</v>
      </c>
    </row>
    <row r="205" spans="1:6" x14ac:dyDescent="0.25">
      <c r="A205" t="s">
        <v>753</v>
      </c>
      <c r="B205" s="13">
        <f t="shared" si="3"/>
        <v>67</v>
      </c>
      <c r="C205" s="17" t="s">
        <v>217</v>
      </c>
      <c r="D205" s="19">
        <v>4.6527777777777779E-2</v>
      </c>
      <c r="E205" s="21" t="s">
        <v>1</v>
      </c>
      <c r="F205" s="5" t="s">
        <v>218</v>
      </c>
    </row>
    <row r="206" spans="1:6" x14ac:dyDescent="0.25">
      <c r="A206" t="s">
        <v>753</v>
      </c>
      <c r="B206" s="13">
        <f t="shared" si="3"/>
        <v>0</v>
      </c>
      <c r="C206" s="18"/>
      <c r="D206" s="20"/>
      <c r="E206" s="22"/>
      <c r="F206" s="6" t="s">
        <v>219</v>
      </c>
    </row>
    <row r="207" spans="1:6" x14ac:dyDescent="0.25">
      <c r="A207" t="s">
        <v>753</v>
      </c>
      <c r="B207" s="13">
        <f t="shared" si="3"/>
        <v>75</v>
      </c>
      <c r="C207" s="17" t="s">
        <v>220</v>
      </c>
      <c r="D207" s="19">
        <v>5.2083333333333336E-2</v>
      </c>
      <c r="E207" s="21" t="s">
        <v>1</v>
      </c>
      <c r="F207" s="5" t="s">
        <v>221</v>
      </c>
    </row>
    <row r="208" spans="1:6" x14ac:dyDescent="0.25">
      <c r="A208" t="s">
        <v>753</v>
      </c>
      <c r="B208" s="13">
        <f t="shared" si="3"/>
        <v>0</v>
      </c>
      <c r="C208" s="18"/>
      <c r="D208" s="20"/>
      <c r="E208" s="22"/>
      <c r="F208" s="6" t="s">
        <v>222</v>
      </c>
    </row>
    <row r="209" spans="1:6" x14ac:dyDescent="0.25">
      <c r="A209" t="s">
        <v>753</v>
      </c>
      <c r="B209" s="13">
        <f t="shared" si="3"/>
        <v>131</v>
      </c>
      <c r="C209" s="17" t="s">
        <v>223</v>
      </c>
      <c r="D209" s="19">
        <v>9.0972222222222218E-2</v>
      </c>
      <c r="E209" s="21" t="s">
        <v>1</v>
      </c>
      <c r="F209" s="5" t="s">
        <v>224</v>
      </c>
    </row>
    <row r="210" spans="1:6" x14ac:dyDescent="0.25">
      <c r="A210" t="s">
        <v>753</v>
      </c>
      <c r="B210" s="13">
        <f t="shared" si="3"/>
        <v>0</v>
      </c>
      <c r="C210" s="18"/>
      <c r="D210" s="20"/>
      <c r="E210" s="22"/>
      <c r="F210" s="6" t="s">
        <v>225</v>
      </c>
    </row>
    <row r="211" spans="1:6" x14ac:dyDescent="0.25">
      <c r="A211" t="s">
        <v>753</v>
      </c>
      <c r="B211" s="13">
        <f t="shared" si="3"/>
        <v>122.99999999999999</v>
      </c>
      <c r="C211" s="17" t="s">
        <v>226</v>
      </c>
      <c r="D211" s="19">
        <v>8.5416666666666669E-2</v>
      </c>
      <c r="E211" s="21" t="s">
        <v>1</v>
      </c>
      <c r="F211" s="5" t="s">
        <v>227</v>
      </c>
    </row>
    <row r="212" spans="1:6" x14ac:dyDescent="0.25">
      <c r="A212" t="s">
        <v>753</v>
      </c>
      <c r="B212" s="13">
        <f t="shared" si="3"/>
        <v>0</v>
      </c>
      <c r="C212" s="18"/>
      <c r="D212" s="20"/>
      <c r="E212" s="22"/>
      <c r="F212" s="6" t="s">
        <v>228</v>
      </c>
    </row>
    <row r="213" spans="1:6" x14ac:dyDescent="0.25">
      <c r="A213" t="s">
        <v>753</v>
      </c>
      <c r="B213" s="13">
        <f t="shared" si="3"/>
        <v>10</v>
      </c>
      <c r="C213" s="3" t="s">
        <v>229</v>
      </c>
      <c r="D213" s="7">
        <v>6.9444444444444441E-3</v>
      </c>
      <c r="E213" s="4" t="s">
        <v>1</v>
      </c>
      <c r="F213" s="8" t="s">
        <v>7</v>
      </c>
    </row>
    <row r="214" spans="1:6" x14ac:dyDescent="0.25">
      <c r="A214" t="s">
        <v>753</v>
      </c>
      <c r="B214" s="13">
        <f t="shared" si="3"/>
        <v>57</v>
      </c>
      <c r="C214" s="17" t="s">
        <v>230</v>
      </c>
      <c r="D214" s="19">
        <v>3.9583333333333331E-2</v>
      </c>
      <c r="E214" s="21" t="s">
        <v>1</v>
      </c>
      <c r="F214" s="5" t="s">
        <v>198</v>
      </c>
    </row>
    <row r="215" spans="1:6" x14ac:dyDescent="0.25">
      <c r="A215" t="s">
        <v>753</v>
      </c>
      <c r="B215" s="13">
        <f t="shared" si="3"/>
        <v>0</v>
      </c>
      <c r="C215" s="18"/>
      <c r="D215" s="20"/>
      <c r="E215" s="22"/>
      <c r="F215" s="6" t="s">
        <v>231</v>
      </c>
    </row>
    <row r="216" spans="1:6" x14ac:dyDescent="0.25">
      <c r="A216" t="s">
        <v>753</v>
      </c>
      <c r="B216" s="13">
        <f t="shared" si="3"/>
        <v>47.000000000000007</v>
      </c>
      <c r="C216" s="17" t="s">
        <v>232</v>
      </c>
      <c r="D216" s="19">
        <v>3.2638888888888891E-2</v>
      </c>
      <c r="E216" s="21" t="s">
        <v>1</v>
      </c>
      <c r="F216" s="5" t="s">
        <v>233</v>
      </c>
    </row>
    <row r="217" spans="1:6" x14ac:dyDescent="0.25">
      <c r="A217" t="s">
        <v>753</v>
      </c>
      <c r="B217" s="13">
        <f t="shared" si="3"/>
        <v>0</v>
      </c>
      <c r="C217" s="18"/>
      <c r="D217" s="20"/>
      <c r="E217" s="22"/>
      <c r="F217" s="6" t="s">
        <v>234</v>
      </c>
    </row>
    <row r="218" spans="1:6" x14ac:dyDescent="0.25">
      <c r="A218" t="s">
        <v>753</v>
      </c>
      <c r="B218" s="13">
        <f t="shared" si="3"/>
        <v>0</v>
      </c>
      <c r="C218" s="3" t="s">
        <v>235</v>
      </c>
      <c r="D218" s="3"/>
      <c r="E218" s="4" t="s">
        <v>1</v>
      </c>
      <c r="F218" s="4" t="s">
        <v>17</v>
      </c>
    </row>
    <row r="219" spans="1:6" x14ac:dyDescent="0.25">
      <c r="A219" t="s">
        <v>753</v>
      </c>
      <c r="B219" s="13">
        <f t="shared" si="3"/>
        <v>0</v>
      </c>
      <c r="C219" s="17" t="s">
        <v>236</v>
      </c>
      <c r="D219" s="17"/>
      <c r="E219" s="21" t="s">
        <v>1</v>
      </c>
      <c r="F219" s="1" t="s">
        <v>2</v>
      </c>
    </row>
    <row r="220" spans="1:6" x14ac:dyDescent="0.25">
      <c r="A220" t="s">
        <v>753</v>
      </c>
      <c r="B220" s="13">
        <f t="shared" si="3"/>
        <v>0</v>
      </c>
      <c r="C220" s="18"/>
      <c r="D220" s="18"/>
      <c r="E220" s="22"/>
      <c r="F220" s="2" t="s">
        <v>237</v>
      </c>
    </row>
    <row r="221" spans="1:6" x14ac:dyDescent="0.25">
      <c r="A221" t="s">
        <v>753</v>
      </c>
      <c r="B221" s="13">
        <f t="shared" si="3"/>
        <v>55.000000000000007</v>
      </c>
      <c r="C221" s="17" t="s">
        <v>238</v>
      </c>
      <c r="D221" s="19">
        <v>3.8194444444444448E-2</v>
      </c>
      <c r="E221" s="21" t="s">
        <v>1</v>
      </c>
      <c r="F221" s="5" t="s">
        <v>176</v>
      </c>
    </row>
    <row r="222" spans="1:6" x14ac:dyDescent="0.25">
      <c r="A222" t="s">
        <v>753</v>
      </c>
      <c r="B222" s="13">
        <f t="shared" si="3"/>
        <v>0</v>
      </c>
      <c r="C222" s="18"/>
      <c r="D222" s="20"/>
      <c r="E222" s="22"/>
      <c r="F222" s="6" t="s">
        <v>239</v>
      </c>
    </row>
    <row r="223" spans="1:6" x14ac:dyDescent="0.25">
      <c r="A223" t="s">
        <v>753</v>
      </c>
      <c r="B223" s="13">
        <f t="shared" si="3"/>
        <v>0</v>
      </c>
      <c r="C223" s="3" t="s">
        <v>240</v>
      </c>
      <c r="D223" s="3"/>
      <c r="E223" s="4" t="s">
        <v>1</v>
      </c>
      <c r="F223" s="4" t="s">
        <v>17</v>
      </c>
    </row>
    <row r="224" spans="1:6" x14ac:dyDescent="0.25">
      <c r="A224" t="s">
        <v>753</v>
      </c>
      <c r="B224" s="13">
        <f t="shared" si="3"/>
        <v>22</v>
      </c>
      <c r="C224" s="17" t="s">
        <v>241</v>
      </c>
      <c r="D224" s="19">
        <v>1.5277777777777777E-2</v>
      </c>
      <c r="E224" s="21" t="s">
        <v>1</v>
      </c>
      <c r="F224" s="5" t="s">
        <v>242</v>
      </c>
    </row>
    <row r="225" spans="1:6" x14ac:dyDescent="0.25">
      <c r="A225" t="s">
        <v>753</v>
      </c>
      <c r="B225" s="13">
        <f t="shared" si="3"/>
        <v>0</v>
      </c>
      <c r="C225" s="18"/>
      <c r="D225" s="20"/>
      <c r="E225" s="22"/>
      <c r="F225" s="6" t="s">
        <v>243</v>
      </c>
    </row>
    <row r="226" spans="1:6" x14ac:dyDescent="0.25">
      <c r="A226" t="s">
        <v>753</v>
      </c>
      <c r="B226" s="13">
        <f t="shared" si="3"/>
        <v>10</v>
      </c>
      <c r="C226" s="3" t="s">
        <v>244</v>
      </c>
      <c r="D226" s="7">
        <v>6.9444444444444441E-3</v>
      </c>
      <c r="E226" s="4" t="s">
        <v>1</v>
      </c>
      <c r="F226" s="8" t="s">
        <v>7</v>
      </c>
    </row>
    <row r="227" spans="1:6" x14ac:dyDescent="0.25">
      <c r="A227" t="s">
        <v>753</v>
      </c>
      <c r="B227" s="13">
        <f t="shared" si="3"/>
        <v>45</v>
      </c>
      <c r="C227" s="17" t="s">
        <v>245</v>
      </c>
      <c r="D227" s="19">
        <v>3.125E-2</v>
      </c>
      <c r="E227" s="21" t="s">
        <v>1</v>
      </c>
      <c r="F227" s="5" t="s">
        <v>191</v>
      </c>
    </row>
    <row r="228" spans="1:6" x14ac:dyDescent="0.25">
      <c r="A228" t="s">
        <v>753</v>
      </c>
      <c r="B228" s="13">
        <f t="shared" si="3"/>
        <v>0</v>
      </c>
      <c r="C228" s="18"/>
      <c r="D228" s="20"/>
      <c r="E228" s="22"/>
      <c r="F228" s="6" t="s">
        <v>246</v>
      </c>
    </row>
    <row r="229" spans="1:6" x14ac:dyDescent="0.25">
      <c r="A229" t="s">
        <v>753</v>
      </c>
      <c r="B229" s="13">
        <f t="shared" si="3"/>
        <v>10</v>
      </c>
      <c r="C229" s="3" t="s">
        <v>247</v>
      </c>
      <c r="D229" s="7">
        <v>6.9444444444444441E-3</v>
      </c>
      <c r="E229" s="4" t="s">
        <v>1</v>
      </c>
      <c r="F229" s="8" t="s">
        <v>7</v>
      </c>
    </row>
    <row r="230" spans="1:6" x14ac:dyDescent="0.25">
      <c r="A230" t="s">
        <v>753</v>
      </c>
      <c r="B230" s="13">
        <f t="shared" si="3"/>
        <v>118</v>
      </c>
      <c r="C230" s="17" t="s">
        <v>248</v>
      </c>
      <c r="D230" s="19">
        <v>8.1944444444444445E-2</v>
      </c>
      <c r="E230" s="21" t="s">
        <v>1</v>
      </c>
      <c r="F230" s="5" t="s">
        <v>249</v>
      </c>
    </row>
    <row r="231" spans="1:6" x14ac:dyDescent="0.25">
      <c r="A231" t="s">
        <v>753</v>
      </c>
      <c r="B231" s="13">
        <f t="shared" si="3"/>
        <v>0</v>
      </c>
      <c r="C231" s="18"/>
      <c r="D231" s="20"/>
      <c r="E231" s="22"/>
      <c r="F231" s="6" t="s">
        <v>250</v>
      </c>
    </row>
    <row r="232" spans="1:6" x14ac:dyDescent="0.25">
      <c r="A232" t="s">
        <v>753</v>
      </c>
      <c r="B232" s="13">
        <f t="shared" si="3"/>
        <v>0</v>
      </c>
      <c r="C232" s="3" t="s">
        <v>251</v>
      </c>
      <c r="D232" s="3"/>
      <c r="E232" s="4" t="s">
        <v>1</v>
      </c>
      <c r="F232" s="4" t="s">
        <v>17</v>
      </c>
    </row>
    <row r="233" spans="1:6" x14ac:dyDescent="0.25">
      <c r="A233" t="s">
        <v>753</v>
      </c>
      <c r="B233" s="13">
        <f t="shared" si="3"/>
        <v>0</v>
      </c>
      <c r="C233" s="3" t="s">
        <v>252</v>
      </c>
      <c r="D233" s="3"/>
      <c r="E233" s="4" t="s">
        <v>1</v>
      </c>
      <c r="F233" s="4" t="s">
        <v>17</v>
      </c>
    </row>
    <row r="234" spans="1:6" x14ac:dyDescent="0.25">
      <c r="A234" t="s">
        <v>753</v>
      </c>
      <c r="B234" s="13">
        <f t="shared" si="3"/>
        <v>0</v>
      </c>
      <c r="C234" s="3" t="s">
        <v>253</v>
      </c>
      <c r="D234" s="3"/>
      <c r="E234" s="4" t="s">
        <v>1</v>
      </c>
      <c r="F234" s="4" t="s">
        <v>17</v>
      </c>
    </row>
    <row r="235" spans="1:6" x14ac:dyDescent="0.25">
      <c r="A235" t="s">
        <v>753</v>
      </c>
      <c r="B235" s="13">
        <f t="shared" si="3"/>
        <v>0</v>
      </c>
      <c r="C235" s="3" t="s">
        <v>254</v>
      </c>
      <c r="D235" s="3"/>
      <c r="E235" s="4" t="s">
        <v>1</v>
      </c>
      <c r="F235" s="4" t="s">
        <v>17</v>
      </c>
    </row>
    <row r="236" spans="1:6" x14ac:dyDescent="0.25">
      <c r="A236" t="s">
        <v>753</v>
      </c>
      <c r="B236" s="13">
        <f t="shared" si="3"/>
        <v>10</v>
      </c>
      <c r="C236" s="17" t="s">
        <v>255</v>
      </c>
      <c r="D236" s="19">
        <v>6.9444444444444441E-3</v>
      </c>
      <c r="E236" s="21" t="s">
        <v>1</v>
      </c>
      <c r="F236" s="5" t="s">
        <v>7</v>
      </c>
    </row>
    <row r="237" spans="1:6" x14ac:dyDescent="0.25">
      <c r="A237" t="s">
        <v>753</v>
      </c>
      <c r="B237" s="13">
        <f t="shared" si="3"/>
        <v>0</v>
      </c>
      <c r="C237" s="18"/>
      <c r="D237" s="20"/>
      <c r="E237" s="22"/>
      <c r="F237" s="6" t="s">
        <v>8</v>
      </c>
    </row>
    <row r="238" spans="1:6" x14ac:dyDescent="0.25">
      <c r="A238" t="s">
        <v>753</v>
      </c>
      <c r="B238" s="13">
        <f t="shared" si="3"/>
        <v>10</v>
      </c>
      <c r="C238" s="3" t="s">
        <v>256</v>
      </c>
      <c r="D238" s="7">
        <v>6.9444444444444441E-3</v>
      </c>
      <c r="E238" s="4" t="s">
        <v>1</v>
      </c>
      <c r="F238" s="8" t="s">
        <v>7</v>
      </c>
    </row>
    <row r="239" spans="1:6" x14ac:dyDescent="0.25">
      <c r="A239" t="s">
        <v>753</v>
      </c>
      <c r="B239" s="13">
        <f t="shared" si="3"/>
        <v>10</v>
      </c>
      <c r="C239" s="3" t="s">
        <v>257</v>
      </c>
      <c r="D239" s="7">
        <v>6.9444444444444441E-3</v>
      </c>
      <c r="E239" s="4" t="s">
        <v>1</v>
      </c>
      <c r="F239" s="8" t="s">
        <v>7</v>
      </c>
    </row>
    <row r="240" spans="1:6" x14ac:dyDescent="0.25">
      <c r="A240" t="s">
        <v>753</v>
      </c>
      <c r="B240" s="13">
        <f t="shared" si="3"/>
        <v>0</v>
      </c>
      <c r="C240" s="3" t="s">
        <v>258</v>
      </c>
      <c r="D240" s="3"/>
      <c r="E240" s="4" t="s">
        <v>1</v>
      </c>
      <c r="F240" s="3" t="s">
        <v>27</v>
      </c>
    </row>
    <row r="241" spans="1:6" x14ac:dyDescent="0.25">
      <c r="A241" t="s">
        <v>753</v>
      </c>
      <c r="B241" s="13">
        <f t="shared" si="3"/>
        <v>143</v>
      </c>
      <c r="C241" s="17" t="s">
        <v>259</v>
      </c>
      <c r="D241" s="19">
        <v>9.930555555555555E-2</v>
      </c>
      <c r="E241" s="21" t="s">
        <v>1</v>
      </c>
      <c r="F241" s="5" t="s">
        <v>260</v>
      </c>
    </row>
    <row r="242" spans="1:6" x14ac:dyDescent="0.25">
      <c r="A242" t="s">
        <v>753</v>
      </c>
      <c r="B242" s="13">
        <f t="shared" si="3"/>
        <v>0</v>
      </c>
      <c r="C242" s="18"/>
      <c r="D242" s="20"/>
      <c r="E242" s="22"/>
      <c r="F242" s="6" t="s">
        <v>261</v>
      </c>
    </row>
    <row r="243" spans="1:6" x14ac:dyDescent="0.25">
      <c r="A243" t="s">
        <v>753</v>
      </c>
      <c r="B243" s="13">
        <f t="shared" si="3"/>
        <v>14</v>
      </c>
      <c r="C243" s="17" t="s">
        <v>262</v>
      </c>
      <c r="D243" s="19">
        <v>9.7222222222222224E-3</v>
      </c>
      <c r="E243" s="21" t="s">
        <v>1</v>
      </c>
      <c r="F243" s="5" t="s">
        <v>263</v>
      </c>
    </row>
    <row r="244" spans="1:6" x14ac:dyDescent="0.25">
      <c r="A244" t="s">
        <v>753</v>
      </c>
      <c r="B244" s="13">
        <f t="shared" si="3"/>
        <v>0</v>
      </c>
      <c r="C244" s="18"/>
      <c r="D244" s="20"/>
      <c r="E244" s="22"/>
      <c r="F244" s="6" t="s">
        <v>264</v>
      </c>
    </row>
    <row r="245" spans="1:6" x14ac:dyDescent="0.25">
      <c r="A245" t="s">
        <v>753</v>
      </c>
      <c r="B245" s="13">
        <f t="shared" si="3"/>
        <v>22</v>
      </c>
      <c r="C245" s="17" t="s">
        <v>265</v>
      </c>
      <c r="D245" s="19">
        <v>1.5277777777777777E-2</v>
      </c>
      <c r="E245" s="21" t="s">
        <v>1</v>
      </c>
      <c r="F245" s="5" t="s">
        <v>242</v>
      </c>
    </row>
    <row r="246" spans="1:6" x14ac:dyDescent="0.25">
      <c r="A246" t="s">
        <v>753</v>
      </c>
      <c r="B246" s="13">
        <f t="shared" si="3"/>
        <v>0</v>
      </c>
      <c r="C246" s="18"/>
      <c r="D246" s="20"/>
      <c r="E246" s="22"/>
      <c r="F246" s="6" t="s">
        <v>266</v>
      </c>
    </row>
    <row r="247" spans="1:6" x14ac:dyDescent="0.25">
      <c r="A247" t="s">
        <v>753</v>
      </c>
      <c r="B247" s="13">
        <f t="shared" si="3"/>
        <v>14</v>
      </c>
      <c r="C247" s="17" t="s">
        <v>267</v>
      </c>
      <c r="D247" s="19">
        <v>9.7222222222222224E-3</v>
      </c>
      <c r="E247" s="21" t="s">
        <v>1</v>
      </c>
      <c r="F247" s="5" t="s">
        <v>263</v>
      </c>
    </row>
    <row r="248" spans="1:6" x14ac:dyDescent="0.25">
      <c r="A248" t="s">
        <v>753</v>
      </c>
      <c r="B248" s="13">
        <f t="shared" si="3"/>
        <v>0</v>
      </c>
      <c r="C248" s="18"/>
      <c r="D248" s="20"/>
      <c r="E248" s="22"/>
      <c r="F248" s="6" t="s">
        <v>268</v>
      </c>
    </row>
    <row r="249" spans="1:6" x14ac:dyDescent="0.25">
      <c r="A249" t="s">
        <v>753</v>
      </c>
      <c r="B249" s="13">
        <f t="shared" si="3"/>
        <v>294.99999999999994</v>
      </c>
      <c r="C249" s="17" t="s">
        <v>269</v>
      </c>
      <c r="D249" s="19">
        <v>0.2048611111111111</v>
      </c>
      <c r="E249" s="21" t="s">
        <v>1</v>
      </c>
      <c r="F249" s="5" t="s">
        <v>270</v>
      </c>
    </row>
    <row r="250" spans="1:6" x14ac:dyDescent="0.25">
      <c r="A250" t="s">
        <v>753</v>
      </c>
      <c r="B250" s="13">
        <f t="shared" si="3"/>
        <v>0</v>
      </c>
      <c r="C250" s="18"/>
      <c r="D250" s="20"/>
      <c r="E250" s="22"/>
      <c r="F250" s="6" t="s">
        <v>271</v>
      </c>
    </row>
    <row r="251" spans="1:6" x14ac:dyDescent="0.25">
      <c r="A251" t="s">
        <v>753</v>
      </c>
      <c r="B251" s="13">
        <f t="shared" si="3"/>
        <v>0</v>
      </c>
      <c r="C251" s="3" t="s">
        <v>272</v>
      </c>
      <c r="D251" s="3"/>
      <c r="E251" s="4" t="s">
        <v>1</v>
      </c>
      <c r="F251" s="3" t="s">
        <v>273</v>
      </c>
    </row>
    <row r="252" spans="1:6" x14ac:dyDescent="0.25">
      <c r="A252" t="s">
        <v>753</v>
      </c>
      <c r="B252" s="13">
        <f t="shared" si="3"/>
        <v>61.999999999999993</v>
      </c>
      <c r="C252" s="17" t="s">
        <v>274</v>
      </c>
      <c r="D252" s="19">
        <v>4.3055555555555555E-2</v>
      </c>
      <c r="E252" s="21" t="s">
        <v>1</v>
      </c>
      <c r="F252" s="5" t="s">
        <v>275</v>
      </c>
    </row>
    <row r="253" spans="1:6" x14ac:dyDescent="0.25">
      <c r="A253" t="s">
        <v>753</v>
      </c>
      <c r="B253" s="13">
        <f t="shared" si="3"/>
        <v>0</v>
      </c>
      <c r="C253" s="18"/>
      <c r="D253" s="20"/>
      <c r="E253" s="22"/>
      <c r="F253" s="6" t="s">
        <v>276</v>
      </c>
    </row>
    <row r="254" spans="1:6" x14ac:dyDescent="0.25">
      <c r="A254" t="s">
        <v>753</v>
      </c>
      <c r="B254" s="13">
        <f t="shared" si="3"/>
        <v>22</v>
      </c>
      <c r="C254" s="17" t="s">
        <v>277</v>
      </c>
      <c r="D254" s="19">
        <v>1.5277777777777777E-2</v>
      </c>
      <c r="E254" s="21" t="s">
        <v>1</v>
      </c>
      <c r="F254" s="5" t="s">
        <v>242</v>
      </c>
    </row>
    <row r="255" spans="1:6" x14ac:dyDescent="0.25">
      <c r="A255" t="s">
        <v>753</v>
      </c>
      <c r="B255" s="13">
        <f t="shared" si="3"/>
        <v>0</v>
      </c>
      <c r="C255" s="18"/>
      <c r="D255" s="20"/>
      <c r="E255" s="22"/>
      <c r="F255" s="6" t="s">
        <v>278</v>
      </c>
    </row>
    <row r="256" spans="1:6" x14ac:dyDescent="0.25">
      <c r="A256" t="s">
        <v>753</v>
      </c>
      <c r="B256" s="13">
        <f t="shared" si="3"/>
        <v>0</v>
      </c>
      <c r="C256" s="3" t="s">
        <v>279</v>
      </c>
      <c r="D256" s="3"/>
      <c r="E256" s="4" t="s">
        <v>1</v>
      </c>
      <c r="F256" s="4" t="s">
        <v>17</v>
      </c>
    </row>
    <row r="257" spans="1:6" x14ac:dyDescent="0.25">
      <c r="A257" t="s">
        <v>753</v>
      </c>
      <c r="B257" s="13">
        <f t="shared" si="3"/>
        <v>24</v>
      </c>
      <c r="C257" s="17" t="s">
        <v>280</v>
      </c>
      <c r="D257" s="19">
        <v>1.6666666666666666E-2</v>
      </c>
      <c r="E257" s="21" t="s">
        <v>1</v>
      </c>
      <c r="F257" s="5" t="s">
        <v>281</v>
      </c>
    </row>
    <row r="258" spans="1:6" x14ac:dyDescent="0.25">
      <c r="A258" t="s">
        <v>753</v>
      </c>
      <c r="B258" s="13">
        <f t="shared" ref="B258:B321" si="4">D258*24*60</f>
        <v>0</v>
      </c>
      <c r="C258" s="18"/>
      <c r="D258" s="20"/>
      <c r="E258" s="22"/>
      <c r="F258" s="6" t="s">
        <v>282</v>
      </c>
    </row>
    <row r="259" spans="1:6" x14ac:dyDescent="0.25">
      <c r="A259" t="s">
        <v>753</v>
      </c>
      <c r="B259" s="13">
        <f t="shared" si="4"/>
        <v>23</v>
      </c>
      <c r="C259" s="17" t="s">
        <v>283</v>
      </c>
      <c r="D259" s="19">
        <v>1.5972222222222221E-2</v>
      </c>
      <c r="E259" s="21" t="s">
        <v>1</v>
      </c>
      <c r="F259" s="5" t="s">
        <v>284</v>
      </c>
    </row>
    <row r="260" spans="1:6" x14ac:dyDescent="0.25">
      <c r="A260" t="s">
        <v>753</v>
      </c>
      <c r="B260" s="13">
        <f t="shared" si="4"/>
        <v>0</v>
      </c>
      <c r="C260" s="18"/>
      <c r="D260" s="20"/>
      <c r="E260" s="22"/>
      <c r="F260" s="6" t="s">
        <v>285</v>
      </c>
    </row>
    <row r="261" spans="1:6" x14ac:dyDescent="0.25">
      <c r="A261" t="s">
        <v>753</v>
      </c>
      <c r="B261" s="13">
        <f t="shared" si="4"/>
        <v>70</v>
      </c>
      <c r="C261" s="17" t="s">
        <v>286</v>
      </c>
      <c r="D261" s="19">
        <v>4.8611111111111112E-2</v>
      </c>
      <c r="E261" s="21" t="s">
        <v>1</v>
      </c>
      <c r="F261" s="5" t="s">
        <v>162</v>
      </c>
    </row>
    <row r="262" spans="1:6" x14ac:dyDescent="0.25">
      <c r="A262" t="s">
        <v>753</v>
      </c>
      <c r="B262" s="13">
        <f t="shared" si="4"/>
        <v>0</v>
      </c>
      <c r="C262" s="18"/>
      <c r="D262" s="20"/>
      <c r="E262" s="22"/>
      <c r="F262" s="6" t="s">
        <v>287</v>
      </c>
    </row>
    <row r="263" spans="1:6" x14ac:dyDescent="0.25">
      <c r="A263" t="s">
        <v>753</v>
      </c>
      <c r="B263" s="13">
        <f t="shared" si="4"/>
        <v>0</v>
      </c>
      <c r="C263" s="3" t="s">
        <v>288</v>
      </c>
      <c r="D263" s="3"/>
      <c r="E263" s="4" t="s">
        <v>1</v>
      </c>
      <c r="F263" s="4" t="s">
        <v>17</v>
      </c>
    </row>
    <row r="264" spans="1:6" x14ac:dyDescent="0.25">
      <c r="A264" t="s">
        <v>753</v>
      </c>
      <c r="B264" s="13">
        <f t="shared" si="4"/>
        <v>0</v>
      </c>
      <c r="C264" s="3" t="s">
        <v>289</v>
      </c>
      <c r="D264" s="3"/>
      <c r="E264" s="4" t="s">
        <v>1</v>
      </c>
      <c r="F264" s="4" t="s">
        <v>17</v>
      </c>
    </row>
    <row r="265" spans="1:6" x14ac:dyDescent="0.25">
      <c r="A265" t="s">
        <v>753</v>
      </c>
      <c r="B265" s="13">
        <f t="shared" si="4"/>
        <v>15</v>
      </c>
      <c r="C265" s="17" t="s">
        <v>290</v>
      </c>
      <c r="D265" s="19">
        <v>1.0416666666666666E-2</v>
      </c>
      <c r="E265" s="21" t="s">
        <v>1</v>
      </c>
      <c r="F265" s="5" t="s">
        <v>115</v>
      </c>
    </row>
    <row r="266" spans="1:6" x14ac:dyDescent="0.25">
      <c r="A266" t="s">
        <v>753</v>
      </c>
      <c r="B266" s="13">
        <f t="shared" si="4"/>
        <v>0</v>
      </c>
      <c r="C266" s="18"/>
      <c r="D266" s="20"/>
      <c r="E266" s="22"/>
      <c r="F266" s="6" t="s">
        <v>70</v>
      </c>
    </row>
    <row r="267" spans="1:6" x14ac:dyDescent="0.25">
      <c r="A267" t="s">
        <v>753</v>
      </c>
      <c r="B267" s="13">
        <f t="shared" si="4"/>
        <v>15</v>
      </c>
      <c r="C267" s="17" t="s">
        <v>291</v>
      </c>
      <c r="D267" s="19">
        <v>1.0416666666666666E-2</v>
      </c>
      <c r="E267" s="21" t="s">
        <v>1</v>
      </c>
      <c r="F267" s="5" t="s">
        <v>115</v>
      </c>
    </row>
    <row r="268" spans="1:6" x14ac:dyDescent="0.25">
      <c r="A268" t="s">
        <v>753</v>
      </c>
      <c r="B268" s="13">
        <f t="shared" si="4"/>
        <v>0</v>
      </c>
      <c r="C268" s="18"/>
      <c r="D268" s="20"/>
      <c r="E268" s="22"/>
      <c r="F268" s="6" t="s">
        <v>70</v>
      </c>
    </row>
    <row r="269" spans="1:6" x14ac:dyDescent="0.25">
      <c r="A269" t="s">
        <v>753</v>
      </c>
      <c r="B269" s="13">
        <f t="shared" si="4"/>
        <v>15</v>
      </c>
      <c r="C269" s="17" t="s">
        <v>292</v>
      </c>
      <c r="D269" s="19">
        <v>1.0416666666666666E-2</v>
      </c>
      <c r="E269" s="21" t="s">
        <v>1</v>
      </c>
      <c r="F269" s="5" t="s">
        <v>115</v>
      </c>
    </row>
    <row r="270" spans="1:6" x14ac:dyDescent="0.25">
      <c r="A270" t="s">
        <v>753</v>
      </c>
      <c r="B270" s="13">
        <f t="shared" si="4"/>
        <v>0</v>
      </c>
      <c r="C270" s="18"/>
      <c r="D270" s="20"/>
      <c r="E270" s="22"/>
      <c r="F270" s="6" t="s">
        <v>116</v>
      </c>
    </row>
    <row r="271" spans="1:6" x14ac:dyDescent="0.25">
      <c r="A271" t="s">
        <v>753</v>
      </c>
      <c r="B271" s="13">
        <f t="shared" si="4"/>
        <v>20</v>
      </c>
      <c r="C271" s="17" t="s">
        <v>293</v>
      </c>
      <c r="D271" s="19">
        <v>1.3888888888888888E-2</v>
      </c>
      <c r="E271" s="21" t="s">
        <v>1</v>
      </c>
      <c r="F271" s="5" t="s">
        <v>136</v>
      </c>
    </row>
    <row r="272" spans="1:6" x14ac:dyDescent="0.25">
      <c r="A272" t="s">
        <v>753</v>
      </c>
      <c r="B272" s="13">
        <f t="shared" si="4"/>
        <v>0</v>
      </c>
      <c r="C272" s="18"/>
      <c r="D272" s="20"/>
      <c r="E272" s="22"/>
      <c r="F272" s="6" t="s">
        <v>64</v>
      </c>
    </row>
    <row r="273" spans="1:6" x14ac:dyDescent="0.25">
      <c r="A273" t="s">
        <v>753</v>
      </c>
      <c r="B273" s="13">
        <f t="shared" si="4"/>
        <v>15</v>
      </c>
      <c r="C273" s="17" t="s">
        <v>294</v>
      </c>
      <c r="D273" s="19">
        <v>1.0416666666666666E-2</v>
      </c>
      <c r="E273" s="21" t="s">
        <v>1</v>
      </c>
      <c r="F273" s="5" t="s">
        <v>115</v>
      </c>
    </row>
    <row r="274" spans="1:6" x14ac:dyDescent="0.25">
      <c r="A274" t="s">
        <v>753</v>
      </c>
      <c r="B274" s="13">
        <f t="shared" si="4"/>
        <v>0</v>
      </c>
      <c r="C274" s="18"/>
      <c r="D274" s="20"/>
      <c r="E274" s="22"/>
      <c r="F274" s="6" t="s">
        <v>116</v>
      </c>
    </row>
    <row r="275" spans="1:6" x14ac:dyDescent="0.25">
      <c r="A275" t="s">
        <v>753</v>
      </c>
      <c r="B275" s="13">
        <f t="shared" si="4"/>
        <v>10</v>
      </c>
      <c r="C275" s="3" t="s">
        <v>295</v>
      </c>
      <c r="D275" s="7">
        <v>6.9444444444444441E-3</v>
      </c>
      <c r="E275" s="4" t="s">
        <v>1</v>
      </c>
      <c r="F275" s="8" t="s">
        <v>7</v>
      </c>
    </row>
    <row r="276" spans="1:6" x14ac:dyDescent="0.25">
      <c r="A276" t="s">
        <v>753</v>
      </c>
      <c r="B276" s="13">
        <f t="shared" si="4"/>
        <v>0</v>
      </c>
      <c r="C276" s="3" t="s">
        <v>296</v>
      </c>
      <c r="D276" s="3"/>
      <c r="E276" s="4" t="s">
        <v>1</v>
      </c>
      <c r="F276" s="3" t="s">
        <v>297</v>
      </c>
    </row>
    <row r="277" spans="1:6" x14ac:dyDescent="0.25">
      <c r="A277" t="s">
        <v>753</v>
      </c>
      <c r="B277" s="13">
        <f t="shared" si="4"/>
        <v>0</v>
      </c>
      <c r="C277" s="3" t="s">
        <v>298</v>
      </c>
      <c r="D277" s="3"/>
      <c r="E277" s="4" t="s">
        <v>1</v>
      </c>
      <c r="F277" s="3" t="s">
        <v>297</v>
      </c>
    </row>
    <row r="278" spans="1:6" x14ac:dyDescent="0.25">
      <c r="A278" t="s">
        <v>753</v>
      </c>
      <c r="B278" s="13">
        <f t="shared" si="4"/>
        <v>84.999999999999986</v>
      </c>
      <c r="C278" s="17" t="s">
        <v>299</v>
      </c>
      <c r="D278" s="19">
        <v>5.9027777777777776E-2</v>
      </c>
      <c r="E278" s="21" t="s">
        <v>1</v>
      </c>
      <c r="F278" s="5" t="s">
        <v>300</v>
      </c>
    </row>
    <row r="279" spans="1:6" x14ac:dyDescent="0.25">
      <c r="A279" t="s">
        <v>753</v>
      </c>
      <c r="B279" s="13">
        <f t="shared" si="4"/>
        <v>0</v>
      </c>
      <c r="C279" s="18"/>
      <c r="D279" s="20"/>
      <c r="E279" s="22"/>
      <c r="F279" s="6" t="s">
        <v>301</v>
      </c>
    </row>
    <row r="280" spans="1:6" x14ac:dyDescent="0.25">
      <c r="A280" t="s">
        <v>753</v>
      </c>
      <c r="B280" s="13">
        <f t="shared" si="4"/>
        <v>151</v>
      </c>
      <c r="C280" s="17" t="s">
        <v>302</v>
      </c>
      <c r="D280" s="19">
        <v>0.10486111111111111</v>
      </c>
      <c r="E280" s="21" t="s">
        <v>1</v>
      </c>
      <c r="F280" s="5" t="s">
        <v>303</v>
      </c>
    </row>
    <row r="281" spans="1:6" x14ac:dyDescent="0.25">
      <c r="A281" t="s">
        <v>753</v>
      </c>
      <c r="B281" s="13">
        <f t="shared" si="4"/>
        <v>0</v>
      </c>
      <c r="C281" s="18"/>
      <c r="D281" s="20"/>
      <c r="E281" s="22"/>
      <c r="F281" s="6" t="s">
        <v>304</v>
      </c>
    </row>
    <row r="282" spans="1:6" x14ac:dyDescent="0.25">
      <c r="A282" t="s">
        <v>753</v>
      </c>
      <c r="B282" s="13">
        <f t="shared" si="4"/>
        <v>25.999999999999996</v>
      </c>
      <c r="C282" s="17" t="s">
        <v>305</v>
      </c>
      <c r="D282" s="19">
        <v>1.8055555555555554E-2</v>
      </c>
      <c r="E282" s="21" t="s">
        <v>1</v>
      </c>
      <c r="F282" s="5" t="s">
        <v>306</v>
      </c>
    </row>
    <row r="283" spans="1:6" x14ac:dyDescent="0.25">
      <c r="A283" t="s">
        <v>753</v>
      </c>
      <c r="B283" s="13">
        <f t="shared" si="4"/>
        <v>0</v>
      </c>
      <c r="C283" s="18"/>
      <c r="D283" s="20"/>
      <c r="E283" s="22"/>
      <c r="F283" s="6" t="s">
        <v>307</v>
      </c>
    </row>
    <row r="284" spans="1:6" x14ac:dyDescent="0.25">
      <c r="A284" t="s">
        <v>753</v>
      </c>
      <c r="B284" s="13">
        <f t="shared" si="4"/>
        <v>60</v>
      </c>
      <c r="C284" s="3" t="s">
        <v>308</v>
      </c>
      <c r="D284" s="7">
        <v>4.1666666666666664E-2</v>
      </c>
      <c r="E284" s="4" t="s">
        <v>1</v>
      </c>
      <c r="F284" s="9" t="s">
        <v>160</v>
      </c>
    </row>
    <row r="285" spans="1:6" x14ac:dyDescent="0.25">
      <c r="A285" t="s">
        <v>753</v>
      </c>
      <c r="B285" s="13">
        <f t="shared" si="4"/>
        <v>10</v>
      </c>
      <c r="C285" s="3" t="s">
        <v>309</v>
      </c>
      <c r="D285" s="7">
        <v>6.9444444444444441E-3</v>
      </c>
      <c r="E285" s="4" t="s">
        <v>1</v>
      </c>
      <c r="F285" s="8" t="s">
        <v>7</v>
      </c>
    </row>
    <row r="286" spans="1:6" x14ac:dyDescent="0.25">
      <c r="A286" t="s">
        <v>753</v>
      </c>
      <c r="B286" s="13">
        <f t="shared" si="4"/>
        <v>26.999999999999996</v>
      </c>
      <c r="C286" s="17" t="s">
        <v>310</v>
      </c>
      <c r="D286" s="19">
        <v>1.8749999999999999E-2</v>
      </c>
      <c r="E286" s="21" t="s">
        <v>1</v>
      </c>
      <c r="F286" s="5" t="s">
        <v>311</v>
      </c>
    </row>
    <row r="287" spans="1:6" x14ac:dyDescent="0.25">
      <c r="A287" t="s">
        <v>753</v>
      </c>
      <c r="B287" s="13">
        <f t="shared" si="4"/>
        <v>0</v>
      </c>
      <c r="C287" s="18"/>
      <c r="D287" s="20"/>
      <c r="E287" s="22"/>
      <c r="F287" s="6" t="s">
        <v>312</v>
      </c>
    </row>
    <row r="288" spans="1:6" x14ac:dyDescent="0.25">
      <c r="A288" t="s">
        <v>753</v>
      </c>
      <c r="B288" s="13">
        <f t="shared" si="4"/>
        <v>0</v>
      </c>
      <c r="C288" s="3" t="s">
        <v>313</v>
      </c>
      <c r="D288" s="3"/>
      <c r="E288" s="4" t="s">
        <v>1</v>
      </c>
      <c r="F288" s="4" t="s">
        <v>17</v>
      </c>
    </row>
    <row r="289" spans="1:6" x14ac:dyDescent="0.25">
      <c r="A289" t="s">
        <v>753</v>
      </c>
      <c r="B289" s="13">
        <f t="shared" si="4"/>
        <v>26.999999999999996</v>
      </c>
      <c r="C289" s="17" t="s">
        <v>314</v>
      </c>
      <c r="D289" s="19">
        <v>1.8749999999999999E-2</v>
      </c>
      <c r="E289" s="21" t="s">
        <v>1</v>
      </c>
      <c r="F289" s="5" t="s">
        <v>311</v>
      </c>
    </row>
    <row r="290" spans="1:6" x14ac:dyDescent="0.25">
      <c r="A290" t="s">
        <v>753</v>
      </c>
      <c r="B290" s="13">
        <f t="shared" si="4"/>
        <v>0</v>
      </c>
      <c r="C290" s="18"/>
      <c r="D290" s="20"/>
      <c r="E290" s="22"/>
      <c r="F290" s="6" t="s">
        <v>315</v>
      </c>
    </row>
    <row r="291" spans="1:6" x14ac:dyDescent="0.25">
      <c r="A291" t="s">
        <v>753</v>
      </c>
      <c r="B291" s="13">
        <f t="shared" si="4"/>
        <v>84</v>
      </c>
      <c r="C291" s="17" t="s">
        <v>316</v>
      </c>
      <c r="D291" s="19">
        <v>5.8333333333333334E-2</v>
      </c>
      <c r="E291" s="21" t="s">
        <v>1</v>
      </c>
      <c r="F291" s="5" t="s">
        <v>317</v>
      </c>
    </row>
    <row r="292" spans="1:6" x14ac:dyDescent="0.25">
      <c r="A292" t="s">
        <v>753</v>
      </c>
      <c r="B292" s="13">
        <f t="shared" si="4"/>
        <v>0</v>
      </c>
      <c r="C292" s="18"/>
      <c r="D292" s="20"/>
      <c r="E292" s="22"/>
      <c r="F292" s="6" t="s">
        <v>318</v>
      </c>
    </row>
    <row r="293" spans="1:6" x14ac:dyDescent="0.25">
      <c r="A293" t="s">
        <v>753</v>
      </c>
      <c r="B293" s="13">
        <f t="shared" si="4"/>
        <v>20</v>
      </c>
      <c r="C293" s="17" t="s">
        <v>319</v>
      </c>
      <c r="D293" s="19">
        <v>1.3888888888888888E-2</v>
      </c>
      <c r="E293" s="21" t="s">
        <v>1</v>
      </c>
      <c r="F293" s="5" t="s">
        <v>136</v>
      </c>
    </row>
    <row r="294" spans="1:6" x14ac:dyDescent="0.25">
      <c r="A294" t="s">
        <v>753</v>
      </c>
      <c r="B294" s="13">
        <f t="shared" si="4"/>
        <v>0</v>
      </c>
      <c r="C294" s="18"/>
      <c r="D294" s="20"/>
      <c r="E294" s="22"/>
      <c r="F294" s="6" t="s">
        <v>320</v>
      </c>
    </row>
    <row r="295" spans="1:6" x14ac:dyDescent="0.25">
      <c r="A295" t="s">
        <v>753</v>
      </c>
      <c r="B295" s="13">
        <f t="shared" si="4"/>
        <v>0</v>
      </c>
      <c r="C295" s="3" t="s">
        <v>321</v>
      </c>
      <c r="D295" s="3"/>
      <c r="E295" s="4" t="s">
        <v>1</v>
      </c>
      <c r="F295" s="3" t="s">
        <v>322</v>
      </c>
    </row>
    <row r="296" spans="1:6" x14ac:dyDescent="0.25">
      <c r="A296" t="s">
        <v>753</v>
      </c>
      <c r="B296" s="13">
        <f t="shared" si="4"/>
        <v>10</v>
      </c>
      <c r="C296" s="17" t="s">
        <v>323</v>
      </c>
      <c r="D296" s="19">
        <v>6.9444444444444441E-3</v>
      </c>
      <c r="E296" s="21" t="s">
        <v>1</v>
      </c>
      <c r="F296" s="5" t="s">
        <v>7</v>
      </c>
    </row>
    <row r="297" spans="1:6" x14ac:dyDescent="0.25">
      <c r="A297" t="s">
        <v>753</v>
      </c>
      <c r="B297" s="13">
        <f t="shared" si="4"/>
        <v>0</v>
      </c>
      <c r="C297" s="18"/>
      <c r="D297" s="20"/>
      <c r="E297" s="22"/>
      <c r="F297" s="6" t="s">
        <v>10</v>
      </c>
    </row>
    <row r="298" spans="1:6" x14ac:dyDescent="0.25">
      <c r="A298" t="s">
        <v>753</v>
      </c>
      <c r="B298" s="13">
        <f t="shared" si="4"/>
        <v>0</v>
      </c>
      <c r="C298" s="3" t="s">
        <v>324</v>
      </c>
      <c r="D298" s="3"/>
      <c r="E298" s="4" t="s">
        <v>1</v>
      </c>
      <c r="F298" s="4" t="s">
        <v>17</v>
      </c>
    </row>
    <row r="299" spans="1:6" x14ac:dyDescent="0.25">
      <c r="A299" t="s">
        <v>753</v>
      </c>
      <c r="B299" s="13">
        <f t="shared" si="4"/>
        <v>16</v>
      </c>
      <c r="C299" s="17" t="s">
        <v>325</v>
      </c>
      <c r="D299" s="19">
        <v>1.1111111111111112E-2</v>
      </c>
      <c r="E299" s="21" t="s">
        <v>1</v>
      </c>
      <c r="F299" s="5" t="s">
        <v>326</v>
      </c>
    </row>
    <row r="300" spans="1:6" x14ac:dyDescent="0.25">
      <c r="A300" t="s">
        <v>753</v>
      </c>
      <c r="B300" s="13">
        <f t="shared" si="4"/>
        <v>0</v>
      </c>
      <c r="C300" s="18"/>
      <c r="D300" s="20"/>
      <c r="E300" s="22"/>
      <c r="F300" s="6" t="s">
        <v>327</v>
      </c>
    </row>
    <row r="301" spans="1:6" x14ac:dyDescent="0.25">
      <c r="A301" t="s">
        <v>753</v>
      </c>
      <c r="B301" s="13">
        <f t="shared" si="4"/>
        <v>32</v>
      </c>
      <c r="C301" s="17" t="s">
        <v>328</v>
      </c>
      <c r="D301" s="19">
        <v>2.2222222222222223E-2</v>
      </c>
      <c r="E301" s="21" t="s">
        <v>1</v>
      </c>
      <c r="F301" s="5" t="s">
        <v>169</v>
      </c>
    </row>
    <row r="302" spans="1:6" x14ac:dyDescent="0.25">
      <c r="A302" t="s">
        <v>753</v>
      </c>
      <c r="B302" s="13">
        <f t="shared" si="4"/>
        <v>0</v>
      </c>
      <c r="C302" s="18"/>
      <c r="D302" s="20"/>
      <c r="E302" s="22"/>
      <c r="F302" s="6" t="s">
        <v>329</v>
      </c>
    </row>
    <row r="303" spans="1:6" x14ac:dyDescent="0.25">
      <c r="A303" t="s">
        <v>753</v>
      </c>
      <c r="B303" s="13">
        <f t="shared" si="4"/>
        <v>222</v>
      </c>
      <c r="C303" s="17" t="s">
        <v>330</v>
      </c>
      <c r="D303" s="19">
        <v>0.15416666666666667</v>
      </c>
      <c r="E303" s="21" t="s">
        <v>1</v>
      </c>
      <c r="F303" s="5" t="s">
        <v>331</v>
      </c>
    </row>
    <row r="304" spans="1:6" x14ac:dyDescent="0.25">
      <c r="A304" t="s">
        <v>753</v>
      </c>
      <c r="B304" s="13">
        <f t="shared" si="4"/>
        <v>0</v>
      </c>
      <c r="C304" s="18"/>
      <c r="D304" s="20"/>
      <c r="E304" s="22"/>
      <c r="F304" s="6" t="s">
        <v>332</v>
      </c>
    </row>
    <row r="305" spans="1:6" x14ac:dyDescent="0.25">
      <c r="A305" t="s">
        <v>753</v>
      </c>
      <c r="B305" s="13">
        <f t="shared" si="4"/>
        <v>60</v>
      </c>
      <c r="C305" s="3" t="s">
        <v>333</v>
      </c>
      <c r="D305" s="7">
        <v>4.1666666666666664E-2</v>
      </c>
      <c r="E305" s="4" t="s">
        <v>1</v>
      </c>
      <c r="F305" s="9" t="s">
        <v>160</v>
      </c>
    </row>
    <row r="306" spans="1:6" x14ac:dyDescent="0.25">
      <c r="A306" t="s">
        <v>753</v>
      </c>
      <c r="B306" s="13">
        <f t="shared" si="4"/>
        <v>46</v>
      </c>
      <c r="C306" s="17" t="s">
        <v>334</v>
      </c>
      <c r="D306" s="19">
        <v>3.1944444444444442E-2</v>
      </c>
      <c r="E306" s="21" t="s">
        <v>1</v>
      </c>
      <c r="F306" s="5" t="s">
        <v>335</v>
      </c>
    </row>
    <row r="307" spans="1:6" x14ac:dyDescent="0.25">
      <c r="A307" t="s">
        <v>753</v>
      </c>
      <c r="B307" s="13">
        <f t="shared" si="4"/>
        <v>0</v>
      </c>
      <c r="C307" s="18"/>
      <c r="D307" s="20"/>
      <c r="E307" s="22"/>
      <c r="F307" s="6" t="s">
        <v>336</v>
      </c>
    </row>
    <row r="308" spans="1:6" x14ac:dyDescent="0.25">
      <c r="A308" t="s">
        <v>753</v>
      </c>
      <c r="B308" s="13">
        <f t="shared" si="4"/>
        <v>114.99999999999999</v>
      </c>
      <c r="C308" s="17" t="s">
        <v>337</v>
      </c>
      <c r="D308" s="19">
        <v>7.9861111111111105E-2</v>
      </c>
      <c r="E308" s="21" t="s">
        <v>1</v>
      </c>
      <c r="F308" s="5" t="s">
        <v>338</v>
      </c>
    </row>
    <row r="309" spans="1:6" x14ac:dyDescent="0.25">
      <c r="A309" t="s">
        <v>753</v>
      </c>
      <c r="B309" s="13">
        <f t="shared" si="4"/>
        <v>0</v>
      </c>
      <c r="C309" s="18"/>
      <c r="D309" s="20"/>
      <c r="E309" s="22"/>
      <c r="F309" s="6" t="s">
        <v>339</v>
      </c>
    </row>
    <row r="310" spans="1:6" x14ac:dyDescent="0.25">
      <c r="A310" t="s">
        <v>753</v>
      </c>
      <c r="B310" s="13">
        <f t="shared" si="4"/>
        <v>73</v>
      </c>
      <c r="C310" s="17" t="s">
        <v>340</v>
      </c>
      <c r="D310" s="19">
        <v>5.0694444444444445E-2</v>
      </c>
      <c r="E310" s="21" t="s">
        <v>1</v>
      </c>
      <c r="F310" s="5" t="s">
        <v>341</v>
      </c>
    </row>
    <row r="311" spans="1:6" x14ac:dyDescent="0.25">
      <c r="A311" t="s">
        <v>753</v>
      </c>
      <c r="B311" s="13">
        <f t="shared" si="4"/>
        <v>0</v>
      </c>
      <c r="C311" s="18"/>
      <c r="D311" s="20"/>
      <c r="E311" s="22"/>
      <c r="F311" s="6" t="s">
        <v>342</v>
      </c>
    </row>
    <row r="312" spans="1:6" x14ac:dyDescent="0.25">
      <c r="A312" t="s">
        <v>753</v>
      </c>
      <c r="B312" s="13">
        <f t="shared" si="4"/>
        <v>60</v>
      </c>
      <c r="C312" s="3" t="s">
        <v>343</v>
      </c>
      <c r="D312" s="7">
        <v>4.1666666666666664E-2</v>
      </c>
      <c r="E312" s="4" t="s">
        <v>1</v>
      </c>
      <c r="F312" s="9" t="s">
        <v>160</v>
      </c>
    </row>
    <row r="313" spans="1:6" x14ac:dyDescent="0.25">
      <c r="A313" t="s">
        <v>753</v>
      </c>
      <c r="B313" s="13">
        <f t="shared" si="4"/>
        <v>144.00000000000003</v>
      </c>
      <c r="C313" s="17" t="s">
        <v>344</v>
      </c>
      <c r="D313" s="19">
        <v>0.1</v>
      </c>
      <c r="E313" s="21" t="s">
        <v>1</v>
      </c>
      <c r="F313" s="5" t="s">
        <v>345</v>
      </c>
    </row>
    <row r="314" spans="1:6" x14ac:dyDescent="0.25">
      <c r="A314" t="s">
        <v>753</v>
      </c>
      <c r="B314" s="13">
        <f t="shared" si="4"/>
        <v>0</v>
      </c>
      <c r="C314" s="18"/>
      <c r="D314" s="20"/>
      <c r="E314" s="22"/>
      <c r="F314" s="6" t="s">
        <v>346</v>
      </c>
    </row>
    <row r="315" spans="1:6" x14ac:dyDescent="0.25">
      <c r="A315" t="s">
        <v>753</v>
      </c>
      <c r="B315" s="13">
        <f t="shared" si="4"/>
        <v>0</v>
      </c>
      <c r="C315" s="3" t="s">
        <v>347</v>
      </c>
      <c r="D315" s="3"/>
      <c r="E315" s="4" t="s">
        <v>1</v>
      </c>
      <c r="F315" s="4" t="s">
        <v>17</v>
      </c>
    </row>
    <row r="316" spans="1:6" x14ac:dyDescent="0.25">
      <c r="A316" t="s">
        <v>753</v>
      </c>
      <c r="B316" s="13">
        <f t="shared" si="4"/>
        <v>21</v>
      </c>
      <c r="C316" s="17" t="s">
        <v>348</v>
      </c>
      <c r="D316" s="19">
        <v>1.4583333333333334E-2</v>
      </c>
      <c r="E316" s="21" t="s">
        <v>1</v>
      </c>
      <c r="F316" s="5" t="s">
        <v>349</v>
      </c>
    </row>
    <row r="317" spans="1:6" x14ac:dyDescent="0.25">
      <c r="A317" t="s">
        <v>753</v>
      </c>
      <c r="B317" s="13">
        <f t="shared" si="4"/>
        <v>0</v>
      </c>
      <c r="C317" s="18"/>
      <c r="D317" s="20"/>
      <c r="E317" s="22"/>
      <c r="F317" s="6" t="s">
        <v>350</v>
      </c>
    </row>
    <row r="318" spans="1:6" x14ac:dyDescent="0.25">
      <c r="A318" t="s">
        <v>753</v>
      </c>
      <c r="B318" s="13">
        <f t="shared" si="4"/>
        <v>53.999999999999993</v>
      </c>
      <c r="C318" s="17" t="s">
        <v>351</v>
      </c>
      <c r="D318" s="19">
        <v>3.7499999999999999E-2</v>
      </c>
      <c r="E318" s="21" t="s">
        <v>1</v>
      </c>
      <c r="F318" s="5" t="s">
        <v>184</v>
      </c>
    </row>
    <row r="319" spans="1:6" x14ac:dyDescent="0.25">
      <c r="A319" t="s">
        <v>753</v>
      </c>
      <c r="B319" s="13">
        <f t="shared" si="4"/>
        <v>0</v>
      </c>
      <c r="C319" s="18"/>
      <c r="D319" s="20"/>
      <c r="E319" s="22"/>
      <c r="F319" s="6" t="s">
        <v>352</v>
      </c>
    </row>
    <row r="320" spans="1:6" x14ac:dyDescent="0.25">
      <c r="A320" t="s">
        <v>753</v>
      </c>
      <c r="B320" s="13">
        <f t="shared" si="4"/>
        <v>68</v>
      </c>
      <c r="C320" s="17" t="s">
        <v>353</v>
      </c>
      <c r="D320" s="19">
        <v>4.7222222222222221E-2</v>
      </c>
      <c r="E320" s="21" t="s">
        <v>1</v>
      </c>
      <c r="F320" s="5" t="s">
        <v>354</v>
      </c>
    </row>
    <row r="321" spans="1:6" x14ac:dyDescent="0.25">
      <c r="A321" t="s">
        <v>753</v>
      </c>
      <c r="B321" s="13">
        <f t="shared" si="4"/>
        <v>0</v>
      </c>
      <c r="C321" s="18"/>
      <c r="D321" s="20"/>
      <c r="E321" s="22"/>
      <c r="F321" s="6" t="s">
        <v>355</v>
      </c>
    </row>
    <row r="322" spans="1:6" x14ac:dyDescent="0.25">
      <c r="A322" t="s">
        <v>753</v>
      </c>
      <c r="B322" s="13">
        <f t="shared" ref="B322:B385" si="5">D322*24*60</f>
        <v>61</v>
      </c>
      <c r="C322" s="17" t="s">
        <v>356</v>
      </c>
      <c r="D322" s="19">
        <v>4.2361111111111113E-2</v>
      </c>
      <c r="E322" s="21" t="s">
        <v>1</v>
      </c>
      <c r="F322" s="5" t="s">
        <v>357</v>
      </c>
    </row>
    <row r="323" spans="1:6" x14ac:dyDescent="0.25">
      <c r="A323" t="s">
        <v>753</v>
      </c>
      <c r="B323" s="13">
        <f t="shared" si="5"/>
        <v>0</v>
      </c>
      <c r="C323" s="18"/>
      <c r="D323" s="20"/>
      <c r="E323" s="22"/>
      <c r="F323" s="6" t="s">
        <v>358</v>
      </c>
    </row>
    <row r="324" spans="1:6" x14ac:dyDescent="0.25">
      <c r="A324" t="s">
        <v>753</v>
      </c>
      <c r="B324" s="13">
        <f t="shared" si="5"/>
        <v>22</v>
      </c>
      <c r="C324" s="17" t="s">
        <v>359</v>
      </c>
      <c r="D324" s="19">
        <v>1.5277777777777777E-2</v>
      </c>
      <c r="E324" s="21" t="s">
        <v>1</v>
      </c>
      <c r="F324" s="5" t="s">
        <v>242</v>
      </c>
    </row>
    <row r="325" spans="1:6" x14ac:dyDescent="0.25">
      <c r="A325" t="s">
        <v>753</v>
      </c>
      <c r="B325" s="13">
        <f t="shared" si="5"/>
        <v>0</v>
      </c>
      <c r="C325" s="18"/>
      <c r="D325" s="20"/>
      <c r="E325" s="22"/>
      <c r="F325" s="6" t="s">
        <v>360</v>
      </c>
    </row>
    <row r="326" spans="1:6" x14ac:dyDescent="0.25">
      <c r="A326" t="s">
        <v>753</v>
      </c>
      <c r="B326" s="13">
        <f t="shared" si="5"/>
        <v>22</v>
      </c>
      <c r="C326" s="17" t="s">
        <v>361</v>
      </c>
      <c r="D326" s="19">
        <v>1.5277777777777777E-2</v>
      </c>
      <c r="E326" s="21" t="s">
        <v>1</v>
      </c>
      <c r="F326" s="5" t="s">
        <v>242</v>
      </c>
    </row>
    <row r="327" spans="1:6" x14ac:dyDescent="0.25">
      <c r="A327" t="s">
        <v>753</v>
      </c>
      <c r="B327" s="13">
        <f t="shared" si="5"/>
        <v>0</v>
      </c>
      <c r="C327" s="18"/>
      <c r="D327" s="20"/>
      <c r="E327" s="22"/>
      <c r="F327" s="6" t="s">
        <v>362</v>
      </c>
    </row>
    <row r="328" spans="1:6" x14ac:dyDescent="0.25">
      <c r="A328" t="s">
        <v>753</v>
      </c>
      <c r="B328" s="13">
        <f t="shared" si="5"/>
        <v>161</v>
      </c>
      <c r="C328" s="17" t="s">
        <v>363</v>
      </c>
      <c r="D328" s="19">
        <v>0.11180555555555556</v>
      </c>
      <c r="E328" s="21" t="s">
        <v>1</v>
      </c>
      <c r="F328" s="5" t="s">
        <v>364</v>
      </c>
    </row>
    <row r="329" spans="1:6" x14ac:dyDescent="0.25">
      <c r="A329" t="s">
        <v>753</v>
      </c>
      <c r="B329" s="13">
        <f t="shared" si="5"/>
        <v>0</v>
      </c>
      <c r="C329" s="18"/>
      <c r="D329" s="20"/>
      <c r="E329" s="22"/>
      <c r="F329" s="6" t="s">
        <v>365</v>
      </c>
    </row>
    <row r="330" spans="1:6" x14ac:dyDescent="0.25">
      <c r="A330" t="s">
        <v>753</v>
      </c>
      <c r="B330" s="13">
        <f t="shared" si="5"/>
        <v>39</v>
      </c>
      <c r="C330" s="17" t="s">
        <v>366</v>
      </c>
      <c r="D330" s="19">
        <v>2.7083333333333334E-2</v>
      </c>
      <c r="E330" s="21" t="s">
        <v>1</v>
      </c>
      <c r="F330" s="5" t="s">
        <v>367</v>
      </c>
    </row>
    <row r="331" spans="1:6" x14ac:dyDescent="0.25">
      <c r="A331" t="s">
        <v>753</v>
      </c>
      <c r="B331" s="13">
        <f t="shared" si="5"/>
        <v>0</v>
      </c>
      <c r="C331" s="18"/>
      <c r="D331" s="20"/>
      <c r="E331" s="22"/>
      <c r="F331" s="6" t="s">
        <v>368</v>
      </c>
    </row>
    <row r="332" spans="1:6" x14ac:dyDescent="0.25">
      <c r="A332" t="s">
        <v>753</v>
      </c>
      <c r="B332" s="13">
        <f t="shared" si="5"/>
        <v>48</v>
      </c>
      <c r="C332" s="17" t="s">
        <v>369</v>
      </c>
      <c r="D332" s="19">
        <v>3.3333333333333333E-2</v>
      </c>
      <c r="E332" s="21" t="s">
        <v>1</v>
      </c>
      <c r="F332" s="5" t="s">
        <v>370</v>
      </c>
    </row>
    <row r="333" spans="1:6" x14ac:dyDescent="0.25">
      <c r="A333" t="s">
        <v>753</v>
      </c>
      <c r="B333" s="13">
        <f t="shared" si="5"/>
        <v>0</v>
      </c>
      <c r="C333" s="18"/>
      <c r="D333" s="20"/>
      <c r="E333" s="22"/>
      <c r="F333" s="6" t="s">
        <v>371</v>
      </c>
    </row>
    <row r="334" spans="1:6" x14ac:dyDescent="0.25">
      <c r="A334" t="s">
        <v>753</v>
      </c>
      <c r="B334" s="13">
        <f t="shared" si="5"/>
        <v>184.99999999999997</v>
      </c>
      <c r="C334" s="17" t="s">
        <v>372</v>
      </c>
      <c r="D334" s="19">
        <v>0.12847222222222221</v>
      </c>
      <c r="E334" s="21" t="s">
        <v>1</v>
      </c>
      <c r="F334" s="5" t="s">
        <v>373</v>
      </c>
    </row>
    <row r="335" spans="1:6" x14ac:dyDescent="0.25">
      <c r="A335" t="s">
        <v>753</v>
      </c>
      <c r="B335" s="13">
        <f t="shared" si="5"/>
        <v>0</v>
      </c>
      <c r="C335" s="18"/>
      <c r="D335" s="20"/>
      <c r="E335" s="22"/>
      <c r="F335" s="6" t="s">
        <v>374</v>
      </c>
    </row>
    <row r="336" spans="1:6" x14ac:dyDescent="0.25">
      <c r="A336" t="s">
        <v>753</v>
      </c>
      <c r="B336" s="13">
        <f t="shared" si="5"/>
        <v>60</v>
      </c>
      <c r="C336" s="3" t="s">
        <v>375</v>
      </c>
      <c r="D336" s="7">
        <v>4.1666666666666664E-2</v>
      </c>
      <c r="E336" s="4" t="s">
        <v>1</v>
      </c>
      <c r="F336" s="9" t="s">
        <v>160</v>
      </c>
    </row>
    <row r="337" spans="1:6" x14ac:dyDescent="0.25">
      <c r="A337" t="s">
        <v>753</v>
      </c>
      <c r="B337" s="13">
        <f t="shared" si="5"/>
        <v>0</v>
      </c>
      <c r="C337" s="3" t="s">
        <v>376</v>
      </c>
      <c r="D337" s="3"/>
      <c r="E337" s="4" t="s">
        <v>1</v>
      </c>
      <c r="F337" s="9" t="s">
        <v>377</v>
      </c>
    </row>
    <row r="338" spans="1:6" x14ac:dyDescent="0.25">
      <c r="A338" t="s">
        <v>753</v>
      </c>
      <c r="B338" s="13">
        <f t="shared" si="5"/>
        <v>74</v>
      </c>
      <c r="C338" s="17" t="s">
        <v>378</v>
      </c>
      <c r="D338" s="19">
        <v>5.1388888888888887E-2</v>
      </c>
      <c r="E338" s="21" t="s">
        <v>1</v>
      </c>
      <c r="F338" s="5" t="s">
        <v>379</v>
      </c>
    </row>
    <row r="339" spans="1:6" x14ac:dyDescent="0.25">
      <c r="A339" t="s">
        <v>753</v>
      </c>
      <c r="B339" s="13">
        <f t="shared" si="5"/>
        <v>0</v>
      </c>
      <c r="C339" s="18"/>
      <c r="D339" s="20"/>
      <c r="E339" s="22"/>
      <c r="F339" s="6" t="s">
        <v>380</v>
      </c>
    </row>
    <row r="340" spans="1:6" x14ac:dyDescent="0.25">
      <c r="A340" t="s">
        <v>753</v>
      </c>
      <c r="B340" s="13">
        <f t="shared" si="5"/>
        <v>94.000000000000014</v>
      </c>
      <c r="C340" s="17" t="s">
        <v>381</v>
      </c>
      <c r="D340" s="19">
        <v>6.5277777777777782E-2</v>
      </c>
      <c r="E340" s="21" t="s">
        <v>1</v>
      </c>
      <c r="F340" s="5" t="s">
        <v>382</v>
      </c>
    </row>
    <row r="341" spans="1:6" x14ac:dyDescent="0.25">
      <c r="A341" t="s">
        <v>753</v>
      </c>
      <c r="B341" s="13">
        <f t="shared" si="5"/>
        <v>0</v>
      </c>
      <c r="C341" s="18"/>
      <c r="D341" s="20"/>
      <c r="E341" s="22"/>
      <c r="F341" s="6" t="s">
        <v>383</v>
      </c>
    </row>
    <row r="342" spans="1:6" x14ac:dyDescent="0.25">
      <c r="A342" t="s">
        <v>753</v>
      </c>
      <c r="B342" s="13">
        <f t="shared" si="5"/>
        <v>62.999999999999986</v>
      </c>
      <c r="C342" s="17" t="s">
        <v>384</v>
      </c>
      <c r="D342" s="19">
        <v>4.3749999999999997E-2</v>
      </c>
      <c r="E342" s="21" t="s">
        <v>1</v>
      </c>
      <c r="F342" s="5" t="s">
        <v>385</v>
      </c>
    </row>
    <row r="343" spans="1:6" x14ac:dyDescent="0.25">
      <c r="A343" t="s">
        <v>753</v>
      </c>
      <c r="B343" s="13">
        <f t="shared" si="5"/>
        <v>0</v>
      </c>
      <c r="C343" s="18"/>
      <c r="D343" s="20"/>
      <c r="E343" s="22"/>
      <c r="F343" s="6" t="s">
        <v>386</v>
      </c>
    </row>
    <row r="344" spans="1:6" x14ac:dyDescent="0.25">
      <c r="A344" t="s">
        <v>753</v>
      </c>
      <c r="B344" s="13">
        <f t="shared" si="5"/>
        <v>34</v>
      </c>
      <c r="C344" s="17" t="s">
        <v>387</v>
      </c>
      <c r="D344" s="19">
        <v>2.361111111111111E-2</v>
      </c>
      <c r="E344" s="21" t="s">
        <v>1</v>
      </c>
      <c r="F344" s="5" t="s">
        <v>388</v>
      </c>
    </row>
    <row r="345" spans="1:6" x14ac:dyDescent="0.25">
      <c r="A345" t="s">
        <v>753</v>
      </c>
      <c r="B345" s="13">
        <f t="shared" si="5"/>
        <v>0</v>
      </c>
      <c r="C345" s="18"/>
      <c r="D345" s="20"/>
      <c r="E345" s="22"/>
      <c r="F345" s="6" t="s">
        <v>389</v>
      </c>
    </row>
    <row r="346" spans="1:6" x14ac:dyDescent="0.25">
      <c r="A346" t="s">
        <v>753</v>
      </c>
      <c r="B346" s="13">
        <f t="shared" si="5"/>
        <v>20</v>
      </c>
      <c r="C346" s="17" t="s">
        <v>390</v>
      </c>
      <c r="D346" s="19">
        <v>1.3888888888888888E-2</v>
      </c>
      <c r="E346" s="21" t="s">
        <v>1</v>
      </c>
      <c r="F346" s="5" t="s">
        <v>136</v>
      </c>
    </row>
    <row r="347" spans="1:6" x14ac:dyDescent="0.25">
      <c r="A347" t="s">
        <v>753</v>
      </c>
      <c r="B347" s="13">
        <f t="shared" si="5"/>
        <v>0</v>
      </c>
      <c r="C347" s="18"/>
      <c r="D347" s="20"/>
      <c r="E347" s="22"/>
      <c r="F347" s="6" t="s">
        <v>137</v>
      </c>
    </row>
    <row r="348" spans="1:6" x14ac:dyDescent="0.25">
      <c r="A348" t="s">
        <v>753</v>
      </c>
      <c r="B348" s="13">
        <f t="shared" si="5"/>
        <v>10</v>
      </c>
      <c r="C348" s="3" t="s">
        <v>391</v>
      </c>
      <c r="D348" s="7">
        <v>6.9444444444444441E-3</v>
      </c>
      <c r="E348" s="4" t="s">
        <v>1</v>
      </c>
      <c r="F348" s="8" t="s">
        <v>7</v>
      </c>
    </row>
    <row r="349" spans="1:6" x14ac:dyDescent="0.25">
      <c r="A349" t="s">
        <v>753</v>
      </c>
      <c r="B349" s="13">
        <f t="shared" si="5"/>
        <v>10</v>
      </c>
      <c r="C349" s="3" t="s">
        <v>392</v>
      </c>
      <c r="D349" s="7">
        <v>6.9444444444444441E-3</v>
      </c>
      <c r="E349" s="4" t="s">
        <v>1</v>
      </c>
      <c r="F349" s="8" t="s">
        <v>7</v>
      </c>
    </row>
    <row r="350" spans="1:6" x14ac:dyDescent="0.25">
      <c r="A350" t="s">
        <v>753</v>
      </c>
      <c r="B350" s="13">
        <f t="shared" si="5"/>
        <v>139</v>
      </c>
      <c r="C350" s="17" t="s">
        <v>393</v>
      </c>
      <c r="D350" s="19">
        <v>9.6527777777777782E-2</v>
      </c>
      <c r="E350" s="21" t="s">
        <v>1</v>
      </c>
      <c r="F350" s="5" t="s">
        <v>394</v>
      </c>
    </row>
    <row r="351" spans="1:6" x14ac:dyDescent="0.25">
      <c r="A351" t="s">
        <v>753</v>
      </c>
      <c r="B351" s="13">
        <f t="shared" si="5"/>
        <v>0</v>
      </c>
      <c r="C351" s="18"/>
      <c r="D351" s="20"/>
      <c r="E351" s="22"/>
      <c r="F351" s="6" t="s">
        <v>395</v>
      </c>
    </row>
    <row r="352" spans="1:6" x14ac:dyDescent="0.25">
      <c r="A352" t="s">
        <v>753</v>
      </c>
      <c r="B352" s="13">
        <f t="shared" si="5"/>
        <v>37</v>
      </c>
      <c r="C352" s="17" t="s">
        <v>396</v>
      </c>
      <c r="D352" s="19">
        <v>2.5694444444444443E-2</v>
      </c>
      <c r="E352" s="21" t="s">
        <v>1</v>
      </c>
      <c r="F352" s="5" t="s">
        <v>397</v>
      </c>
    </row>
    <row r="353" spans="1:6" x14ac:dyDescent="0.25">
      <c r="A353" t="s">
        <v>753</v>
      </c>
      <c r="B353" s="13">
        <f t="shared" si="5"/>
        <v>0</v>
      </c>
      <c r="C353" s="18"/>
      <c r="D353" s="20"/>
      <c r="E353" s="22"/>
      <c r="F353" s="6" t="s">
        <v>398</v>
      </c>
    </row>
    <row r="354" spans="1:6" x14ac:dyDescent="0.25">
      <c r="A354" t="s">
        <v>753</v>
      </c>
      <c r="B354" s="13">
        <f t="shared" si="5"/>
        <v>81</v>
      </c>
      <c r="C354" s="17" t="s">
        <v>399</v>
      </c>
      <c r="D354" s="19">
        <v>5.6250000000000001E-2</v>
      </c>
      <c r="E354" s="21" t="s">
        <v>1</v>
      </c>
      <c r="F354" s="5" t="s">
        <v>400</v>
      </c>
    </row>
    <row r="355" spans="1:6" x14ac:dyDescent="0.25">
      <c r="A355" t="s">
        <v>753</v>
      </c>
      <c r="B355" s="13">
        <f t="shared" si="5"/>
        <v>0</v>
      </c>
      <c r="C355" s="18"/>
      <c r="D355" s="20"/>
      <c r="E355" s="22"/>
      <c r="F355" s="6" t="s">
        <v>401</v>
      </c>
    </row>
    <row r="356" spans="1:6" x14ac:dyDescent="0.25">
      <c r="A356" t="s">
        <v>753</v>
      </c>
      <c r="B356" s="13">
        <f t="shared" si="5"/>
        <v>72.000000000000014</v>
      </c>
      <c r="C356" s="17" t="s">
        <v>402</v>
      </c>
      <c r="D356" s="19">
        <v>0.05</v>
      </c>
      <c r="E356" s="21" t="s">
        <v>1</v>
      </c>
      <c r="F356" s="5" t="s">
        <v>403</v>
      </c>
    </row>
    <row r="357" spans="1:6" x14ac:dyDescent="0.25">
      <c r="A357" t="s">
        <v>753</v>
      </c>
      <c r="B357" s="13">
        <f t="shared" si="5"/>
        <v>0</v>
      </c>
      <c r="C357" s="18"/>
      <c r="D357" s="20"/>
      <c r="E357" s="22"/>
      <c r="F357" s="6" t="s">
        <v>404</v>
      </c>
    </row>
    <row r="358" spans="1:6" x14ac:dyDescent="0.25">
      <c r="A358" t="s">
        <v>753</v>
      </c>
      <c r="B358" s="13">
        <f t="shared" si="5"/>
        <v>123.99999999999999</v>
      </c>
      <c r="C358" s="17" t="s">
        <v>405</v>
      </c>
      <c r="D358" s="19">
        <v>8.611111111111111E-2</v>
      </c>
      <c r="E358" s="21" t="s">
        <v>1</v>
      </c>
      <c r="F358" s="5" t="s">
        <v>406</v>
      </c>
    </row>
    <row r="359" spans="1:6" x14ac:dyDescent="0.25">
      <c r="A359" t="s">
        <v>753</v>
      </c>
      <c r="B359" s="13">
        <f t="shared" si="5"/>
        <v>0</v>
      </c>
      <c r="C359" s="18"/>
      <c r="D359" s="20"/>
      <c r="E359" s="22"/>
      <c r="F359" s="6" t="s">
        <v>407</v>
      </c>
    </row>
    <row r="360" spans="1:6" x14ac:dyDescent="0.25">
      <c r="A360" t="s">
        <v>753</v>
      </c>
      <c r="B360" s="13">
        <f t="shared" si="5"/>
        <v>20</v>
      </c>
      <c r="C360" s="17" t="s">
        <v>408</v>
      </c>
      <c r="D360" s="19">
        <v>1.3888888888888888E-2</v>
      </c>
      <c r="E360" s="21" t="s">
        <v>1</v>
      </c>
      <c r="F360" s="5" t="s">
        <v>136</v>
      </c>
    </row>
    <row r="361" spans="1:6" x14ac:dyDescent="0.25">
      <c r="A361" t="s">
        <v>753</v>
      </c>
      <c r="B361" s="13">
        <f t="shared" si="5"/>
        <v>0</v>
      </c>
      <c r="C361" s="18"/>
      <c r="D361" s="20"/>
      <c r="E361" s="22"/>
      <c r="F361" s="6" t="s">
        <v>409</v>
      </c>
    </row>
    <row r="362" spans="1:6" x14ac:dyDescent="0.25">
      <c r="A362" t="s">
        <v>753</v>
      </c>
      <c r="B362" s="13">
        <f t="shared" si="5"/>
        <v>51.999999999999993</v>
      </c>
      <c r="C362" s="17" t="s">
        <v>410</v>
      </c>
      <c r="D362" s="19">
        <v>3.6111111111111108E-2</v>
      </c>
      <c r="E362" s="21" t="s">
        <v>1</v>
      </c>
      <c r="F362" s="5" t="s">
        <v>411</v>
      </c>
    </row>
    <row r="363" spans="1:6" x14ac:dyDescent="0.25">
      <c r="A363" t="s">
        <v>753</v>
      </c>
      <c r="B363" s="13">
        <f t="shared" si="5"/>
        <v>0</v>
      </c>
      <c r="C363" s="18"/>
      <c r="D363" s="20"/>
      <c r="E363" s="22"/>
      <c r="F363" s="6" t="s">
        <v>412</v>
      </c>
    </row>
    <row r="364" spans="1:6" x14ac:dyDescent="0.25">
      <c r="A364" t="s">
        <v>753</v>
      </c>
      <c r="B364" s="13">
        <f t="shared" si="5"/>
        <v>23</v>
      </c>
      <c r="C364" s="17" t="s">
        <v>413</v>
      </c>
      <c r="D364" s="19">
        <v>1.5972222222222221E-2</v>
      </c>
      <c r="E364" s="21" t="s">
        <v>1</v>
      </c>
      <c r="F364" s="5" t="s">
        <v>284</v>
      </c>
    </row>
    <row r="365" spans="1:6" x14ac:dyDescent="0.25">
      <c r="A365" t="s">
        <v>753</v>
      </c>
      <c r="B365" s="13">
        <f t="shared" si="5"/>
        <v>0</v>
      </c>
      <c r="C365" s="18"/>
      <c r="D365" s="20"/>
      <c r="E365" s="22"/>
      <c r="F365" s="6" t="s">
        <v>414</v>
      </c>
    </row>
    <row r="366" spans="1:6" x14ac:dyDescent="0.25">
      <c r="A366" t="s">
        <v>753</v>
      </c>
      <c r="B366" s="13">
        <f t="shared" si="5"/>
        <v>57</v>
      </c>
      <c r="C366" s="17" t="s">
        <v>415</v>
      </c>
      <c r="D366" s="19">
        <v>3.9583333333333331E-2</v>
      </c>
      <c r="E366" s="21" t="s">
        <v>1</v>
      </c>
      <c r="F366" s="5" t="s">
        <v>198</v>
      </c>
    </row>
    <row r="367" spans="1:6" x14ac:dyDescent="0.25">
      <c r="A367" t="s">
        <v>753</v>
      </c>
      <c r="B367" s="13">
        <f t="shared" si="5"/>
        <v>0</v>
      </c>
      <c r="C367" s="18"/>
      <c r="D367" s="20"/>
      <c r="E367" s="22"/>
      <c r="F367" s="6" t="s">
        <v>416</v>
      </c>
    </row>
    <row r="368" spans="1:6" x14ac:dyDescent="0.25">
      <c r="A368" t="s">
        <v>753</v>
      </c>
      <c r="B368" s="13">
        <f t="shared" si="5"/>
        <v>22</v>
      </c>
      <c r="C368" s="17" t="s">
        <v>417</v>
      </c>
      <c r="D368" s="19">
        <v>1.5277777777777777E-2</v>
      </c>
      <c r="E368" s="21" t="s">
        <v>1</v>
      </c>
      <c r="F368" s="5" t="s">
        <v>242</v>
      </c>
    </row>
    <row r="369" spans="1:6" x14ac:dyDescent="0.25">
      <c r="A369" t="s">
        <v>753</v>
      </c>
      <c r="B369" s="13">
        <f t="shared" si="5"/>
        <v>0</v>
      </c>
      <c r="C369" s="18"/>
      <c r="D369" s="20"/>
      <c r="E369" s="22"/>
      <c r="F369" s="6" t="s">
        <v>418</v>
      </c>
    </row>
    <row r="370" spans="1:6" x14ac:dyDescent="0.25">
      <c r="A370" t="s">
        <v>753</v>
      </c>
      <c r="B370" s="13">
        <f t="shared" si="5"/>
        <v>0</v>
      </c>
      <c r="C370" s="3" t="s">
        <v>419</v>
      </c>
      <c r="D370" s="3"/>
      <c r="E370" s="4" t="s">
        <v>1</v>
      </c>
      <c r="F370" s="4" t="s">
        <v>17</v>
      </c>
    </row>
    <row r="371" spans="1:6" x14ac:dyDescent="0.25">
      <c r="A371" t="s">
        <v>753</v>
      </c>
      <c r="B371" s="13">
        <f t="shared" si="5"/>
        <v>42</v>
      </c>
      <c r="C371" s="17" t="s">
        <v>420</v>
      </c>
      <c r="D371" s="19">
        <v>2.9166666666666667E-2</v>
      </c>
      <c r="E371" s="21" t="s">
        <v>1</v>
      </c>
      <c r="F371" s="5" t="s">
        <v>421</v>
      </c>
    </row>
    <row r="372" spans="1:6" x14ac:dyDescent="0.25">
      <c r="A372" t="s">
        <v>753</v>
      </c>
      <c r="B372" s="13">
        <f t="shared" si="5"/>
        <v>0</v>
      </c>
      <c r="C372" s="18"/>
      <c r="D372" s="20"/>
      <c r="E372" s="22"/>
      <c r="F372" s="6" t="s">
        <v>422</v>
      </c>
    </row>
    <row r="373" spans="1:6" x14ac:dyDescent="0.25">
      <c r="A373" t="s">
        <v>753</v>
      </c>
      <c r="B373" s="13">
        <f t="shared" si="5"/>
        <v>38</v>
      </c>
      <c r="C373" s="17" t="s">
        <v>423</v>
      </c>
      <c r="D373" s="19">
        <v>2.6388888888888889E-2</v>
      </c>
      <c r="E373" s="21" t="s">
        <v>1</v>
      </c>
      <c r="F373" s="5" t="s">
        <v>424</v>
      </c>
    </row>
    <row r="374" spans="1:6" x14ac:dyDescent="0.25">
      <c r="A374" t="s">
        <v>753</v>
      </c>
      <c r="B374" s="13">
        <f t="shared" si="5"/>
        <v>0</v>
      </c>
      <c r="C374" s="18"/>
      <c r="D374" s="20"/>
      <c r="E374" s="22"/>
      <c r="F374" s="6" t="s">
        <v>425</v>
      </c>
    </row>
    <row r="375" spans="1:6" x14ac:dyDescent="0.25">
      <c r="A375" t="s">
        <v>753</v>
      </c>
      <c r="B375" s="13">
        <f t="shared" si="5"/>
        <v>36.000000000000007</v>
      </c>
      <c r="C375" s="17" t="s">
        <v>426</v>
      </c>
      <c r="D375" s="19">
        <v>2.5000000000000001E-2</v>
      </c>
      <c r="E375" s="21" t="s">
        <v>1</v>
      </c>
      <c r="F375" s="5" t="s">
        <v>427</v>
      </c>
    </row>
    <row r="376" spans="1:6" x14ac:dyDescent="0.25">
      <c r="A376" t="s">
        <v>753</v>
      </c>
      <c r="B376" s="13">
        <f t="shared" si="5"/>
        <v>0</v>
      </c>
      <c r="C376" s="18"/>
      <c r="D376" s="20"/>
      <c r="E376" s="22"/>
      <c r="F376" s="6" t="s">
        <v>428</v>
      </c>
    </row>
    <row r="377" spans="1:6" x14ac:dyDescent="0.25">
      <c r="A377" t="s">
        <v>753</v>
      </c>
      <c r="B377" s="13">
        <f t="shared" si="5"/>
        <v>23</v>
      </c>
      <c r="C377" s="17" t="s">
        <v>429</v>
      </c>
      <c r="D377" s="19">
        <v>1.5972222222222221E-2</v>
      </c>
      <c r="E377" s="21" t="s">
        <v>1</v>
      </c>
      <c r="F377" s="5" t="s">
        <v>284</v>
      </c>
    </row>
    <row r="378" spans="1:6" x14ac:dyDescent="0.25">
      <c r="A378" t="s">
        <v>753</v>
      </c>
      <c r="B378" s="13">
        <f t="shared" si="5"/>
        <v>0</v>
      </c>
      <c r="C378" s="18"/>
      <c r="D378" s="20"/>
      <c r="E378" s="22"/>
      <c r="F378" s="6" t="s">
        <v>414</v>
      </c>
    </row>
    <row r="379" spans="1:6" x14ac:dyDescent="0.25">
      <c r="A379" t="s">
        <v>753</v>
      </c>
      <c r="B379" s="13">
        <f t="shared" si="5"/>
        <v>0</v>
      </c>
      <c r="C379" s="3" t="s">
        <v>430</v>
      </c>
      <c r="D379" s="3"/>
      <c r="E379" s="4" t="s">
        <v>1</v>
      </c>
      <c r="F379" s="4" t="s">
        <v>5</v>
      </c>
    </row>
    <row r="380" spans="1:6" x14ac:dyDescent="0.25">
      <c r="A380" t="s">
        <v>753</v>
      </c>
      <c r="B380" s="13">
        <f t="shared" si="5"/>
        <v>30</v>
      </c>
      <c r="C380" s="17" t="s">
        <v>431</v>
      </c>
      <c r="D380" s="19">
        <v>2.0833333333333332E-2</v>
      </c>
      <c r="E380" s="21" t="s">
        <v>1</v>
      </c>
      <c r="F380" s="5" t="s">
        <v>157</v>
      </c>
    </row>
    <row r="381" spans="1:6" x14ac:dyDescent="0.25">
      <c r="A381" t="s">
        <v>753</v>
      </c>
      <c r="B381" s="13">
        <f t="shared" si="5"/>
        <v>0</v>
      </c>
      <c r="C381" s="18"/>
      <c r="D381" s="20"/>
      <c r="E381" s="22"/>
      <c r="F381" s="6" t="s">
        <v>432</v>
      </c>
    </row>
    <row r="382" spans="1:6" x14ac:dyDescent="0.25">
      <c r="A382" t="s">
        <v>753</v>
      </c>
      <c r="B382" s="13">
        <f t="shared" si="5"/>
        <v>0</v>
      </c>
      <c r="C382" s="3" t="s">
        <v>433</v>
      </c>
      <c r="D382" s="3"/>
      <c r="E382" s="4" t="s">
        <v>1</v>
      </c>
      <c r="F382" s="3" t="s">
        <v>434</v>
      </c>
    </row>
    <row r="383" spans="1:6" x14ac:dyDescent="0.25">
      <c r="A383" t="s">
        <v>753</v>
      </c>
      <c r="B383" s="13">
        <f t="shared" si="5"/>
        <v>30</v>
      </c>
      <c r="C383" s="17" t="s">
        <v>435</v>
      </c>
      <c r="D383" s="19">
        <v>2.0833333333333332E-2</v>
      </c>
      <c r="E383" s="21" t="s">
        <v>1</v>
      </c>
      <c r="F383" s="5" t="s">
        <v>157</v>
      </c>
    </row>
    <row r="384" spans="1:6" x14ac:dyDescent="0.25">
      <c r="A384" t="s">
        <v>753</v>
      </c>
      <c r="B384" s="13">
        <f t="shared" si="5"/>
        <v>0</v>
      </c>
      <c r="C384" s="18"/>
      <c r="D384" s="20"/>
      <c r="E384" s="22"/>
      <c r="F384" s="6" t="s">
        <v>436</v>
      </c>
    </row>
    <row r="385" spans="1:6" x14ac:dyDescent="0.25">
      <c r="A385" t="s">
        <v>753</v>
      </c>
      <c r="B385" s="13">
        <f t="shared" si="5"/>
        <v>0</v>
      </c>
      <c r="C385" s="17" t="s">
        <v>437</v>
      </c>
      <c r="D385" s="17"/>
      <c r="E385" s="21" t="s">
        <v>1</v>
      </c>
      <c r="F385" s="1" t="s">
        <v>2</v>
      </c>
    </row>
    <row r="386" spans="1:6" x14ac:dyDescent="0.25">
      <c r="A386" t="s">
        <v>753</v>
      </c>
      <c r="B386" s="13">
        <f t="shared" ref="B386:B449" si="6">D386*24*60</f>
        <v>0</v>
      </c>
      <c r="C386" s="18"/>
      <c r="D386" s="18"/>
      <c r="E386" s="22"/>
      <c r="F386" s="2" t="s">
        <v>438</v>
      </c>
    </row>
    <row r="387" spans="1:6" x14ac:dyDescent="0.25">
      <c r="A387" t="s">
        <v>753</v>
      </c>
      <c r="B387" s="13">
        <f t="shared" si="6"/>
        <v>0</v>
      </c>
      <c r="C387" s="3" t="s">
        <v>439</v>
      </c>
      <c r="D387" s="3"/>
      <c r="E387" s="4" t="s">
        <v>1</v>
      </c>
      <c r="F387" s="4" t="s">
        <v>5</v>
      </c>
    </row>
    <row r="388" spans="1:6" x14ac:dyDescent="0.25">
      <c r="A388" t="s">
        <v>753</v>
      </c>
      <c r="B388" s="13">
        <f t="shared" si="6"/>
        <v>0</v>
      </c>
      <c r="C388" s="3" t="s">
        <v>440</v>
      </c>
      <c r="D388" s="3"/>
      <c r="E388" s="4" t="s">
        <v>1</v>
      </c>
      <c r="F388" s="4" t="s">
        <v>25</v>
      </c>
    </row>
    <row r="389" spans="1:6" x14ac:dyDescent="0.25">
      <c r="A389" t="s">
        <v>753</v>
      </c>
      <c r="B389" s="13">
        <f t="shared" si="6"/>
        <v>11</v>
      </c>
      <c r="C389" s="17" t="s">
        <v>441</v>
      </c>
      <c r="D389" s="19">
        <v>7.6388888888888886E-3</v>
      </c>
      <c r="E389" s="21" t="s">
        <v>1</v>
      </c>
      <c r="F389" s="5" t="s">
        <v>442</v>
      </c>
    </row>
    <row r="390" spans="1:6" x14ac:dyDescent="0.25">
      <c r="A390" t="s">
        <v>753</v>
      </c>
      <c r="B390" s="13">
        <f t="shared" si="6"/>
        <v>0</v>
      </c>
      <c r="C390" s="18"/>
      <c r="D390" s="20"/>
      <c r="E390" s="22"/>
      <c r="F390" s="6" t="s">
        <v>443</v>
      </c>
    </row>
    <row r="391" spans="1:6" x14ac:dyDescent="0.25">
      <c r="A391" t="s">
        <v>753</v>
      </c>
      <c r="B391" s="13">
        <f t="shared" si="6"/>
        <v>10</v>
      </c>
      <c r="C391" s="17" t="s">
        <v>444</v>
      </c>
      <c r="D391" s="19">
        <v>6.9444444444444441E-3</v>
      </c>
      <c r="E391" s="21" t="s">
        <v>1</v>
      </c>
      <c r="F391" s="5" t="s">
        <v>7</v>
      </c>
    </row>
    <row r="392" spans="1:6" x14ac:dyDescent="0.25">
      <c r="A392" t="s">
        <v>753</v>
      </c>
      <c r="B392" s="13">
        <f t="shared" si="6"/>
        <v>0</v>
      </c>
      <c r="C392" s="18"/>
      <c r="D392" s="20"/>
      <c r="E392" s="22"/>
      <c r="F392" s="6" t="s">
        <v>8</v>
      </c>
    </row>
    <row r="393" spans="1:6" x14ac:dyDescent="0.25">
      <c r="A393" t="s">
        <v>753</v>
      </c>
      <c r="B393" s="13">
        <f t="shared" si="6"/>
        <v>0</v>
      </c>
      <c r="C393" s="17" t="s">
        <v>445</v>
      </c>
      <c r="D393" s="17"/>
      <c r="E393" s="21" t="s">
        <v>1</v>
      </c>
      <c r="F393" s="1" t="s">
        <v>2</v>
      </c>
    </row>
    <row r="394" spans="1:6" x14ac:dyDescent="0.25">
      <c r="A394" t="s">
        <v>753</v>
      </c>
      <c r="B394" s="13">
        <f t="shared" si="6"/>
        <v>0</v>
      </c>
      <c r="C394" s="18"/>
      <c r="D394" s="18"/>
      <c r="E394" s="22"/>
      <c r="F394" s="2" t="s">
        <v>446</v>
      </c>
    </row>
    <row r="395" spans="1:6" x14ac:dyDescent="0.25">
      <c r="A395" t="s">
        <v>753</v>
      </c>
      <c r="B395" s="13">
        <f t="shared" si="6"/>
        <v>229</v>
      </c>
      <c r="C395" s="17" t="s">
        <v>447</v>
      </c>
      <c r="D395" s="19">
        <v>0.15902777777777777</v>
      </c>
      <c r="E395" s="21" t="s">
        <v>1</v>
      </c>
      <c r="F395" s="5" t="s">
        <v>448</v>
      </c>
    </row>
    <row r="396" spans="1:6" x14ac:dyDescent="0.25">
      <c r="A396" t="s">
        <v>753</v>
      </c>
      <c r="B396" s="13">
        <f t="shared" si="6"/>
        <v>0</v>
      </c>
      <c r="C396" s="18"/>
      <c r="D396" s="20"/>
      <c r="E396" s="22"/>
      <c r="F396" s="6" t="s">
        <v>449</v>
      </c>
    </row>
    <row r="397" spans="1:6" x14ac:dyDescent="0.25">
      <c r="A397" t="s">
        <v>753</v>
      </c>
      <c r="B397" s="13">
        <f t="shared" si="6"/>
        <v>0</v>
      </c>
      <c r="C397" s="3" t="s">
        <v>450</v>
      </c>
      <c r="D397" s="3"/>
      <c r="E397" s="4" t="s">
        <v>1</v>
      </c>
      <c r="F397" s="4" t="s">
        <v>5</v>
      </c>
    </row>
    <row r="398" spans="1:6" x14ac:dyDescent="0.25">
      <c r="A398" t="s">
        <v>753</v>
      </c>
      <c r="B398" s="13">
        <f t="shared" si="6"/>
        <v>0</v>
      </c>
      <c r="C398" s="3" t="s">
        <v>451</v>
      </c>
      <c r="D398" s="3"/>
      <c r="E398" s="4" t="s">
        <v>1</v>
      </c>
      <c r="F398" s="4" t="s">
        <v>17</v>
      </c>
    </row>
    <row r="399" spans="1:6" x14ac:dyDescent="0.25">
      <c r="A399" t="s">
        <v>753</v>
      </c>
      <c r="B399" s="13">
        <f t="shared" si="6"/>
        <v>0</v>
      </c>
      <c r="C399" s="3" t="s">
        <v>452</v>
      </c>
      <c r="D399" s="3"/>
      <c r="E399" s="4" t="s">
        <v>1</v>
      </c>
      <c r="F399" s="4" t="s">
        <v>25</v>
      </c>
    </row>
    <row r="400" spans="1:6" x14ac:dyDescent="0.25">
      <c r="A400" t="s">
        <v>753</v>
      </c>
      <c r="B400" s="13">
        <f t="shared" si="6"/>
        <v>10</v>
      </c>
      <c r="C400" s="3" t="s">
        <v>453</v>
      </c>
      <c r="D400" s="7">
        <v>6.9444444444444441E-3</v>
      </c>
      <c r="E400" s="4" t="s">
        <v>1</v>
      </c>
      <c r="F400" s="8" t="s">
        <v>7</v>
      </c>
    </row>
    <row r="401" spans="1:6" x14ac:dyDescent="0.25">
      <c r="A401" t="s">
        <v>753</v>
      </c>
      <c r="B401" s="13">
        <f t="shared" si="6"/>
        <v>0</v>
      </c>
      <c r="C401" s="3" t="s">
        <v>454</v>
      </c>
      <c r="D401" s="3"/>
      <c r="E401" s="4" t="s">
        <v>1</v>
      </c>
      <c r="F401" s="4" t="s">
        <v>25</v>
      </c>
    </row>
    <row r="402" spans="1:6" x14ac:dyDescent="0.25">
      <c r="A402" t="s">
        <v>753</v>
      </c>
      <c r="B402" s="13">
        <f t="shared" si="6"/>
        <v>10</v>
      </c>
      <c r="C402" s="3" t="s">
        <v>455</v>
      </c>
      <c r="D402" s="7">
        <v>6.9444444444444441E-3</v>
      </c>
      <c r="E402" s="4" t="s">
        <v>1</v>
      </c>
      <c r="F402" s="8" t="s">
        <v>7</v>
      </c>
    </row>
    <row r="403" spans="1:6" x14ac:dyDescent="0.25">
      <c r="A403" t="s">
        <v>753</v>
      </c>
      <c r="B403" s="13">
        <f t="shared" si="6"/>
        <v>0</v>
      </c>
      <c r="C403" s="3" t="s">
        <v>456</v>
      </c>
      <c r="D403" s="3"/>
      <c r="E403" s="4" t="s">
        <v>1</v>
      </c>
      <c r="F403" s="4" t="s">
        <v>5</v>
      </c>
    </row>
    <row r="404" spans="1:6" x14ac:dyDescent="0.25">
      <c r="A404" t="s">
        <v>753</v>
      </c>
      <c r="B404" s="13">
        <f t="shared" si="6"/>
        <v>0</v>
      </c>
      <c r="C404" s="3" t="s">
        <v>457</v>
      </c>
      <c r="D404" s="3"/>
      <c r="E404" s="4" t="s">
        <v>1</v>
      </c>
      <c r="F404" s="4" t="s">
        <v>17</v>
      </c>
    </row>
    <row r="405" spans="1:6" x14ac:dyDescent="0.25">
      <c r="A405" t="s">
        <v>753</v>
      </c>
      <c r="B405" s="13">
        <f t="shared" si="6"/>
        <v>0</v>
      </c>
      <c r="C405" s="3" t="s">
        <v>458</v>
      </c>
      <c r="D405" s="3"/>
      <c r="E405" s="4" t="s">
        <v>1</v>
      </c>
      <c r="F405" s="4" t="s">
        <v>25</v>
      </c>
    </row>
    <row r="406" spans="1:6" x14ac:dyDescent="0.25">
      <c r="A406" t="s">
        <v>753</v>
      </c>
      <c r="B406" s="13">
        <f t="shared" si="6"/>
        <v>40</v>
      </c>
      <c r="C406" s="17" t="s">
        <v>459</v>
      </c>
      <c r="D406" s="19">
        <v>2.7777777777777776E-2</v>
      </c>
      <c r="E406" s="21" t="s">
        <v>1</v>
      </c>
      <c r="F406" s="5" t="s">
        <v>460</v>
      </c>
    </row>
    <row r="407" spans="1:6" x14ac:dyDescent="0.25">
      <c r="A407" t="s">
        <v>753</v>
      </c>
      <c r="B407" s="13">
        <f t="shared" si="6"/>
        <v>0</v>
      </c>
      <c r="C407" s="18"/>
      <c r="D407" s="20"/>
      <c r="E407" s="22"/>
      <c r="F407" s="6" t="s">
        <v>461</v>
      </c>
    </row>
    <row r="408" spans="1:6" x14ac:dyDescent="0.25">
      <c r="A408" t="s">
        <v>753</v>
      </c>
      <c r="B408" s="13">
        <f t="shared" si="6"/>
        <v>12</v>
      </c>
      <c r="C408" s="17" t="s">
        <v>462</v>
      </c>
      <c r="D408" s="19">
        <v>8.3333333333333332E-3</v>
      </c>
      <c r="E408" s="21" t="s">
        <v>1</v>
      </c>
      <c r="F408" s="5" t="s">
        <v>463</v>
      </c>
    </row>
    <row r="409" spans="1:6" x14ac:dyDescent="0.25">
      <c r="A409" t="s">
        <v>753</v>
      </c>
      <c r="B409" s="13">
        <f t="shared" si="6"/>
        <v>0</v>
      </c>
      <c r="C409" s="18"/>
      <c r="D409" s="20"/>
      <c r="E409" s="22"/>
      <c r="F409" s="6" t="s">
        <v>464</v>
      </c>
    </row>
    <row r="410" spans="1:6" x14ac:dyDescent="0.25">
      <c r="A410" t="s">
        <v>753</v>
      </c>
      <c r="B410" s="13">
        <f t="shared" si="6"/>
        <v>0</v>
      </c>
      <c r="C410" s="17" t="s">
        <v>465</v>
      </c>
      <c r="D410" s="17"/>
      <c r="E410" s="21" t="s">
        <v>1</v>
      </c>
      <c r="F410" s="1" t="s">
        <v>2</v>
      </c>
    </row>
    <row r="411" spans="1:6" x14ac:dyDescent="0.25">
      <c r="A411" t="s">
        <v>753</v>
      </c>
      <c r="B411" s="13">
        <f t="shared" si="6"/>
        <v>0</v>
      </c>
      <c r="C411" s="18"/>
      <c r="D411" s="18"/>
      <c r="E411" s="22"/>
      <c r="F411" s="2" t="s">
        <v>43</v>
      </c>
    </row>
    <row r="412" spans="1:6" x14ac:dyDescent="0.25">
      <c r="A412" t="s">
        <v>753</v>
      </c>
      <c r="B412" s="13">
        <f t="shared" si="6"/>
        <v>0</v>
      </c>
      <c r="C412" s="3" t="s">
        <v>466</v>
      </c>
      <c r="D412" s="3"/>
      <c r="E412" s="4" t="s">
        <v>1</v>
      </c>
      <c r="F412" s="4" t="s">
        <v>17</v>
      </c>
    </row>
    <row r="413" spans="1:6" x14ac:dyDescent="0.25">
      <c r="A413" t="s">
        <v>753</v>
      </c>
      <c r="B413" s="13">
        <f t="shared" si="6"/>
        <v>65.999999999999986</v>
      </c>
      <c r="C413" s="17" t="s">
        <v>467</v>
      </c>
      <c r="D413" s="19">
        <v>4.583333333333333E-2</v>
      </c>
      <c r="E413" s="21" t="s">
        <v>1</v>
      </c>
      <c r="F413" s="5" t="s">
        <v>187</v>
      </c>
    </row>
    <row r="414" spans="1:6" x14ac:dyDescent="0.25">
      <c r="A414" t="s">
        <v>753</v>
      </c>
      <c r="B414" s="13">
        <f t="shared" si="6"/>
        <v>0</v>
      </c>
      <c r="C414" s="18"/>
      <c r="D414" s="20"/>
      <c r="E414" s="22"/>
      <c r="F414" s="6" t="s">
        <v>468</v>
      </c>
    </row>
    <row r="415" spans="1:6" x14ac:dyDescent="0.25">
      <c r="A415" t="s">
        <v>753</v>
      </c>
      <c r="B415" s="13">
        <f t="shared" si="6"/>
        <v>0</v>
      </c>
      <c r="C415" s="17" t="s">
        <v>469</v>
      </c>
      <c r="D415" s="17"/>
      <c r="E415" s="21" t="s">
        <v>1</v>
      </c>
      <c r="F415" s="1" t="s">
        <v>25</v>
      </c>
    </row>
    <row r="416" spans="1:6" x14ac:dyDescent="0.25">
      <c r="A416" t="s">
        <v>753</v>
      </c>
      <c r="B416" s="13">
        <f t="shared" si="6"/>
        <v>0</v>
      </c>
      <c r="C416" s="18"/>
      <c r="D416" s="18"/>
      <c r="E416" s="22"/>
      <c r="F416" s="2" t="s">
        <v>70</v>
      </c>
    </row>
    <row r="417" spans="1:6" x14ac:dyDescent="0.25">
      <c r="A417" t="s">
        <v>753</v>
      </c>
      <c r="B417" s="13">
        <f t="shared" si="6"/>
        <v>0</v>
      </c>
      <c r="C417" s="17" t="s">
        <v>470</v>
      </c>
      <c r="D417" s="17"/>
      <c r="E417" s="21" t="s">
        <v>1</v>
      </c>
      <c r="F417" s="1" t="s">
        <v>2</v>
      </c>
    </row>
    <row r="418" spans="1:6" x14ac:dyDescent="0.25">
      <c r="A418" t="s">
        <v>753</v>
      </c>
      <c r="B418" s="13">
        <f t="shared" si="6"/>
        <v>0</v>
      </c>
      <c r="C418" s="18"/>
      <c r="D418" s="18"/>
      <c r="E418" s="22"/>
      <c r="F418" s="2" t="s">
        <v>471</v>
      </c>
    </row>
    <row r="419" spans="1:6" x14ac:dyDescent="0.25">
      <c r="A419" t="s">
        <v>753</v>
      </c>
      <c r="B419" s="13">
        <f t="shared" si="6"/>
        <v>0</v>
      </c>
      <c r="C419" s="17" t="s">
        <v>472</v>
      </c>
      <c r="D419" s="17"/>
      <c r="E419" s="21" t="s">
        <v>1</v>
      </c>
      <c r="F419" s="1" t="s">
        <v>2</v>
      </c>
    </row>
    <row r="420" spans="1:6" x14ac:dyDescent="0.25">
      <c r="A420" t="s">
        <v>753</v>
      </c>
      <c r="B420" s="13">
        <f t="shared" si="6"/>
        <v>0</v>
      </c>
      <c r="C420" s="18"/>
      <c r="D420" s="18"/>
      <c r="E420" s="22"/>
      <c r="F420" s="2" t="s">
        <v>473</v>
      </c>
    </row>
    <row r="421" spans="1:6" x14ac:dyDescent="0.25">
      <c r="A421" t="s">
        <v>753</v>
      </c>
      <c r="B421" s="13">
        <f t="shared" si="6"/>
        <v>0</v>
      </c>
      <c r="C421" s="3" t="s">
        <v>474</v>
      </c>
      <c r="D421" s="3"/>
      <c r="E421" s="4" t="s">
        <v>1</v>
      </c>
      <c r="F421" s="4" t="s">
        <v>5</v>
      </c>
    </row>
    <row r="422" spans="1:6" x14ac:dyDescent="0.25">
      <c r="A422" t="s">
        <v>753</v>
      </c>
      <c r="B422" s="13">
        <f t="shared" si="6"/>
        <v>10</v>
      </c>
      <c r="C422" s="3" t="s">
        <v>475</v>
      </c>
      <c r="D422" s="7">
        <v>6.9444444444444441E-3</v>
      </c>
      <c r="E422" s="4" t="s">
        <v>1</v>
      </c>
      <c r="F422" s="8" t="s">
        <v>7</v>
      </c>
    </row>
    <row r="423" spans="1:6" x14ac:dyDescent="0.25">
      <c r="A423" t="s">
        <v>753</v>
      </c>
      <c r="B423" s="13">
        <f t="shared" si="6"/>
        <v>10</v>
      </c>
      <c r="C423" s="3" t="s">
        <v>476</v>
      </c>
      <c r="D423" s="7">
        <v>6.9444444444444441E-3</v>
      </c>
      <c r="E423" s="4" t="s">
        <v>1</v>
      </c>
      <c r="F423" s="8" t="s">
        <v>7</v>
      </c>
    </row>
    <row r="424" spans="1:6" x14ac:dyDescent="0.25">
      <c r="A424" t="s">
        <v>753</v>
      </c>
      <c r="B424" s="13">
        <f t="shared" si="6"/>
        <v>10</v>
      </c>
      <c r="C424" s="17" t="s">
        <v>477</v>
      </c>
      <c r="D424" s="19">
        <v>6.9444444444444441E-3</v>
      </c>
      <c r="E424" s="21" t="s">
        <v>1</v>
      </c>
      <c r="F424" s="5" t="s">
        <v>7</v>
      </c>
    </row>
    <row r="425" spans="1:6" x14ac:dyDescent="0.25">
      <c r="A425" t="s">
        <v>753</v>
      </c>
      <c r="B425" s="13">
        <f t="shared" si="6"/>
        <v>0</v>
      </c>
      <c r="C425" s="18"/>
      <c r="D425" s="20"/>
      <c r="E425" s="22"/>
      <c r="F425" s="6" t="s">
        <v>8</v>
      </c>
    </row>
    <row r="426" spans="1:6" x14ac:dyDescent="0.25">
      <c r="A426" t="s">
        <v>753</v>
      </c>
      <c r="B426" s="13">
        <f t="shared" si="6"/>
        <v>10</v>
      </c>
      <c r="C426" s="3" t="s">
        <v>478</v>
      </c>
      <c r="D426" s="7">
        <v>6.9444444444444441E-3</v>
      </c>
      <c r="E426" s="4" t="s">
        <v>1</v>
      </c>
      <c r="F426" s="8" t="s">
        <v>7</v>
      </c>
    </row>
    <row r="427" spans="1:6" x14ac:dyDescent="0.25">
      <c r="A427" t="s">
        <v>753</v>
      </c>
      <c r="B427" s="13">
        <f t="shared" si="6"/>
        <v>0</v>
      </c>
      <c r="C427" s="3" t="s">
        <v>479</v>
      </c>
      <c r="D427" s="3"/>
      <c r="E427" s="4" t="s">
        <v>1</v>
      </c>
      <c r="F427" s="4" t="s">
        <v>17</v>
      </c>
    </row>
    <row r="428" spans="1:6" x14ac:dyDescent="0.25">
      <c r="A428" t="s">
        <v>753</v>
      </c>
      <c r="B428" s="13">
        <f t="shared" si="6"/>
        <v>0</v>
      </c>
      <c r="C428" s="3" t="s">
        <v>480</v>
      </c>
      <c r="D428" s="3"/>
      <c r="E428" s="4" t="s">
        <v>1</v>
      </c>
      <c r="F428" s="4" t="s">
        <v>17</v>
      </c>
    </row>
    <row r="429" spans="1:6" x14ac:dyDescent="0.25">
      <c r="A429" t="s">
        <v>753</v>
      </c>
      <c r="B429" s="13">
        <f t="shared" si="6"/>
        <v>10</v>
      </c>
      <c r="C429" s="17" t="s">
        <v>481</v>
      </c>
      <c r="D429" s="19">
        <v>6.9444444444444441E-3</v>
      </c>
      <c r="E429" s="21" t="s">
        <v>1</v>
      </c>
      <c r="F429" s="5" t="s">
        <v>7</v>
      </c>
    </row>
    <row r="430" spans="1:6" x14ac:dyDescent="0.25">
      <c r="A430" t="s">
        <v>753</v>
      </c>
      <c r="B430" s="13">
        <f t="shared" si="6"/>
        <v>0</v>
      </c>
      <c r="C430" s="18"/>
      <c r="D430" s="20"/>
      <c r="E430" s="22"/>
      <c r="F430" s="6" t="s">
        <v>10</v>
      </c>
    </row>
    <row r="431" spans="1:6" x14ac:dyDescent="0.25">
      <c r="A431" t="s">
        <v>753</v>
      </c>
      <c r="B431" s="13">
        <f t="shared" si="6"/>
        <v>10</v>
      </c>
      <c r="C431" s="3" t="s">
        <v>482</v>
      </c>
      <c r="D431" s="7">
        <v>6.9444444444444441E-3</v>
      </c>
      <c r="E431" s="4" t="s">
        <v>1</v>
      </c>
      <c r="F431" s="8" t="s">
        <v>7</v>
      </c>
    </row>
    <row r="432" spans="1:6" x14ac:dyDescent="0.25">
      <c r="A432" t="s">
        <v>753</v>
      </c>
      <c r="B432" s="13">
        <f t="shared" si="6"/>
        <v>0</v>
      </c>
      <c r="C432" s="3" t="s">
        <v>483</v>
      </c>
      <c r="D432" s="3"/>
      <c r="E432" s="4" t="s">
        <v>1</v>
      </c>
      <c r="F432" s="3" t="s">
        <v>484</v>
      </c>
    </row>
    <row r="433" spans="1:6" x14ac:dyDescent="0.25">
      <c r="A433" t="s">
        <v>753</v>
      </c>
      <c r="B433" s="13">
        <f t="shared" si="6"/>
        <v>0</v>
      </c>
      <c r="C433" s="17" t="s">
        <v>485</v>
      </c>
      <c r="D433" s="17"/>
      <c r="E433" s="21" t="s">
        <v>1</v>
      </c>
      <c r="F433" s="1" t="s">
        <v>2</v>
      </c>
    </row>
    <row r="434" spans="1:6" x14ac:dyDescent="0.25">
      <c r="A434" t="s">
        <v>753</v>
      </c>
      <c r="B434" s="13">
        <f t="shared" si="6"/>
        <v>0</v>
      </c>
      <c r="C434" s="18"/>
      <c r="D434" s="18"/>
      <c r="E434" s="22"/>
      <c r="F434" s="2" t="s">
        <v>486</v>
      </c>
    </row>
    <row r="435" spans="1:6" x14ac:dyDescent="0.25">
      <c r="A435" t="s">
        <v>753</v>
      </c>
      <c r="B435" s="13">
        <f t="shared" si="6"/>
        <v>0</v>
      </c>
      <c r="C435" s="17" t="s">
        <v>487</v>
      </c>
      <c r="D435" s="17"/>
      <c r="E435" s="21" t="s">
        <v>1</v>
      </c>
      <c r="F435" s="1" t="s">
        <v>25</v>
      </c>
    </row>
    <row r="436" spans="1:6" x14ac:dyDescent="0.25">
      <c r="A436" t="s">
        <v>753</v>
      </c>
      <c r="B436" s="13">
        <f t="shared" si="6"/>
        <v>0</v>
      </c>
      <c r="C436" s="18"/>
      <c r="D436" s="18"/>
      <c r="E436" s="22"/>
      <c r="F436" s="2" t="s">
        <v>8</v>
      </c>
    </row>
    <row r="437" spans="1:6" x14ac:dyDescent="0.25">
      <c r="A437" t="s">
        <v>753</v>
      </c>
      <c r="B437" s="13">
        <f t="shared" si="6"/>
        <v>0</v>
      </c>
      <c r="C437" s="17" t="s">
        <v>488</v>
      </c>
      <c r="D437" s="17"/>
      <c r="E437" s="21" t="s">
        <v>1</v>
      </c>
      <c r="F437" s="1" t="s">
        <v>2</v>
      </c>
    </row>
    <row r="438" spans="1:6" x14ac:dyDescent="0.25">
      <c r="A438" t="s">
        <v>753</v>
      </c>
      <c r="B438" s="13">
        <f t="shared" si="6"/>
        <v>0</v>
      </c>
      <c r="C438" s="18"/>
      <c r="D438" s="18"/>
      <c r="E438" s="22"/>
      <c r="F438" s="2" t="s">
        <v>489</v>
      </c>
    </row>
    <row r="439" spans="1:6" x14ac:dyDescent="0.25">
      <c r="A439" t="s">
        <v>753</v>
      </c>
      <c r="B439" s="13">
        <f t="shared" si="6"/>
        <v>25.999999999999996</v>
      </c>
      <c r="C439" s="17" t="s">
        <v>490</v>
      </c>
      <c r="D439" s="19">
        <v>1.8055555555555554E-2</v>
      </c>
      <c r="E439" s="21" t="s">
        <v>1</v>
      </c>
      <c r="F439" s="5" t="s">
        <v>306</v>
      </c>
    </row>
    <row r="440" spans="1:6" x14ac:dyDescent="0.25">
      <c r="A440" t="s">
        <v>753</v>
      </c>
      <c r="B440" s="13">
        <f t="shared" si="6"/>
        <v>0</v>
      </c>
      <c r="C440" s="18"/>
      <c r="D440" s="20"/>
      <c r="E440" s="22"/>
      <c r="F440" s="6" t="s">
        <v>307</v>
      </c>
    </row>
    <row r="441" spans="1:6" x14ac:dyDescent="0.25">
      <c r="A441" t="s">
        <v>753</v>
      </c>
      <c r="B441" s="13">
        <f t="shared" si="6"/>
        <v>10</v>
      </c>
      <c r="C441" s="3" t="s">
        <v>491</v>
      </c>
      <c r="D441" s="7">
        <v>6.9444444444444441E-3</v>
      </c>
      <c r="E441" s="4" t="s">
        <v>1</v>
      </c>
      <c r="F441" s="8" t="s">
        <v>7</v>
      </c>
    </row>
    <row r="442" spans="1:6" x14ac:dyDescent="0.25">
      <c r="A442" t="s">
        <v>753</v>
      </c>
      <c r="B442" s="13">
        <f t="shared" si="6"/>
        <v>0</v>
      </c>
      <c r="C442" s="3" t="s">
        <v>492</v>
      </c>
      <c r="D442" s="3"/>
      <c r="E442" s="4" t="s">
        <v>1</v>
      </c>
      <c r="F442" s="4" t="s">
        <v>17</v>
      </c>
    </row>
    <row r="443" spans="1:6" x14ac:dyDescent="0.25">
      <c r="A443" t="s">
        <v>753</v>
      </c>
      <c r="B443" s="13">
        <f t="shared" si="6"/>
        <v>20</v>
      </c>
      <c r="C443" s="17" t="s">
        <v>493</v>
      </c>
      <c r="D443" s="19">
        <v>1.3888888888888888E-2</v>
      </c>
      <c r="E443" s="21" t="s">
        <v>1</v>
      </c>
      <c r="F443" s="5" t="s">
        <v>136</v>
      </c>
    </row>
    <row r="444" spans="1:6" x14ac:dyDescent="0.25">
      <c r="A444" t="s">
        <v>753</v>
      </c>
      <c r="B444" s="13">
        <f t="shared" si="6"/>
        <v>0</v>
      </c>
      <c r="C444" s="18"/>
      <c r="D444" s="20"/>
      <c r="E444" s="22"/>
      <c r="F444" s="6" t="s">
        <v>64</v>
      </c>
    </row>
    <row r="445" spans="1:6" x14ac:dyDescent="0.25">
      <c r="A445" t="s">
        <v>753</v>
      </c>
      <c r="B445" s="13">
        <f t="shared" si="6"/>
        <v>25</v>
      </c>
      <c r="C445" s="17" t="s">
        <v>494</v>
      </c>
      <c r="D445" s="19">
        <v>1.7361111111111112E-2</v>
      </c>
      <c r="E445" s="21" t="s">
        <v>1</v>
      </c>
      <c r="F445" s="5" t="s">
        <v>12</v>
      </c>
    </row>
    <row r="446" spans="1:6" x14ac:dyDescent="0.25">
      <c r="A446" t="s">
        <v>753</v>
      </c>
      <c r="B446" s="13">
        <f t="shared" si="6"/>
        <v>0</v>
      </c>
      <c r="C446" s="18"/>
      <c r="D446" s="20"/>
      <c r="E446" s="22"/>
      <c r="F446" s="6" t="s">
        <v>29</v>
      </c>
    </row>
    <row r="447" spans="1:6" x14ac:dyDescent="0.25">
      <c r="A447" t="s">
        <v>753</v>
      </c>
      <c r="B447" s="13">
        <f t="shared" si="6"/>
        <v>0</v>
      </c>
      <c r="C447" s="3" t="s">
        <v>495</v>
      </c>
      <c r="D447" s="3"/>
      <c r="E447" s="4" t="s">
        <v>1</v>
      </c>
      <c r="F447" s="4" t="s">
        <v>17</v>
      </c>
    </row>
    <row r="448" spans="1:6" x14ac:dyDescent="0.25">
      <c r="A448" t="s">
        <v>753</v>
      </c>
      <c r="B448" s="13">
        <f t="shared" si="6"/>
        <v>0</v>
      </c>
      <c r="C448" s="17" t="s">
        <v>496</v>
      </c>
      <c r="D448" s="17"/>
      <c r="E448" s="21" t="s">
        <v>1</v>
      </c>
      <c r="F448" s="1" t="s">
        <v>2</v>
      </c>
    </row>
    <row r="449" spans="1:6" x14ac:dyDescent="0.25">
      <c r="A449" t="s">
        <v>753</v>
      </c>
      <c r="B449" s="13">
        <f t="shared" si="6"/>
        <v>0</v>
      </c>
      <c r="C449" s="18"/>
      <c r="D449" s="18"/>
      <c r="E449" s="22"/>
      <c r="F449" s="2" t="s">
        <v>43</v>
      </c>
    </row>
    <row r="450" spans="1:6" x14ac:dyDescent="0.25">
      <c r="A450" t="s">
        <v>753</v>
      </c>
      <c r="B450" s="13">
        <f t="shared" ref="B450:B513" si="7">D450*24*60</f>
        <v>11</v>
      </c>
      <c r="C450" s="17" t="s">
        <v>497</v>
      </c>
      <c r="D450" s="19">
        <v>7.6388888888888886E-3</v>
      </c>
      <c r="E450" s="21" t="s">
        <v>1</v>
      </c>
      <c r="F450" s="5" t="s">
        <v>442</v>
      </c>
    </row>
    <row r="451" spans="1:6" x14ac:dyDescent="0.25">
      <c r="A451" t="s">
        <v>753</v>
      </c>
      <c r="B451" s="13">
        <f t="shared" si="7"/>
        <v>0</v>
      </c>
      <c r="C451" s="18"/>
      <c r="D451" s="20"/>
      <c r="E451" s="22"/>
      <c r="F451" s="6" t="s">
        <v>498</v>
      </c>
    </row>
    <row r="452" spans="1:6" x14ac:dyDescent="0.25">
      <c r="A452" t="s">
        <v>753</v>
      </c>
      <c r="B452" s="13">
        <f t="shared" si="7"/>
        <v>0</v>
      </c>
      <c r="C452" s="3" t="s">
        <v>499</v>
      </c>
      <c r="D452" s="3"/>
      <c r="E452" s="4" t="s">
        <v>1</v>
      </c>
      <c r="F452" s="4" t="s">
        <v>17</v>
      </c>
    </row>
    <row r="453" spans="1:6" x14ac:dyDescent="0.25">
      <c r="A453" t="s">
        <v>753</v>
      </c>
      <c r="B453" s="13">
        <f t="shared" si="7"/>
        <v>0</v>
      </c>
      <c r="C453" s="3" t="s">
        <v>500</v>
      </c>
      <c r="D453" s="3"/>
      <c r="E453" s="4" t="s">
        <v>1</v>
      </c>
      <c r="F453" s="4" t="s">
        <v>17</v>
      </c>
    </row>
    <row r="454" spans="1:6" x14ac:dyDescent="0.25">
      <c r="A454" t="s">
        <v>753</v>
      </c>
      <c r="B454" s="13">
        <f t="shared" si="7"/>
        <v>0</v>
      </c>
      <c r="C454" s="3" t="s">
        <v>501</v>
      </c>
      <c r="D454" s="3"/>
      <c r="E454" s="4" t="s">
        <v>1</v>
      </c>
      <c r="F454" s="4" t="s">
        <v>17</v>
      </c>
    </row>
    <row r="455" spans="1:6" x14ac:dyDescent="0.25">
      <c r="A455" t="s">
        <v>753</v>
      </c>
      <c r="B455" s="13">
        <f t="shared" si="7"/>
        <v>10</v>
      </c>
      <c r="C455" s="3" t="s">
        <v>502</v>
      </c>
      <c r="D455" s="7">
        <v>6.9444444444444441E-3</v>
      </c>
      <c r="E455" s="4" t="s">
        <v>1</v>
      </c>
      <c r="F455" s="8" t="s">
        <v>7</v>
      </c>
    </row>
    <row r="456" spans="1:6" x14ac:dyDescent="0.25">
      <c r="A456" t="s">
        <v>753</v>
      </c>
      <c r="B456" s="13">
        <f t="shared" si="7"/>
        <v>20</v>
      </c>
      <c r="C456" s="17" t="s">
        <v>503</v>
      </c>
      <c r="D456" s="19">
        <v>1.3888888888888888E-2</v>
      </c>
      <c r="E456" s="21" t="s">
        <v>1</v>
      </c>
      <c r="F456" s="5" t="s">
        <v>136</v>
      </c>
    </row>
    <row r="457" spans="1:6" x14ac:dyDescent="0.25">
      <c r="A457" t="s">
        <v>753</v>
      </c>
      <c r="B457" s="13">
        <f t="shared" si="7"/>
        <v>0</v>
      </c>
      <c r="C457" s="18"/>
      <c r="D457" s="20"/>
      <c r="E457" s="22"/>
      <c r="F457" s="6" t="s">
        <v>504</v>
      </c>
    </row>
    <row r="458" spans="1:6" x14ac:dyDescent="0.25">
      <c r="A458" t="s">
        <v>753</v>
      </c>
      <c r="B458" s="13">
        <f t="shared" si="7"/>
        <v>10</v>
      </c>
      <c r="C458" s="3" t="s">
        <v>505</v>
      </c>
      <c r="D458" s="7">
        <v>6.9444444444444441E-3</v>
      </c>
      <c r="E458" s="4" t="s">
        <v>1</v>
      </c>
      <c r="F458" s="8" t="s">
        <v>7</v>
      </c>
    </row>
    <row r="459" spans="1:6" x14ac:dyDescent="0.25">
      <c r="A459" t="s">
        <v>753</v>
      </c>
      <c r="B459" s="13">
        <f t="shared" si="7"/>
        <v>10</v>
      </c>
      <c r="C459" s="3" t="s">
        <v>506</v>
      </c>
      <c r="D459" s="7">
        <v>6.9444444444444441E-3</v>
      </c>
      <c r="E459" s="4" t="s">
        <v>1</v>
      </c>
      <c r="F459" s="8" t="s">
        <v>7</v>
      </c>
    </row>
    <row r="460" spans="1:6" x14ac:dyDescent="0.25">
      <c r="A460" t="s">
        <v>753</v>
      </c>
      <c r="B460" s="13">
        <f t="shared" si="7"/>
        <v>0</v>
      </c>
      <c r="C460" s="3" t="s">
        <v>507</v>
      </c>
      <c r="D460" s="3"/>
      <c r="E460" s="4" t="s">
        <v>1</v>
      </c>
      <c r="F460" s="4" t="s">
        <v>17</v>
      </c>
    </row>
    <row r="461" spans="1:6" x14ac:dyDescent="0.25">
      <c r="A461" t="s">
        <v>753</v>
      </c>
      <c r="B461" s="13">
        <f t="shared" si="7"/>
        <v>0</v>
      </c>
      <c r="C461" s="3" t="s">
        <v>508</v>
      </c>
      <c r="D461" s="3"/>
      <c r="E461" s="4" t="s">
        <v>1</v>
      </c>
      <c r="F461" s="4" t="s">
        <v>17</v>
      </c>
    </row>
    <row r="462" spans="1:6" x14ac:dyDescent="0.25">
      <c r="A462" t="s">
        <v>753</v>
      </c>
      <c r="B462" s="13">
        <f t="shared" si="7"/>
        <v>0</v>
      </c>
      <c r="C462" s="17" t="s">
        <v>509</v>
      </c>
      <c r="D462" s="17"/>
      <c r="E462" s="21" t="s">
        <v>1</v>
      </c>
      <c r="F462" s="1" t="s">
        <v>2</v>
      </c>
    </row>
    <row r="463" spans="1:6" x14ac:dyDescent="0.25">
      <c r="A463" t="s">
        <v>753</v>
      </c>
      <c r="B463" s="13">
        <f t="shared" si="7"/>
        <v>0</v>
      </c>
      <c r="C463" s="18"/>
      <c r="D463" s="18"/>
      <c r="E463" s="22"/>
      <c r="F463" s="2" t="s">
        <v>137</v>
      </c>
    </row>
    <row r="464" spans="1:6" x14ac:dyDescent="0.25">
      <c r="A464" t="s">
        <v>753</v>
      </c>
      <c r="B464" s="13">
        <f t="shared" si="7"/>
        <v>0</v>
      </c>
      <c r="C464" s="17" t="s">
        <v>510</v>
      </c>
      <c r="D464" s="17"/>
      <c r="E464" s="21" t="s">
        <v>1</v>
      </c>
      <c r="F464" s="1" t="s">
        <v>25</v>
      </c>
    </row>
    <row r="465" spans="1:6" x14ac:dyDescent="0.25">
      <c r="A465" t="s">
        <v>753</v>
      </c>
      <c r="B465" s="13">
        <f t="shared" si="7"/>
        <v>0</v>
      </c>
      <c r="C465" s="18"/>
      <c r="D465" s="18"/>
      <c r="E465" s="22"/>
      <c r="F465" s="2" t="s">
        <v>70</v>
      </c>
    </row>
    <row r="466" spans="1:6" x14ac:dyDescent="0.25">
      <c r="A466" t="s">
        <v>753</v>
      </c>
      <c r="B466" s="13">
        <f t="shared" si="7"/>
        <v>0</v>
      </c>
      <c r="C466" s="17" t="s">
        <v>511</v>
      </c>
      <c r="D466" s="17"/>
      <c r="E466" s="21" t="s">
        <v>1</v>
      </c>
      <c r="F466" s="1" t="s">
        <v>2</v>
      </c>
    </row>
    <row r="467" spans="1:6" x14ac:dyDescent="0.25">
      <c r="A467" t="s">
        <v>753</v>
      </c>
      <c r="B467" s="13">
        <f t="shared" si="7"/>
        <v>0</v>
      </c>
      <c r="C467" s="18"/>
      <c r="D467" s="18"/>
      <c r="E467" s="22"/>
      <c r="F467" s="2" t="s">
        <v>512</v>
      </c>
    </row>
    <row r="468" spans="1:6" x14ac:dyDescent="0.25">
      <c r="A468" t="s">
        <v>753</v>
      </c>
      <c r="B468" s="13">
        <f t="shared" si="7"/>
        <v>0</v>
      </c>
      <c r="C468" s="17" t="s">
        <v>513</v>
      </c>
      <c r="D468" s="17"/>
      <c r="E468" s="21" t="s">
        <v>1</v>
      </c>
      <c r="F468" s="1" t="s">
        <v>2</v>
      </c>
    </row>
    <row r="469" spans="1:6" x14ac:dyDescent="0.25">
      <c r="A469" t="s">
        <v>753</v>
      </c>
      <c r="B469" s="13">
        <f t="shared" si="7"/>
        <v>0</v>
      </c>
      <c r="C469" s="18"/>
      <c r="D469" s="18"/>
      <c r="E469" s="22"/>
      <c r="F469" s="2" t="s">
        <v>514</v>
      </c>
    </row>
    <row r="470" spans="1:6" x14ac:dyDescent="0.25">
      <c r="A470" t="s">
        <v>753</v>
      </c>
      <c r="B470" s="13">
        <f t="shared" si="7"/>
        <v>0</v>
      </c>
      <c r="C470" s="3" t="s">
        <v>515</v>
      </c>
      <c r="D470" s="3"/>
      <c r="E470" s="4" t="s">
        <v>1</v>
      </c>
      <c r="F470" s="4" t="s">
        <v>5</v>
      </c>
    </row>
    <row r="471" spans="1:6" x14ac:dyDescent="0.25">
      <c r="A471" t="s">
        <v>753</v>
      </c>
      <c r="B471" s="13">
        <f t="shared" si="7"/>
        <v>0</v>
      </c>
      <c r="C471" s="3" t="s">
        <v>516</v>
      </c>
      <c r="D471" s="3"/>
      <c r="E471" s="4" t="s">
        <v>1</v>
      </c>
      <c r="F471" s="4" t="s">
        <v>17</v>
      </c>
    </row>
    <row r="472" spans="1:6" x14ac:dyDescent="0.25">
      <c r="A472" t="s">
        <v>753</v>
      </c>
      <c r="B472" s="13">
        <f t="shared" si="7"/>
        <v>0</v>
      </c>
      <c r="C472" s="3" t="s">
        <v>517</v>
      </c>
      <c r="D472" s="3"/>
      <c r="E472" s="4" t="s">
        <v>1</v>
      </c>
      <c r="F472" s="3" t="s">
        <v>518</v>
      </c>
    </row>
    <row r="473" spans="1:6" x14ac:dyDescent="0.25">
      <c r="A473" t="s">
        <v>753</v>
      </c>
      <c r="B473" s="13">
        <f t="shared" si="7"/>
        <v>0</v>
      </c>
      <c r="C473" s="3" t="s">
        <v>519</v>
      </c>
      <c r="D473" s="3"/>
      <c r="E473" s="4" t="s">
        <v>1</v>
      </c>
      <c r="F473" s="3" t="s">
        <v>518</v>
      </c>
    </row>
    <row r="474" spans="1:6" x14ac:dyDescent="0.25">
      <c r="A474" t="s">
        <v>753</v>
      </c>
      <c r="B474" s="13">
        <f t="shared" si="7"/>
        <v>0</v>
      </c>
      <c r="C474" s="3" t="s">
        <v>520</v>
      </c>
      <c r="D474" s="3"/>
      <c r="E474" s="4" t="s">
        <v>1</v>
      </c>
      <c r="F474" s="4" t="s">
        <v>17</v>
      </c>
    </row>
    <row r="475" spans="1:6" x14ac:dyDescent="0.25">
      <c r="A475" t="s">
        <v>753</v>
      </c>
      <c r="B475" s="13">
        <f t="shared" si="7"/>
        <v>20</v>
      </c>
      <c r="C475" s="17" t="s">
        <v>521</v>
      </c>
      <c r="D475" s="19">
        <v>1.3888888888888888E-2</v>
      </c>
      <c r="E475" s="21" t="s">
        <v>1</v>
      </c>
      <c r="F475" s="5" t="s">
        <v>136</v>
      </c>
    </row>
    <row r="476" spans="1:6" x14ac:dyDescent="0.25">
      <c r="A476" t="s">
        <v>753</v>
      </c>
      <c r="B476" s="13">
        <f t="shared" si="7"/>
        <v>0</v>
      </c>
      <c r="C476" s="18"/>
      <c r="D476" s="20"/>
      <c r="E476" s="22"/>
      <c r="F476" s="6" t="s">
        <v>504</v>
      </c>
    </row>
    <row r="477" spans="1:6" x14ac:dyDescent="0.25">
      <c r="A477" t="s">
        <v>753</v>
      </c>
      <c r="B477" s="13">
        <f t="shared" si="7"/>
        <v>0</v>
      </c>
      <c r="C477" s="3" t="s">
        <v>522</v>
      </c>
      <c r="D477" s="3"/>
      <c r="E477" s="4" t="s">
        <v>1</v>
      </c>
      <c r="F477" s="3" t="s">
        <v>518</v>
      </c>
    </row>
    <row r="478" spans="1:6" x14ac:dyDescent="0.25">
      <c r="A478" t="s">
        <v>753</v>
      </c>
      <c r="B478" s="13">
        <f t="shared" si="7"/>
        <v>25</v>
      </c>
      <c r="C478" s="17" t="s">
        <v>523</v>
      </c>
      <c r="D478" s="19">
        <v>1.7361111111111112E-2</v>
      </c>
      <c r="E478" s="21" t="s">
        <v>1</v>
      </c>
      <c r="F478" s="5" t="s">
        <v>12</v>
      </c>
    </row>
    <row r="479" spans="1:6" x14ac:dyDescent="0.25">
      <c r="A479" t="s">
        <v>753</v>
      </c>
      <c r="B479" s="13">
        <f t="shared" si="7"/>
        <v>0</v>
      </c>
      <c r="C479" s="18"/>
      <c r="D479" s="20"/>
      <c r="E479" s="22"/>
      <c r="F479" s="6" t="s">
        <v>29</v>
      </c>
    </row>
    <row r="480" spans="1:6" x14ac:dyDescent="0.25">
      <c r="A480" t="s">
        <v>753</v>
      </c>
      <c r="B480" s="13">
        <f t="shared" si="7"/>
        <v>10</v>
      </c>
      <c r="C480" s="3" t="s">
        <v>524</v>
      </c>
      <c r="D480" s="7">
        <v>6.9444444444444441E-3</v>
      </c>
      <c r="E480" s="4" t="s">
        <v>1</v>
      </c>
      <c r="F480" s="8" t="s">
        <v>7</v>
      </c>
    </row>
    <row r="481" spans="1:6" x14ac:dyDescent="0.25">
      <c r="A481" t="s">
        <v>753</v>
      </c>
      <c r="B481" s="13">
        <f t="shared" si="7"/>
        <v>10</v>
      </c>
      <c r="C481" s="17" t="s">
        <v>525</v>
      </c>
      <c r="D481" s="19">
        <v>6.9444444444444441E-3</v>
      </c>
      <c r="E481" s="21" t="s">
        <v>1</v>
      </c>
      <c r="F481" s="5" t="s">
        <v>7</v>
      </c>
    </row>
    <row r="482" spans="1:6" x14ac:dyDescent="0.25">
      <c r="A482" t="s">
        <v>753</v>
      </c>
      <c r="B482" s="13">
        <f t="shared" si="7"/>
        <v>0</v>
      </c>
      <c r="C482" s="18"/>
      <c r="D482" s="20"/>
      <c r="E482" s="22"/>
      <c r="F482" s="6" t="s">
        <v>8</v>
      </c>
    </row>
    <row r="483" spans="1:6" x14ac:dyDescent="0.25">
      <c r="A483" t="s">
        <v>753</v>
      </c>
      <c r="B483" s="13">
        <f t="shared" si="7"/>
        <v>10</v>
      </c>
      <c r="C483" s="17" t="s">
        <v>526</v>
      </c>
      <c r="D483" s="19">
        <v>6.9444444444444441E-3</v>
      </c>
      <c r="E483" s="21" t="s">
        <v>1</v>
      </c>
      <c r="F483" s="5" t="s">
        <v>7</v>
      </c>
    </row>
    <row r="484" spans="1:6" x14ac:dyDescent="0.25">
      <c r="A484" t="s">
        <v>753</v>
      </c>
      <c r="B484" s="13">
        <f t="shared" si="7"/>
        <v>0</v>
      </c>
      <c r="C484" s="18"/>
      <c r="D484" s="20"/>
      <c r="E484" s="22"/>
      <c r="F484" s="6" t="s">
        <v>10</v>
      </c>
    </row>
    <row r="485" spans="1:6" x14ac:dyDescent="0.25">
      <c r="A485" t="s">
        <v>753</v>
      </c>
      <c r="B485" s="13">
        <f t="shared" si="7"/>
        <v>10</v>
      </c>
      <c r="C485" s="3" t="s">
        <v>527</v>
      </c>
      <c r="D485" s="7">
        <v>6.9444444444444441E-3</v>
      </c>
      <c r="E485" s="4" t="s">
        <v>1</v>
      </c>
      <c r="F485" s="8" t="s">
        <v>7</v>
      </c>
    </row>
    <row r="486" spans="1:6" x14ac:dyDescent="0.25">
      <c r="A486" t="s">
        <v>753</v>
      </c>
      <c r="B486" s="13">
        <f t="shared" si="7"/>
        <v>111</v>
      </c>
      <c r="C486" s="17" t="s">
        <v>528</v>
      </c>
      <c r="D486" s="19">
        <v>7.7083333333333337E-2</v>
      </c>
      <c r="E486" s="21" t="s">
        <v>1</v>
      </c>
      <c r="F486" s="5" t="s">
        <v>529</v>
      </c>
    </row>
    <row r="487" spans="1:6" x14ac:dyDescent="0.25">
      <c r="A487" t="s">
        <v>753</v>
      </c>
      <c r="B487" s="13">
        <f t="shared" si="7"/>
        <v>0</v>
      </c>
      <c r="C487" s="18"/>
      <c r="D487" s="20"/>
      <c r="E487" s="22"/>
      <c r="F487" s="6" t="s">
        <v>530</v>
      </c>
    </row>
    <row r="488" spans="1:6" x14ac:dyDescent="0.25">
      <c r="A488" t="s">
        <v>753</v>
      </c>
      <c r="B488" s="13">
        <f t="shared" si="7"/>
        <v>0</v>
      </c>
      <c r="C488" s="3" t="s">
        <v>531</v>
      </c>
      <c r="D488" s="3"/>
      <c r="E488" s="4" t="s">
        <v>1</v>
      </c>
      <c r="F488" s="4" t="s">
        <v>17</v>
      </c>
    </row>
    <row r="489" spans="1:6" x14ac:dyDescent="0.25">
      <c r="A489" t="s">
        <v>753</v>
      </c>
      <c r="B489" s="13">
        <f t="shared" si="7"/>
        <v>10</v>
      </c>
      <c r="C489" s="3" t="s">
        <v>532</v>
      </c>
      <c r="D489" s="7">
        <v>6.9444444444444441E-3</v>
      </c>
      <c r="E489" s="4" t="s">
        <v>1</v>
      </c>
      <c r="F489" s="8" t="s">
        <v>7</v>
      </c>
    </row>
    <row r="490" spans="1:6" x14ac:dyDescent="0.25">
      <c r="A490" t="s">
        <v>753</v>
      </c>
      <c r="B490" s="13">
        <f t="shared" si="7"/>
        <v>0</v>
      </c>
      <c r="C490" s="3" t="s">
        <v>533</v>
      </c>
      <c r="D490" s="3"/>
      <c r="E490" s="4" t="s">
        <v>1</v>
      </c>
      <c r="F490" s="4" t="s">
        <v>17</v>
      </c>
    </row>
    <row r="491" spans="1:6" x14ac:dyDescent="0.25">
      <c r="A491" t="s">
        <v>753</v>
      </c>
      <c r="B491" s="13">
        <f t="shared" si="7"/>
        <v>10</v>
      </c>
      <c r="C491" s="3" t="s">
        <v>534</v>
      </c>
      <c r="D491" s="7">
        <v>6.9444444444444441E-3</v>
      </c>
      <c r="E491" s="4" t="s">
        <v>1</v>
      </c>
      <c r="F491" s="8" t="s">
        <v>7</v>
      </c>
    </row>
    <row r="492" spans="1:6" x14ac:dyDescent="0.25">
      <c r="A492" t="s">
        <v>753</v>
      </c>
      <c r="B492" s="13">
        <f t="shared" si="7"/>
        <v>10</v>
      </c>
      <c r="C492" s="3" t="s">
        <v>535</v>
      </c>
      <c r="D492" s="7">
        <v>6.9444444444444441E-3</v>
      </c>
      <c r="E492" s="4" t="s">
        <v>1</v>
      </c>
      <c r="F492" s="8" t="s">
        <v>7</v>
      </c>
    </row>
    <row r="493" spans="1:6" x14ac:dyDescent="0.25">
      <c r="A493" t="s">
        <v>753</v>
      </c>
      <c r="B493" s="13">
        <f t="shared" si="7"/>
        <v>10</v>
      </c>
      <c r="C493" s="3" t="s">
        <v>536</v>
      </c>
      <c r="D493" s="7">
        <v>6.9444444444444441E-3</v>
      </c>
      <c r="E493" s="4" t="s">
        <v>1</v>
      </c>
      <c r="F493" s="8" t="s">
        <v>7</v>
      </c>
    </row>
    <row r="494" spans="1:6" x14ac:dyDescent="0.25">
      <c r="A494" t="s">
        <v>753</v>
      </c>
      <c r="B494" s="13">
        <f t="shared" si="7"/>
        <v>0</v>
      </c>
      <c r="C494" s="3" t="s">
        <v>537</v>
      </c>
      <c r="D494" s="3"/>
      <c r="E494" s="4" t="s">
        <v>1</v>
      </c>
      <c r="F494" s="4" t="s">
        <v>17</v>
      </c>
    </row>
    <row r="495" spans="1:6" x14ac:dyDescent="0.25">
      <c r="A495" t="s">
        <v>753</v>
      </c>
      <c r="B495" s="13">
        <f t="shared" si="7"/>
        <v>0</v>
      </c>
      <c r="C495" s="3" t="s">
        <v>538</v>
      </c>
      <c r="D495" s="3"/>
      <c r="E495" s="4" t="s">
        <v>1</v>
      </c>
      <c r="F495" s="4" t="s">
        <v>17</v>
      </c>
    </row>
    <row r="496" spans="1:6" x14ac:dyDescent="0.25">
      <c r="A496" t="s">
        <v>753</v>
      </c>
      <c r="B496" s="13">
        <f t="shared" si="7"/>
        <v>0</v>
      </c>
      <c r="C496" s="3" t="s">
        <v>539</v>
      </c>
      <c r="D496" s="3"/>
      <c r="E496" s="4" t="s">
        <v>1</v>
      </c>
      <c r="F496" s="4" t="s">
        <v>5</v>
      </c>
    </row>
    <row r="497" spans="1:6" x14ac:dyDescent="0.25">
      <c r="A497" t="s">
        <v>753</v>
      </c>
      <c r="B497" s="13">
        <f t="shared" si="7"/>
        <v>0</v>
      </c>
      <c r="C497" s="17" t="s">
        <v>540</v>
      </c>
      <c r="D497" s="17"/>
      <c r="E497" s="21" t="s">
        <v>1</v>
      </c>
      <c r="F497" s="1" t="s">
        <v>2</v>
      </c>
    </row>
    <row r="498" spans="1:6" x14ac:dyDescent="0.25">
      <c r="A498" t="s">
        <v>753</v>
      </c>
      <c r="B498" s="13">
        <f t="shared" si="7"/>
        <v>0</v>
      </c>
      <c r="C498" s="18"/>
      <c r="D498" s="18"/>
      <c r="E498" s="22"/>
      <c r="F498" s="2" t="s">
        <v>541</v>
      </c>
    </row>
    <row r="499" spans="1:6" x14ac:dyDescent="0.25">
      <c r="A499" t="s">
        <v>753</v>
      </c>
      <c r="B499" s="13">
        <f t="shared" si="7"/>
        <v>0</v>
      </c>
      <c r="C499" s="3" t="s">
        <v>542</v>
      </c>
      <c r="D499" s="3"/>
      <c r="E499" s="4" t="s">
        <v>1</v>
      </c>
      <c r="F499" s="4" t="s">
        <v>17</v>
      </c>
    </row>
    <row r="500" spans="1:6" x14ac:dyDescent="0.25">
      <c r="A500" t="s">
        <v>753</v>
      </c>
      <c r="B500" s="13">
        <f t="shared" si="7"/>
        <v>0</v>
      </c>
      <c r="C500" s="17" t="s">
        <v>543</v>
      </c>
      <c r="D500" s="17"/>
      <c r="E500" s="21" t="s">
        <v>1</v>
      </c>
      <c r="F500" s="1" t="s">
        <v>25</v>
      </c>
    </row>
    <row r="501" spans="1:6" x14ac:dyDescent="0.25">
      <c r="A501" t="s">
        <v>753</v>
      </c>
      <c r="B501" s="13">
        <f t="shared" si="7"/>
        <v>0</v>
      </c>
      <c r="C501" s="18"/>
      <c r="D501" s="18"/>
      <c r="E501" s="22"/>
      <c r="F501" s="2" t="s">
        <v>327</v>
      </c>
    </row>
    <row r="502" spans="1:6" x14ac:dyDescent="0.25">
      <c r="A502" t="s">
        <v>753</v>
      </c>
      <c r="B502" s="13">
        <f t="shared" si="7"/>
        <v>0</v>
      </c>
      <c r="C502" s="3" t="s">
        <v>544</v>
      </c>
      <c r="D502" s="3"/>
      <c r="E502" s="4" t="s">
        <v>1</v>
      </c>
      <c r="F502" s="4" t="s">
        <v>17</v>
      </c>
    </row>
    <row r="503" spans="1:6" x14ac:dyDescent="0.25">
      <c r="A503" t="s">
        <v>753</v>
      </c>
      <c r="B503" s="13">
        <f t="shared" si="7"/>
        <v>0</v>
      </c>
      <c r="C503" s="3" t="s">
        <v>545</v>
      </c>
      <c r="D503" s="3"/>
      <c r="E503" s="4" t="s">
        <v>1</v>
      </c>
      <c r="F503" s="4" t="s">
        <v>17</v>
      </c>
    </row>
    <row r="504" spans="1:6" x14ac:dyDescent="0.25">
      <c r="A504" t="s">
        <v>753</v>
      </c>
      <c r="B504" s="13">
        <f t="shared" si="7"/>
        <v>0</v>
      </c>
      <c r="C504" s="3" t="s">
        <v>546</v>
      </c>
      <c r="D504" s="3"/>
      <c r="E504" s="4" t="s">
        <v>1</v>
      </c>
      <c r="F504" s="4" t="s">
        <v>25</v>
      </c>
    </row>
    <row r="505" spans="1:6" x14ac:dyDescent="0.25">
      <c r="A505" t="s">
        <v>753</v>
      </c>
      <c r="B505" s="13">
        <f t="shared" si="7"/>
        <v>0</v>
      </c>
      <c r="C505" s="17" t="s">
        <v>547</v>
      </c>
      <c r="D505" s="17"/>
      <c r="E505" s="21" t="s">
        <v>1</v>
      </c>
      <c r="F505" s="1" t="s">
        <v>2</v>
      </c>
    </row>
    <row r="506" spans="1:6" x14ac:dyDescent="0.25">
      <c r="A506" t="s">
        <v>753</v>
      </c>
      <c r="B506" s="13">
        <f t="shared" si="7"/>
        <v>0</v>
      </c>
      <c r="C506" s="18"/>
      <c r="D506" s="18"/>
      <c r="E506" s="22"/>
      <c r="F506" s="2" t="s">
        <v>548</v>
      </c>
    </row>
    <row r="507" spans="1:6" x14ac:dyDescent="0.25">
      <c r="A507" t="s">
        <v>753</v>
      </c>
      <c r="B507" s="13">
        <f t="shared" si="7"/>
        <v>0</v>
      </c>
      <c r="C507" s="3" t="s">
        <v>549</v>
      </c>
      <c r="D507" s="3"/>
      <c r="E507" s="4" t="s">
        <v>1</v>
      </c>
      <c r="F507" s="4" t="s">
        <v>17</v>
      </c>
    </row>
    <row r="508" spans="1:6" x14ac:dyDescent="0.25">
      <c r="A508" t="s">
        <v>753</v>
      </c>
      <c r="B508" s="13">
        <f t="shared" si="7"/>
        <v>10</v>
      </c>
      <c r="C508" s="3" t="s">
        <v>550</v>
      </c>
      <c r="D508" s="7">
        <v>6.9444444444444441E-3</v>
      </c>
      <c r="E508" s="4" t="s">
        <v>1</v>
      </c>
      <c r="F508" s="8" t="s">
        <v>7</v>
      </c>
    </row>
    <row r="509" spans="1:6" x14ac:dyDescent="0.25">
      <c r="A509" t="s">
        <v>753</v>
      </c>
      <c r="B509" s="13">
        <f t="shared" si="7"/>
        <v>0</v>
      </c>
      <c r="C509" s="3" t="s">
        <v>551</v>
      </c>
      <c r="D509" s="3"/>
      <c r="E509" s="4" t="s">
        <v>1</v>
      </c>
      <c r="F509" s="4" t="s">
        <v>17</v>
      </c>
    </row>
    <row r="510" spans="1:6" x14ac:dyDescent="0.25">
      <c r="A510" t="s">
        <v>753</v>
      </c>
      <c r="B510" s="13">
        <f t="shared" si="7"/>
        <v>0</v>
      </c>
      <c r="C510" s="3" t="s">
        <v>552</v>
      </c>
      <c r="D510" s="3"/>
      <c r="E510" s="4" t="s">
        <v>1</v>
      </c>
      <c r="F510" s="4" t="s">
        <v>5</v>
      </c>
    </row>
    <row r="511" spans="1:6" x14ac:dyDescent="0.25">
      <c r="A511" t="s">
        <v>753</v>
      </c>
      <c r="B511" s="13">
        <f t="shared" si="7"/>
        <v>10</v>
      </c>
      <c r="C511" s="3" t="s">
        <v>553</v>
      </c>
      <c r="D511" s="7">
        <v>6.9444444444444441E-3</v>
      </c>
      <c r="E511" s="4" t="s">
        <v>1</v>
      </c>
      <c r="F511" s="8" t="s">
        <v>7</v>
      </c>
    </row>
    <row r="512" spans="1:6" x14ac:dyDescent="0.25">
      <c r="A512" t="s">
        <v>753</v>
      </c>
      <c r="B512" s="13">
        <f t="shared" si="7"/>
        <v>0</v>
      </c>
      <c r="C512" s="3" t="s">
        <v>554</v>
      </c>
      <c r="D512" s="3"/>
      <c r="E512" s="4" t="s">
        <v>1</v>
      </c>
      <c r="F512" s="4" t="s">
        <v>17</v>
      </c>
    </row>
    <row r="513" spans="1:6" x14ac:dyDescent="0.25">
      <c r="A513" t="s">
        <v>753</v>
      </c>
      <c r="B513" s="13">
        <f t="shared" si="7"/>
        <v>10</v>
      </c>
      <c r="C513" s="17" t="s">
        <v>555</v>
      </c>
      <c r="D513" s="19">
        <v>6.9444444444444441E-3</v>
      </c>
      <c r="E513" s="21" t="s">
        <v>1</v>
      </c>
      <c r="F513" s="5" t="s">
        <v>7</v>
      </c>
    </row>
    <row r="514" spans="1:6" x14ac:dyDescent="0.25">
      <c r="A514" t="s">
        <v>753</v>
      </c>
      <c r="B514" s="13">
        <f t="shared" ref="B514:B577" si="8">D514*24*60</f>
        <v>0</v>
      </c>
      <c r="C514" s="18"/>
      <c r="D514" s="20"/>
      <c r="E514" s="22"/>
      <c r="F514" s="6" t="s">
        <v>8</v>
      </c>
    </row>
    <row r="515" spans="1:6" x14ac:dyDescent="0.25">
      <c r="A515" t="s">
        <v>753</v>
      </c>
      <c r="B515" s="13">
        <f t="shared" si="8"/>
        <v>0</v>
      </c>
      <c r="C515" s="17" t="s">
        <v>556</v>
      </c>
      <c r="D515" s="17"/>
      <c r="E515" s="23"/>
      <c r="F515" s="1" t="s">
        <v>557</v>
      </c>
    </row>
    <row r="516" spans="1:6" x14ac:dyDescent="0.25">
      <c r="A516" t="s">
        <v>753</v>
      </c>
      <c r="B516" s="13">
        <f t="shared" si="8"/>
        <v>0</v>
      </c>
      <c r="C516" s="18"/>
      <c r="D516" s="18"/>
      <c r="E516" s="24"/>
      <c r="F516" s="2" t="s">
        <v>558</v>
      </c>
    </row>
    <row r="517" spans="1:6" x14ac:dyDescent="0.25">
      <c r="A517" t="s">
        <v>753</v>
      </c>
      <c r="B517" s="13">
        <f t="shared" si="8"/>
        <v>0</v>
      </c>
      <c r="C517" s="17" t="s">
        <v>559</v>
      </c>
      <c r="D517" s="17"/>
      <c r="E517" s="21" t="s">
        <v>1</v>
      </c>
      <c r="F517" s="1" t="s">
        <v>2</v>
      </c>
    </row>
    <row r="518" spans="1:6" x14ac:dyDescent="0.25">
      <c r="A518" t="s">
        <v>753</v>
      </c>
      <c r="B518" s="13">
        <f t="shared" si="8"/>
        <v>0</v>
      </c>
      <c r="C518" s="18"/>
      <c r="D518" s="18"/>
      <c r="E518" s="22"/>
      <c r="F518" s="2" t="s">
        <v>560</v>
      </c>
    </row>
    <row r="519" spans="1:6" x14ac:dyDescent="0.25">
      <c r="A519" t="s">
        <v>753</v>
      </c>
      <c r="B519" s="13">
        <f t="shared" si="8"/>
        <v>0</v>
      </c>
      <c r="C519" s="17" t="s">
        <v>561</v>
      </c>
      <c r="D519" s="17"/>
      <c r="E519" s="21" t="s">
        <v>1</v>
      </c>
      <c r="F519" s="1" t="s">
        <v>25</v>
      </c>
    </row>
    <row r="520" spans="1:6" x14ac:dyDescent="0.25">
      <c r="A520" t="s">
        <v>753</v>
      </c>
      <c r="B520" s="13">
        <f t="shared" si="8"/>
        <v>0</v>
      </c>
      <c r="C520" s="18"/>
      <c r="D520" s="18"/>
      <c r="E520" s="22"/>
      <c r="F520" s="2" t="s">
        <v>8</v>
      </c>
    </row>
    <row r="521" spans="1:6" x14ac:dyDescent="0.25">
      <c r="A521" t="s">
        <v>753</v>
      </c>
      <c r="B521" s="13">
        <f t="shared" si="8"/>
        <v>0</v>
      </c>
      <c r="C521" s="3" t="s">
        <v>562</v>
      </c>
      <c r="D521" s="3"/>
      <c r="E521" s="4" t="s">
        <v>1</v>
      </c>
      <c r="F521" s="3" t="s">
        <v>563</v>
      </c>
    </row>
    <row r="522" spans="1:6" x14ac:dyDescent="0.25">
      <c r="A522" t="s">
        <v>753</v>
      </c>
      <c r="B522" s="13">
        <f t="shared" si="8"/>
        <v>0</v>
      </c>
      <c r="C522" s="3" t="s">
        <v>564</v>
      </c>
      <c r="D522" s="3"/>
      <c r="E522" s="4" t="s">
        <v>1</v>
      </c>
      <c r="F522" s="4" t="s">
        <v>5</v>
      </c>
    </row>
    <row r="523" spans="1:6" x14ac:dyDescent="0.25">
      <c r="A523" t="s">
        <v>753</v>
      </c>
      <c r="B523" s="13">
        <f t="shared" si="8"/>
        <v>0</v>
      </c>
      <c r="C523" s="17" t="s">
        <v>565</v>
      </c>
      <c r="D523" s="17"/>
      <c r="E523" s="21" t="s">
        <v>1</v>
      </c>
      <c r="F523" s="1" t="s">
        <v>25</v>
      </c>
    </row>
    <row r="524" spans="1:6" x14ac:dyDescent="0.25">
      <c r="A524" t="s">
        <v>753</v>
      </c>
      <c r="B524" s="13">
        <f t="shared" si="8"/>
        <v>0</v>
      </c>
      <c r="C524" s="18"/>
      <c r="D524" s="18"/>
      <c r="E524" s="22"/>
      <c r="F524" s="2" t="s">
        <v>566</v>
      </c>
    </row>
    <row r="525" spans="1:6" x14ac:dyDescent="0.25">
      <c r="A525" t="s">
        <v>753</v>
      </c>
      <c r="B525" s="13">
        <f t="shared" si="8"/>
        <v>0</v>
      </c>
      <c r="C525" s="3" t="s">
        <v>567</v>
      </c>
      <c r="D525" s="3"/>
      <c r="E525" s="4" t="s">
        <v>1</v>
      </c>
      <c r="F525" s="4" t="s">
        <v>5</v>
      </c>
    </row>
    <row r="526" spans="1:6" x14ac:dyDescent="0.25">
      <c r="A526" t="s">
        <v>753</v>
      </c>
      <c r="B526" s="13">
        <f t="shared" si="8"/>
        <v>0</v>
      </c>
      <c r="C526" s="17" t="s">
        <v>568</v>
      </c>
      <c r="D526" s="17"/>
      <c r="E526" s="21" t="s">
        <v>1</v>
      </c>
      <c r="F526" s="1" t="s">
        <v>2</v>
      </c>
    </row>
    <row r="527" spans="1:6" x14ac:dyDescent="0.25">
      <c r="A527" t="s">
        <v>753</v>
      </c>
      <c r="B527" s="13">
        <f t="shared" si="8"/>
        <v>0</v>
      </c>
      <c r="C527" s="18"/>
      <c r="D527" s="18"/>
      <c r="E527" s="22"/>
      <c r="F527" s="2" t="s">
        <v>569</v>
      </c>
    </row>
    <row r="528" spans="1:6" x14ac:dyDescent="0.25">
      <c r="A528" t="s">
        <v>753</v>
      </c>
      <c r="B528" s="13">
        <f t="shared" si="8"/>
        <v>0</v>
      </c>
      <c r="C528" s="17" t="s">
        <v>570</v>
      </c>
      <c r="D528" s="17"/>
      <c r="E528" s="21" t="s">
        <v>1</v>
      </c>
      <c r="F528" s="1" t="s">
        <v>25</v>
      </c>
    </row>
    <row r="529" spans="1:6" x14ac:dyDescent="0.25">
      <c r="A529" t="s">
        <v>753</v>
      </c>
      <c r="B529" s="13">
        <f t="shared" si="8"/>
        <v>0</v>
      </c>
      <c r="C529" s="18"/>
      <c r="D529" s="18"/>
      <c r="E529" s="22"/>
      <c r="F529" s="2" t="s">
        <v>571</v>
      </c>
    </row>
    <row r="530" spans="1:6" x14ac:dyDescent="0.25">
      <c r="A530" t="s">
        <v>753</v>
      </c>
      <c r="B530" s="13">
        <f t="shared" si="8"/>
        <v>431.99999999999994</v>
      </c>
      <c r="C530" s="17" t="s">
        <v>572</v>
      </c>
      <c r="D530" s="19">
        <v>0.3</v>
      </c>
      <c r="E530" s="21" t="s">
        <v>1</v>
      </c>
      <c r="F530" s="5" t="s">
        <v>573</v>
      </c>
    </row>
    <row r="531" spans="1:6" x14ac:dyDescent="0.25">
      <c r="A531" t="s">
        <v>753</v>
      </c>
      <c r="B531" s="13">
        <f t="shared" si="8"/>
        <v>0</v>
      </c>
      <c r="C531" s="18"/>
      <c r="D531" s="20"/>
      <c r="E531" s="22"/>
      <c r="F531" s="6" t="s">
        <v>574</v>
      </c>
    </row>
    <row r="532" spans="1:6" x14ac:dyDescent="0.25">
      <c r="A532" t="s">
        <v>753</v>
      </c>
      <c r="B532" s="13">
        <f t="shared" si="8"/>
        <v>0</v>
      </c>
      <c r="C532" s="17" t="s">
        <v>575</v>
      </c>
      <c r="D532" s="17"/>
      <c r="E532" s="21" t="s">
        <v>1</v>
      </c>
      <c r="F532" s="1" t="s">
        <v>2</v>
      </c>
    </row>
    <row r="533" spans="1:6" x14ac:dyDescent="0.25">
      <c r="A533" t="s">
        <v>753</v>
      </c>
      <c r="B533" s="13">
        <f t="shared" si="8"/>
        <v>0</v>
      </c>
      <c r="C533" s="18"/>
      <c r="D533" s="18"/>
      <c r="E533" s="22"/>
      <c r="F533" s="2" t="s">
        <v>576</v>
      </c>
    </row>
    <row r="534" spans="1:6" x14ac:dyDescent="0.25">
      <c r="A534" t="s">
        <v>753</v>
      </c>
      <c r="B534" s="13">
        <f t="shared" si="8"/>
        <v>0</v>
      </c>
      <c r="C534" s="17" t="s">
        <v>577</v>
      </c>
      <c r="D534" s="17"/>
      <c r="E534" s="21" t="s">
        <v>1</v>
      </c>
      <c r="F534" s="1" t="s">
        <v>2</v>
      </c>
    </row>
    <row r="535" spans="1:6" x14ac:dyDescent="0.25">
      <c r="A535" t="s">
        <v>753</v>
      </c>
      <c r="B535" s="13">
        <f t="shared" si="8"/>
        <v>0</v>
      </c>
      <c r="C535" s="18"/>
      <c r="D535" s="18"/>
      <c r="E535" s="22"/>
      <c r="F535" s="2" t="s">
        <v>578</v>
      </c>
    </row>
    <row r="536" spans="1:6" x14ac:dyDescent="0.25">
      <c r="A536" t="s">
        <v>753</v>
      </c>
      <c r="B536" s="13">
        <f t="shared" si="8"/>
        <v>0</v>
      </c>
      <c r="C536" s="3" t="s">
        <v>579</v>
      </c>
      <c r="D536" s="3"/>
      <c r="E536" s="4" t="s">
        <v>1</v>
      </c>
      <c r="F536" s="4" t="s">
        <v>5</v>
      </c>
    </row>
    <row r="537" spans="1:6" x14ac:dyDescent="0.25">
      <c r="A537" t="s">
        <v>753</v>
      </c>
      <c r="B537" s="13">
        <f t="shared" si="8"/>
        <v>0</v>
      </c>
      <c r="C537" s="3" t="s">
        <v>580</v>
      </c>
      <c r="D537" s="3"/>
      <c r="E537" s="4" t="s">
        <v>1</v>
      </c>
      <c r="F537" s="4" t="s">
        <v>5</v>
      </c>
    </row>
    <row r="538" spans="1:6" x14ac:dyDescent="0.25">
      <c r="A538" t="s">
        <v>753</v>
      </c>
      <c r="B538" s="13">
        <f t="shared" si="8"/>
        <v>0</v>
      </c>
      <c r="C538" s="3" t="s">
        <v>581</v>
      </c>
      <c r="D538" s="3"/>
      <c r="E538" s="4" t="s">
        <v>1</v>
      </c>
      <c r="F538" s="4" t="s">
        <v>17</v>
      </c>
    </row>
    <row r="539" spans="1:6" x14ac:dyDescent="0.25">
      <c r="A539" t="s">
        <v>753</v>
      </c>
      <c r="B539" s="13">
        <f t="shared" si="8"/>
        <v>10</v>
      </c>
      <c r="C539" s="17" t="s">
        <v>582</v>
      </c>
      <c r="D539" s="19">
        <v>6.9444444444444441E-3</v>
      </c>
      <c r="E539" s="21" t="s">
        <v>1</v>
      </c>
      <c r="F539" s="5" t="s">
        <v>7</v>
      </c>
    </row>
    <row r="540" spans="1:6" x14ac:dyDescent="0.25">
      <c r="A540" t="s">
        <v>753</v>
      </c>
      <c r="B540" s="13">
        <f t="shared" si="8"/>
        <v>0</v>
      </c>
      <c r="C540" s="18"/>
      <c r="D540" s="20"/>
      <c r="E540" s="22"/>
      <c r="F540" s="6" t="s">
        <v>8</v>
      </c>
    </row>
    <row r="541" spans="1:6" x14ac:dyDescent="0.25">
      <c r="A541" t="s">
        <v>753</v>
      </c>
      <c r="B541" s="13">
        <f t="shared" si="8"/>
        <v>10</v>
      </c>
      <c r="C541" s="17" t="s">
        <v>583</v>
      </c>
      <c r="D541" s="19">
        <v>6.9444444444444441E-3</v>
      </c>
      <c r="E541" s="21" t="s">
        <v>1</v>
      </c>
      <c r="F541" s="5" t="s">
        <v>7</v>
      </c>
    </row>
    <row r="542" spans="1:6" x14ac:dyDescent="0.25">
      <c r="A542" t="s">
        <v>753</v>
      </c>
      <c r="B542" s="13">
        <f t="shared" si="8"/>
        <v>0</v>
      </c>
      <c r="C542" s="18"/>
      <c r="D542" s="20"/>
      <c r="E542" s="22"/>
      <c r="F542" s="6" t="s">
        <v>584</v>
      </c>
    </row>
    <row r="543" spans="1:6" x14ac:dyDescent="0.25">
      <c r="A543" t="s">
        <v>753</v>
      </c>
      <c r="B543" s="13">
        <f t="shared" si="8"/>
        <v>0</v>
      </c>
      <c r="C543" s="17" t="s">
        <v>585</v>
      </c>
      <c r="D543" s="17"/>
      <c r="E543" s="21" t="s">
        <v>1</v>
      </c>
      <c r="F543" s="1" t="s">
        <v>2</v>
      </c>
    </row>
    <row r="544" spans="1:6" x14ac:dyDescent="0.25">
      <c r="A544" t="s">
        <v>753</v>
      </c>
      <c r="B544" s="13">
        <f t="shared" si="8"/>
        <v>0</v>
      </c>
      <c r="C544" s="18"/>
      <c r="D544" s="18"/>
      <c r="E544" s="22"/>
      <c r="F544" s="2" t="s">
        <v>586</v>
      </c>
    </row>
    <row r="545" spans="1:6" x14ac:dyDescent="0.25">
      <c r="A545" t="s">
        <v>753</v>
      </c>
      <c r="B545" s="13">
        <f t="shared" si="8"/>
        <v>0</v>
      </c>
      <c r="C545" s="3" t="s">
        <v>587</v>
      </c>
      <c r="D545" s="3"/>
      <c r="E545" s="4" t="s">
        <v>1</v>
      </c>
      <c r="F545" s="4" t="s">
        <v>5</v>
      </c>
    </row>
    <row r="546" spans="1:6" x14ac:dyDescent="0.25">
      <c r="A546" t="s">
        <v>753</v>
      </c>
      <c r="B546" s="13">
        <f t="shared" si="8"/>
        <v>0</v>
      </c>
      <c r="C546" s="3" t="s">
        <v>588</v>
      </c>
      <c r="D546" s="3"/>
      <c r="E546" s="4" t="s">
        <v>1</v>
      </c>
      <c r="F546" s="4" t="s">
        <v>5</v>
      </c>
    </row>
    <row r="547" spans="1:6" x14ac:dyDescent="0.25">
      <c r="A547" t="s">
        <v>753</v>
      </c>
      <c r="B547" s="13">
        <f t="shared" si="8"/>
        <v>10</v>
      </c>
      <c r="C547" s="3" t="s">
        <v>589</v>
      </c>
      <c r="D547" s="7">
        <v>6.9444444444444441E-3</v>
      </c>
      <c r="E547" s="4" t="s">
        <v>1</v>
      </c>
      <c r="F547" s="8" t="s">
        <v>7</v>
      </c>
    </row>
    <row r="548" spans="1:6" x14ac:dyDescent="0.25">
      <c r="A548" t="s">
        <v>753</v>
      </c>
      <c r="B548" s="13">
        <f t="shared" si="8"/>
        <v>91</v>
      </c>
      <c r="C548" s="17" t="s">
        <v>590</v>
      </c>
      <c r="D548" s="19">
        <v>6.3194444444444442E-2</v>
      </c>
      <c r="E548" s="23"/>
      <c r="F548" s="5" t="s">
        <v>591</v>
      </c>
    </row>
    <row r="549" spans="1:6" x14ac:dyDescent="0.25">
      <c r="A549" t="s">
        <v>753</v>
      </c>
      <c r="B549" s="13">
        <f t="shared" si="8"/>
        <v>0</v>
      </c>
      <c r="C549" s="18"/>
      <c r="D549" s="20"/>
      <c r="E549" s="24"/>
      <c r="F549" s="6" t="s">
        <v>592</v>
      </c>
    </row>
    <row r="550" spans="1:6" x14ac:dyDescent="0.25">
      <c r="A550" t="s">
        <v>753</v>
      </c>
      <c r="B550" s="13">
        <f t="shared" si="8"/>
        <v>0</v>
      </c>
      <c r="C550" s="17" t="s">
        <v>593</v>
      </c>
      <c r="D550" s="17"/>
      <c r="E550" s="21" t="s">
        <v>1</v>
      </c>
      <c r="F550" s="1" t="s">
        <v>25</v>
      </c>
    </row>
    <row r="551" spans="1:6" x14ac:dyDescent="0.25">
      <c r="A551" t="s">
        <v>753</v>
      </c>
      <c r="B551" s="13">
        <f t="shared" si="8"/>
        <v>0</v>
      </c>
      <c r="C551" s="18"/>
      <c r="D551" s="18"/>
      <c r="E551" s="22"/>
      <c r="F551" s="2" t="s">
        <v>85</v>
      </c>
    </row>
    <row r="552" spans="1:6" x14ac:dyDescent="0.25">
      <c r="A552" t="s">
        <v>753</v>
      </c>
      <c r="B552" s="13">
        <f t="shared" si="8"/>
        <v>0</v>
      </c>
      <c r="C552" s="3" t="s">
        <v>594</v>
      </c>
      <c r="D552" s="3"/>
      <c r="E552" s="4" t="s">
        <v>1</v>
      </c>
      <c r="F552" s="4" t="s">
        <v>5</v>
      </c>
    </row>
    <row r="553" spans="1:6" x14ac:dyDescent="0.25">
      <c r="A553" t="s">
        <v>753</v>
      </c>
      <c r="B553" s="13">
        <f t="shared" si="8"/>
        <v>0</v>
      </c>
      <c r="C553" s="17" t="s">
        <v>595</v>
      </c>
      <c r="D553" s="17"/>
      <c r="E553" s="21" t="s">
        <v>1</v>
      </c>
      <c r="F553" s="1" t="s">
        <v>2</v>
      </c>
    </row>
    <row r="554" spans="1:6" x14ac:dyDescent="0.25">
      <c r="A554" t="s">
        <v>753</v>
      </c>
      <c r="B554" s="13">
        <f t="shared" si="8"/>
        <v>0</v>
      </c>
      <c r="C554" s="18"/>
      <c r="D554" s="18"/>
      <c r="E554" s="22"/>
      <c r="F554" s="2" t="s">
        <v>596</v>
      </c>
    </row>
    <row r="555" spans="1:6" x14ac:dyDescent="0.25">
      <c r="A555" t="s">
        <v>753</v>
      </c>
      <c r="B555" s="13">
        <f t="shared" si="8"/>
        <v>10</v>
      </c>
      <c r="C555" s="3" t="s">
        <v>597</v>
      </c>
      <c r="D555" s="7">
        <v>6.9444444444444441E-3</v>
      </c>
      <c r="E555" s="4" t="s">
        <v>1</v>
      </c>
      <c r="F555" s="8" t="s">
        <v>7</v>
      </c>
    </row>
    <row r="556" spans="1:6" x14ac:dyDescent="0.25">
      <c r="A556" t="s">
        <v>753</v>
      </c>
      <c r="B556" s="13">
        <f t="shared" si="8"/>
        <v>0</v>
      </c>
      <c r="C556" s="3" t="s">
        <v>598</v>
      </c>
      <c r="D556" s="3"/>
      <c r="E556" s="4" t="s">
        <v>1</v>
      </c>
      <c r="F556" s="4" t="s">
        <v>5</v>
      </c>
    </row>
    <row r="557" spans="1:6" x14ac:dyDescent="0.25">
      <c r="A557" t="s">
        <v>753</v>
      </c>
      <c r="B557" s="13">
        <f t="shared" si="8"/>
        <v>0</v>
      </c>
      <c r="C557" s="3" t="s">
        <v>599</v>
      </c>
      <c r="D557" s="3"/>
      <c r="E557" s="4" t="s">
        <v>1</v>
      </c>
      <c r="F557" s="4" t="s">
        <v>25</v>
      </c>
    </row>
    <row r="558" spans="1:6" x14ac:dyDescent="0.25">
      <c r="A558" t="s">
        <v>753</v>
      </c>
      <c r="B558" s="13">
        <f t="shared" si="8"/>
        <v>0</v>
      </c>
      <c r="C558" s="3" t="s">
        <v>600</v>
      </c>
      <c r="D558" s="3"/>
      <c r="E558" s="4" t="s">
        <v>1</v>
      </c>
      <c r="F558" s="3" t="s">
        <v>601</v>
      </c>
    </row>
    <row r="559" spans="1:6" x14ac:dyDescent="0.25">
      <c r="A559" t="s">
        <v>753</v>
      </c>
      <c r="B559" s="13">
        <f t="shared" si="8"/>
        <v>10</v>
      </c>
      <c r="C559" s="3" t="s">
        <v>602</v>
      </c>
      <c r="D559" s="7">
        <v>6.9444444444444441E-3</v>
      </c>
      <c r="E559" s="4" t="s">
        <v>1</v>
      </c>
      <c r="F559" s="8" t="s">
        <v>7</v>
      </c>
    </row>
    <row r="560" spans="1:6" x14ac:dyDescent="0.25">
      <c r="A560" t="s">
        <v>753</v>
      </c>
      <c r="B560" s="13">
        <f t="shared" si="8"/>
        <v>0</v>
      </c>
      <c r="C560" s="17" t="s">
        <v>603</v>
      </c>
      <c r="D560" s="17"/>
      <c r="E560" s="21" t="s">
        <v>1</v>
      </c>
      <c r="F560" s="1" t="s">
        <v>2</v>
      </c>
    </row>
    <row r="561" spans="1:6" x14ac:dyDescent="0.25">
      <c r="A561" t="s">
        <v>753</v>
      </c>
      <c r="B561" s="13">
        <f t="shared" si="8"/>
        <v>0</v>
      </c>
      <c r="C561" s="18"/>
      <c r="D561" s="18"/>
      <c r="E561" s="22"/>
      <c r="F561" s="2" t="s">
        <v>443</v>
      </c>
    </row>
    <row r="562" spans="1:6" x14ac:dyDescent="0.25">
      <c r="A562" t="s">
        <v>753</v>
      </c>
      <c r="B562" s="13">
        <f t="shared" si="8"/>
        <v>10</v>
      </c>
      <c r="C562" s="3" t="s">
        <v>604</v>
      </c>
      <c r="D562" s="7">
        <v>6.9444444444444441E-3</v>
      </c>
      <c r="E562" s="4" t="s">
        <v>1</v>
      </c>
      <c r="F562" s="8" t="s">
        <v>7</v>
      </c>
    </row>
    <row r="563" spans="1:6" x14ac:dyDescent="0.25">
      <c r="A563" t="s">
        <v>753</v>
      </c>
      <c r="B563" s="13">
        <f t="shared" si="8"/>
        <v>0</v>
      </c>
      <c r="C563" s="17" t="s">
        <v>605</v>
      </c>
      <c r="D563" s="17"/>
      <c r="E563" s="21" t="s">
        <v>1</v>
      </c>
      <c r="F563" s="1" t="s">
        <v>2</v>
      </c>
    </row>
    <row r="564" spans="1:6" x14ac:dyDescent="0.25">
      <c r="A564" t="s">
        <v>753</v>
      </c>
      <c r="B564" s="13">
        <f t="shared" si="8"/>
        <v>0</v>
      </c>
      <c r="C564" s="18"/>
      <c r="D564" s="18"/>
      <c r="E564" s="22"/>
      <c r="F564" s="2" t="s">
        <v>606</v>
      </c>
    </row>
    <row r="565" spans="1:6" x14ac:dyDescent="0.25">
      <c r="A565" t="s">
        <v>753</v>
      </c>
      <c r="B565" s="13">
        <f t="shared" si="8"/>
        <v>10</v>
      </c>
      <c r="C565" s="3" t="s">
        <v>607</v>
      </c>
      <c r="D565" s="7">
        <v>6.9444444444444441E-3</v>
      </c>
      <c r="E565" s="4" t="s">
        <v>1</v>
      </c>
      <c r="F565" s="8" t="s">
        <v>7</v>
      </c>
    </row>
    <row r="566" spans="1:6" x14ac:dyDescent="0.25">
      <c r="A566" t="s">
        <v>753</v>
      </c>
      <c r="B566" s="13">
        <f t="shared" si="8"/>
        <v>0</v>
      </c>
      <c r="C566" s="17" t="s">
        <v>608</v>
      </c>
      <c r="D566" s="17"/>
      <c r="E566" s="21" t="s">
        <v>1</v>
      </c>
      <c r="F566" s="1" t="s">
        <v>25</v>
      </c>
    </row>
    <row r="567" spans="1:6" x14ac:dyDescent="0.25">
      <c r="A567" t="s">
        <v>753</v>
      </c>
      <c r="B567" s="13">
        <f t="shared" si="8"/>
        <v>0</v>
      </c>
      <c r="C567" s="18"/>
      <c r="D567" s="18"/>
      <c r="E567" s="22"/>
      <c r="F567" s="2" t="s">
        <v>566</v>
      </c>
    </row>
    <row r="568" spans="1:6" x14ac:dyDescent="0.25">
      <c r="A568" t="s">
        <v>753</v>
      </c>
      <c r="B568" s="13">
        <f t="shared" si="8"/>
        <v>0</v>
      </c>
      <c r="C568" s="17" t="s">
        <v>609</v>
      </c>
      <c r="D568" s="17"/>
      <c r="E568" s="21" t="s">
        <v>1</v>
      </c>
      <c r="F568" s="1" t="s">
        <v>25</v>
      </c>
    </row>
    <row r="569" spans="1:6" x14ac:dyDescent="0.25">
      <c r="A569" t="s">
        <v>753</v>
      </c>
      <c r="B569" s="13">
        <f t="shared" si="8"/>
        <v>0</v>
      </c>
      <c r="C569" s="18"/>
      <c r="D569" s="18"/>
      <c r="E569" s="22"/>
      <c r="F569" s="2" t="s">
        <v>610</v>
      </c>
    </row>
    <row r="570" spans="1:6" x14ac:dyDescent="0.25">
      <c r="A570" t="s">
        <v>753</v>
      </c>
      <c r="B570" s="13">
        <f t="shared" si="8"/>
        <v>0</v>
      </c>
      <c r="C570" s="17" t="s">
        <v>611</v>
      </c>
      <c r="D570" s="17"/>
      <c r="E570" s="21" t="s">
        <v>1</v>
      </c>
      <c r="F570" s="1" t="s">
        <v>25</v>
      </c>
    </row>
    <row r="571" spans="1:6" x14ac:dyDescent="0.25">
      <c r="A571" t="s">
        <v>753</v>
      </c>
      <c r="B571" s="13">
        <f t="shared" si="8"/>
        <v>0</v>
      </c>
      <c r="C571" s="18"/>
      <c r="D571" s="18"/>
      <c r="E571" s="22"/>
      <c r="F571" s="2" t="s">
        <v>612</v>
      </c>
    </row>
    <row r="572" spans="1:6" x14ac:dyDescent="0.25">
      <c r="A572" t="s">
        <v>753</v>
      </c>
      <c r="B572" s="13">
        <f t="shared" si="8"/>
        <v>0</v>
      </c>
      <c r="C572" s="17" t="s">
        <v>613</v>
      </c>
      <c r="D572" s="17"/>
      <c r="E572" s="21" t="s">
        <v>1</v>
      </c>
      <c r="F572" s="1" t="s">
        <v>25</v>
      </c>
    </row>
    <row r="573" spans="1:6" x14ac:dyDescent="0.25">
      <c r="A573" t="s">
        <v>753</v>
      </c>
      <c r="B573" s="13">
        <f t="shared" si="8"/>
        <v>0</v>
      </c>
      <c r="C573" s="18"/>
      <c r="D573" s="18"/>
      <c r="E573" s="22"/>
      <c r="F573" s="2" t="s">
        <v>614</v>
      </c>
    </row>
    <row r="574" spans="1:6" x14ac:dyDescent="0.25">
      <c r="A574" t="s">
        <v>753</v>
      </c>
      <c r="B574" s="13">
        <f t="shared" si="8"/>
        <v>0</v>
      </c>
      <c r="C574" s="17" t="s">
        <v>615</v>
      </c>
      <c r="D574" s="17"/>
      <c r="E574" s="21" t="s">
        <v>1</v>
      </c>
      <c r="F574" s="1" t="s">
        <v>25</v>
      </c>
    </row>
    <row r="575" spans="1:6" x14ac:dyDescent="0.25">
      <c r="A575" t="s">
        <v>753</v>
      </c>
      <c r="B575" s="13">
        <f t="shared" si="8"/>
        <v>0</v>
      </c>
      <c r="C575" s="18"/>
      <c r="D575" s="18"/>
      <c r="E575" s="22"/>
      <c r="F575" s="2" t="s">
        <v>70</v>
      </c>
    </row>
    <row r="576" spans="1:6" x14ac:dyDescent="0.25">
      <c r="A576" t="s">
        <v>753</v>
      </c>
      <c r="B576" s="13">
        <f t="shared" si="8"/>
        <v>0</v>
      </c>
      <c r="C576" s="17" t="s">
        <v>616</v>
      </c>
      <c r="D576" s="17"/>
      <c r="E576" s="21" t="s">
        <v>1</v>
      </c>
      <c r="F576" s="1" t="s">
        <v>25</v>
      </c>
    </row>
    <row r="577" spans="1:6" x14ac:dyDescent="0.25">
      <c r="A577" t="s">
        <v>753</v>
      </c>
      <c r="B577" s="13">
        <f t="shared" si="8"/>
        <v>0</v>
      </c>
      <c r="C577" s="18"/>
      <c r="D577" s="18"/>
      <c r="E577" s="22"/>
      <c r="F577" s="2" t="s">
        <v>617</v>
      </c>
    </row>
    <row r="578" spans="1:6" x14ac:dyDescent="0.25">
      <c r="A578" t="s">
        <v>753</v>
      </c>
      <c r="B578" s="13">
        <f t="shared" ref="B578:B641" si="9">D578*24*60</f>
        <v>0</v>
      </c>
      <c r="C578" s="3" t="s">
        <v>618</v>
      </c>
      <c r="D578" s="3"/>
      <c r="E578" s="4" t="s">
        <v>1</v>
      </c>
      <c r="F578" s="4" t="s">
        <v>25</v>
      </c>
    </row>
    <row r="579" spans="1:6" x14ac:dyDescent="0.25">
      <c r="A579" t="s">
        <v>753</v>
      </c>
      <c r="B579" s="13">
        <f t="shared" si="9"/>
        <v>0</v>
      </c>
      <c r="C579" s="17" t="s">
        <v>619</v>
      </c>
      <c r="D579" s="17"/>
      <c r="E579" s="21" t="s">
        <v>1</v>
      </c>
      <c r="F579" s="1" t="s">
        <v>2</v>
      </c>
    </row>
    <row r="580" spans="1:6" x14ac:dyDescent="0.25">
      <c r="A580" t="s">
        <v>753</v>
      </c>
      <c r="B580" s="13">
        <f t="shared" si="9"/>
        <v>0</v>
      </c>
      <c r="C580" s="18"/>
      <c r="D580" s="18"/>
      <c r="E580" s="22"/>
      <c r="F580" s="2" t="s">
        <v>620</v>
      </c>
    </row>
    <row r="581" spans="1:6" x14ac:dyDescent="0.25">
      <c r="A581" t="s">
        <v>753</v>
      </c>
      <c r="B581" s="13">
        <f t="shared" si="9"/>
        <v>0</v>
      </c>
      <c r="C581" s="3" t="s">
        <v>621</v>
      </c>
      <c r="D581" s="3"/>
      <c r="E581" s="4" t="s">
        <v>1</v>
      </c>
      <c r="F581" s="4" t="s">
        <v>25</v>
      </c>
    </row>
    <row r="582" spans="1:6" x14ac:dyDescent="0.25">
      <c r="A582" t="s">
        <v>753</v>
      </c>
      <c r="B582" s="13">
        <f t="shared" si="9"/>
        <v>0</v>
      </c>
      <c r="C582" s="3" t="s">
        <v>622</v>
      </c>
      <c r="D582" s="3"/>
      <c r="E582" s="4" t="s">
        <v>1</v>
      </c>
      <c r="F582" s="4" t="s">
        <v>25</v>
      </c>
    </row>
    <row r="583" spans="1:6" x14ac:dyDescent="0.25">
      <c r="A583" t="s">
        <v>753</v>
      </c>
      <c r="B583" s="13">
        <f t="shared" si="9"/>
        <v>0</v>
      </c>
      <c r="C583" s="3" t="s">
        <v>623</v>
      </c>
      <c r="D583" s="3"/>
      <c r="E583" s="4" t="s">
        <v>1</v>
      </c>
      <c r="F583" s="4" t="s">
        <v>25</v>
      </c>
    </row>
    <row r="584" spans="1:6" x14ac:dyDescent="0.25">
      <c r="A584" t="s">
        <v>753</v>
      </c>
      <c r="B584" s="13">
        <f t="shared" si="9"/>
        <v>0</v>
      </c>
      <c r="C584" s="3" t="s">
        <v>624</v>
      </c>
      <c r="D584" s="3"/>
      <c r="E584" s="4" t="s">
        <v>1</v>
      </c>
      <c r="F584" s="4" t="s">
        <v>25</v>
      </c>
    </row>
    <row r="585" spans="1:6" x14ac:dyDescent="0.25">
      <c r="A585" t="s">
        <v>753</v>
      </c>
      <c r="B585" s="13">
        <f t="shared" si="9"/>
        <v>10</v>
      </c>
      <c r="C585" s="3" t="s">
        <v>625</v>
      </c>
      <c r="D585" s="7">
        <v>6.9444444444444441E-3</v>
      </c>
      <c r="E585" s="4" t="s">
        <v>1</v>
      </c>
      <c r="F585" s="8" t="s">
        <v>7</v>
      </c>
    </row>
    <row r="586" spans="1:6" x14ac:dyDescent="0.25">
      <c r="A586" t="s">
        <v>753</v>
      </c>
      <c r="B586" s="13">
        <f t="shared" si="9"/>
        <v>10</v>
      </c>
      <c r="C586" s="3" t="s">
        <v>626</v>
      </c>
      <c r="D586" s="7">
        <v>6.9444444444444441E-3</v>
      </c>
      <c r="E586" s="4" t="s">
        <v>1</v>
      </c>
      <c r="F586" s="8" t="s">
        <v>7</v>
      </c>
    </row>
    <row r="587" spans="1:6" x14ac:dyDescent="0.25">
      <c r="A587" t="s">
        <v>753</v>
      </c>
      <c r="B587" s="13">
        <f t="shared" si="9"/>
        <v>0</v>
      </c>
      <c r="C587" s="3" t="s">
        <v>627</v>
      </c>
      <c r="D587" s="3"/>
      <c r="E587" s="4" t="s">
        <v>1</v>
      </c>
      <c r="F587" s="4" t="s">
        <v>25</v>
      </c>
    </row>
    <row r="588" spans="1:6" x14ac:dyDescent="0.25">
      <c r="A588" t="s">
        <v>753</v>
      </c>
      <c r="B588" s="13">
        <f t="shared" si="9"/>
        <v>0</v>
      </c>
      <c r="C588" s="3" t="s">
        <v>628</v>
      </c>
      <c r="D588" s="3"/>
      <c r="E588" s="4" t="s">
        <v>1</v>
      </c>
      <c r="F588" s="4" t="s">
        <v>25</v>
      </c>
    </row>
    <row r="589" spans="1:6" x14ac:dyDescent="0.25">
      <c r="A589" t="s">
        <v>753</v>
      </c>
      <c r="B589" s="13">
        <f t="shared" si="9"/>
        <v>0</v>
      </c>
      <c r="C589" s="3" t="s">
        <v>629</v>
      </c>
      <c r="D589" s="3"/>
      <c r="E589" s="4" t="s">
        <v>1</v>
      </c>
      <c r="F589" s="4" t="s">
        <v>25</v>
      </c>
    </row>
    <row r="590" spans="1:6" x14ac:dyDescent="0.25">
      <c r="A590" t="s">
        <v>753</v>
      </c>
      <c r="B590" s="13">
        <f t="shared" si="9"/>
        <v>0</v>
      </c>
      <c r="C590" s="3" t="s">
        <v>630</v>
      </c>
      <c r="D590" s="3"/>
      <c r="E590" s="4" t="s">
        <v>1</v>
      </c>
      <c r="F590" s="3" t="s">
        <v>631</v>
      </c>
    </row>
    <row r="591" spans="1:6" x14ac:dyDescent="0.25">
      <c r="A591" t="s">
        <v>753</v>
      </c>
      <c r="B591" s="13">
        <f t="shared" si="9"/>
        <v>0</v>
      </c>
      <c r="C591" s="3" t="s">
        <v>632</v>
      </c>
      <c r="D591" s="3"/>
      <c r="E591" s="4" t="s">
        <v>1</v>
      </c>
      <c r="F591" s="4" t="s">
        <v>25</v>
      </c>
    </row>
    <row r="592" spans="1:6" x14ac:dyDescent="0.25">
      <c r="A592" t="s">
        <v>753</v>
      </c>
      <c r="B592" s="13">
        <f t="shared" si="9"/>
        <v>0</v>
      </c>
      <c r="C592" s="3" t="s">
        <v>633</v>
      </c>
      <c r="D592" s="3"/>
      <c r="E592" s="4" t="s">
        <v>1</v>
      </c>
      <c r="F592" s="4" t="s">
        <v>25</v>
      </c>
    </row>
    <row r="593" spans="1:6" x14ac:dyDescent="0.25">
      <c r="A593" t="s">
        <v>753</v>
      </c>
      <c r="B593" s="13">
        <f t="shared" si="9"/>
        <v>10</v>
      </c>
      <c r="C593" s="3" t="s">
        <v>634</v>
      </c>
      <c r="D593" s="7">
        <v>6.9444444444444441E-3</v>
      </c>
      <c r="E593" s="4" t="s">
        <v>1</v>
      </c>
      <c r="F593" s="8" t="s">
        <v>7</v>
      </c>
    </row>
    <row r="594" spans="1:6" x14ac:dyDescent="0.25">
      <c r="A594" t="s">
        <v>753</v>
      </c>
      <c r="B594" s="13">
        <f t="shared" si="9"/>
        <v>0</v>
      </c>
      <c r="C594" s="17" t="s">
        <v>635</v>
      </c>
      <c r="D594" s="17"/>
      <c r="E594" s="21" t="s">
        <v>1</v>
      </c>
      <c r="F594" s="1" t="s">
        <v>2</v>
      </c>
    </row>
    <row r="595" spans="1:6" x14ac:dyDescent="0.25">
      <c r="A595" t="s">
        <v>753</v>
      </c>
      <c r="B595" s="13">
        <f t="shared" si="9"/>
        <v>0</v>
      </c>
      <c r="C595" s="18"/>
      <c r="D595" s="18"/>
      <c r="E595" s="22"/>
      <c r="F595" s="2" t="s">
        <v>636</v>
      </c>
    </row>
    <row r="596" spans="1:6" x14ac:dyDescent="0.25">
      <c r="A596" t="s">
        <v>753</v>
      </c>
      <c r="B596" s="13">
        <f t="shared" si="9"/>
        <v>0</v>
      </c>
      <c r="C596" s="17" t="s">
        <v>637</v>
      </c>
      <c r="D596" s="17"/>
      <c r="E596" s="21" t="s">
        <v>1</v>
      </c>
      <c r="F596" s="1" t="s">
        <v>2</v>
      </c>
    </row>
    <row r="597" spans="1:6" x14ac:dyDescent="0.25">
      <c r="A597" t="s">
        <v>753</v>
      </c>
      <c r="B597" s="13">
        <f t="shared" si="9"/>
        <v>0</v>
      </c>
      <c r="C597" s="18"/>
      <c r="D597" s="18"/>
      <c r="E597" s="22"/>
      <c r="F597" s="2" t="s">
        <v>638</v>
      </c>
    </row>
    <row r="598" spans="1:6" x14ac:dyDescent="0.25">
      <c r="A598" t="s">
        <v>753</v>
      </c>
      <c r="B598" s="13">
        <f t="shared" si="9"/>
        <v>0</v>
      </c>
      <c r="C598" s="17" t="s">
        <v>639</v>
      </c>
      <c r="D598" s="17"/>
      <c r="E598" s="21" t="s">
        <v>1</v>
      </c>
      <c r="F598" s="1" t="s">
        <v>2</v>
      </c>
    </row>
    <row r="599" spans="1:6" x14ac:dyDescent="0.25">
      <c r="A599" t="s">
        <v>753</v>
      </c>
      <c r="B599" s="13">
        <f t="shared" si="9"/>
        <v>0</v>
      </c>
      <c r="C599" s="18"/>
      <c r="D599" s="18"/>
      <c r="E599" s="22"/>
      <c r="F599" s="2" t="s">
        <v>640</v>
      </c>
    </row>
    <row r="600" spans="1:6" x14ac:dyDescent="0.25">
      <c r="A600" t="s">
        <v>753</v>
      </c>
      <c r="B600" s="13">
        <f t="shared" si="9"/>
        <v>0</v>
      </c>
      <c r="C600" s="17" t="s">
        <v>641</v>
      </c>
      <c r="D600" s="17"/>
      <c r="E600" s="21" t="s">
        <v>1</v>
      </c>
      <c r="F600" s="1" t="s">
        <v>25</v>
      </c>
    </row>
    <row r="601" spans="1:6" x14ac:dyDescent="0.25">
      <c r="A601" t="s">
        <v>753</v>
      </c>
      <c r="B601" s="13">
        <f t="shared" si="9"/>
        <v>0</v>
      </c>
      <c r="C601" s="18"/>
      <c r="D601" s="18"/>
      <c r="E601" s="22"/>
      <c r="F601" s="2" t="s">
        <v>90</v>
      </c>
    </row>
    <row r="602" spans="1:6" x14ac:dyDescent="0.25">
      <c r="A602" t="s">
        <v>753</v>
      </c>
      <c r="B602" s="13">
        <f t="shared" si="9"/>
        <v>0</v>
      </c>
      <c r="C602" s="17" t="s">
        <v>642</v>
      </c>
      <c r="D602" s="17"/>
      <c r="E602" s="21" t="s">
        <v>1</v>
      </c>
      <c r="F602" s="1" t="s">
        <v>25</v>
      </c>
    </row>
    <row r="603" spans="1:6" x14ac:dyDescent="0.25">
      <c r="A603" t="s">
        <v>753</v>
      </c>
      <c r="B603" s="13">
        <f t="shared" si="9"/>
        <v>0</v>
      </c>
      <c r="C603" s="18"/>
      <c r="D603" s="18"/>
      <c r="E603" s="22"/>
      <c r="F603" s="2" t="s">
        <v>643</v>
      </c>
    </row>
    <row r="604" spans="1:6" x14ac:dyDescent="0.25">
      <c r="A604" t="s">
        <v>753</v>
      </c>
      <c r="B604" s="13">
        <f t="shared" si="9"/>
        <v>0</v>
      </c>
      <c r="C604" s="3" t="s">
        <v>644</v>
      </c>
      <c r="D604" s="3"/>
      <c r="E604" s="4" t="s">
        <v>1</v>
      </c>
      <c r="F604" s="4" t="s">
        <v>17</v>
      </c>
    </row>
    <row r="605" spans="1:6" x14ac:dyDescent="0.25">
      <c r="A605" t="s">
        <v>753</v>
      </c>
      <c r="B605" s="13">
        <f t="shared" si="9"/>
        <v>0</v>
      </c>
      <c r="C605" s="17" t="s">
        <v>645</v>
      </c>
      <c r="D605" s="17"/>
      <c r="E605" s="21" t="s">
        <v>1</v>
      </c>
      <c r="F605" s="1" t="s">
        <v>2</v>
      </c>
    </row>
    <row r="606" spans="1:6" x14ac:dyDescent="0.25">
      <c r="A606" t="s">
        <v>753</v>
      </c>
      <c r="B606" s="13">
        <f t="shared" si="9"/>
        <v>0</v>
      </c>
      <c r="C606" s="18"/>
      <c r="D606" s="18"/>
      <c r="E606" s="22"/>
      <c r="F606" s="2" t="s">
        <v>646</v>
      </c>
    </row>
    <row r="607" spans="1:6" x14ac:dyDescent="0.25">
      <c r="A607" t="s">
        <v>753</v>
      </c>
      <c r="B607" s="13">
        <f t="shared" si="9"/>
        <v>10</v>
      </c>
      <c r="C607" s="3" t="s">
        <v>647</v>
      </c>
      <c r="D607" s="7">
        <v>6.9444444444444441E-3</v>
      </c>
      <c r="E607" s="4" t="s">
        <v>1</v>
      </c>
      <c r="F607" s="8" t="s">
        <v>7</v>
      </c>
    </row>
    <row r="608" spans="1:6" x14ac:dyDescent="0.25">
      <c r="A608" t="s">
        <v>753</v>
      </c>
      <c r="B608" s="13">
        <f t="shared" si="9"/>
        <v>10</v>
      </c>
      <c r="C608" s="3" t="s">
        <v>648</v>
      </c>
      <c r="D608" s="7">
        <v>6.9444444444444441E-3</v>
      </c>
      <c r="E608" s="4" t="s">
        <v>1</v>
      </c>
      <c r="F608" s="8" t="s">
        <v>7</v>
      </c>
    </row>
    <row r="609" spans="1:6" x14ac:dyDescent="0.25">
      <c r="A609" t="s">
        <v>753</v>
      </c>
      <c r="B609" s="13">
        <f t="shared" si="9"/>
        <v>10</v>
      </c>
      <c r="C609" s="3" t="s">
        <v>649</v>
      </c>
      <c r="D609" s="7">
        <v>6.9444444444444441E-3</v>
      </c>
      <c r="E609" s="4" t="s">
        <v>1</v>
      </c>
      <c r="F609" s="8" t="s">
        <v>7</v>
      </c>
    </row>
    <row r="610" spans="1:6" x14ac:dyDescent="0.25">
      <c r="A610" t="s">
        <v>753</v>
      </c>
      <c r="B610" s="13">
        <f t="shared" si="9"/>
        <v>10</v>
      </c>
      <c r="C610" s="3" t="s">
        <v>650</v>
      </c>
      <c r="D610" s="7">
        <v>6.9444444444444441E-3</v>
      </c>
      <c r="E610" s="4" t="s">
        <v>1</v>
      </c>
      <c r="F610" s="8" t="s">
        <v>7</v>
      </c>
    </row>
    <row r="611" spans="1:6" x14ac:dyDescent="0.25">
      <c r="A611" t="s">
        <v>753</v>
      </c>
      <c r="B611" s="13">
        <f t="shared" si="9"/>
        <v>10</v>
      </c>
      <c r="C611" s="3" t="s">
        <v>651</v>
      </c>
      <c r="D611" s="7">
        <v>6.9444444444444441E-3</v>
      </c>
      <c r="E611" s="4" t="s">
        <v>1</v>
      </c>
      <c r="F611" s="8" t="s">
        <v>7</v>
      </c>
    </row>
    <row r="612" spans="1:6" x14ac:dyDescent="0.25">
      <c r="A612" t="s">
        <v>753</v>
      </c>
      <c r="B612" s="13">
        <f t="shared" si="9"/>
        <v>10</v>
      </c>
      <c r="C612" s="3" t="s">
        <v>652</v>
      </c>
      <c r="D612" s="7">
        <v>6.9444444444444441E-3</v>
      </c>
      <c r="E612" s="4" t="s">
        <v>1</v>
      </c>
      <c r="F612" s="8" t="s">
        <v>7</v>
      </c>
    </row>
    <row r="613" spans="1:6" x14ac:dyDescent="0.25">
      <c r="A613" t="s">
        <v>753</v>
      </c>
      <c r="B613" s="13">
        <f t="shared" si="9"/>
        <v>10</v>
      </c>
      <c r="C613" s="3" t="s">
        <v>653</v>
      </c>
      <c r="D613" s="7">
        <v>6.9444444444444441E-3</v>
      </c>
      <c r="E613" s="4" t="s">
        <v>1</v>
      </c>
      <c r="F613" s="8" t="s">
        <v>7</v>
      </c>
    </row>
    <row r="614" spans="1:6" x14ac:dyDescent="0.25">
      <c r="A614" t="s">
        <v>753</v>
      </c>
      <c r="B614" s="13">
        <f t="shared" si="9"/>
        <v>10</v>
      </c>
      <c r="C614" s="3" t="s">
        <v>654</v>
      </c>
      <c r="D614" s="7">
        <v>6.9444444444444441E-3</v>
      </c>
      <c r="E614" s="4" t="s">
        <v>1</v>
      </c>
      <c r="F614" s="8" t="s">
        <v>7</v>
      </c>
    </row>
    <row r="615" spans="1:6" x14ac:dyDescent="0.25">
      <c r="A615" t="s">
        <v>753</v>
      </c>
      <c r="B615" s="13">
        <f t="shared" si="9"/>
        <v>10</v>
      </c>
      <c r="C615" s="3" t="s">
        <v>655</v>
      </c>
      <c r="D615" s="7">
        <v>6.9444444444444441E-3</v>
      </c>
      <c r="E615" s="4" t="s">
        <v>1</v>
      </c>
      <c r="F615" s="8" t="s">
        <v>7</v>
      </c>
    </row>
    <row r="616" spans="1:6" x14ac:dyDescent="0.25">
      <c r="A616" t="s">
        <v>753</v>
      </c>
      <c r="B616" s="13">
        <f t="shared" si="9"/>
        <v>10</v>
      </c>
      <c r="C616" s="3" t="s">
        <v>656</v>
      </c>
      <c r="D616" s="7">
        <v>6.9444444444444441E-3</v>
      </c>
      <c r="E616" s="4" t="s">
        <v>1</v>
      </c>
      <c r="F616" s="8" t="s">
        <v>7</v>
      </c>
    </row>
    <row r="617" spans="1:6" x14ac:dyDescent="0.25">
      <c r="A617" t="s">
        <v>753</v>
      </c>
      <c r="B617" s="13">
        <f t="shared" si="9"/>
        <v>10</v>
      </c>
      <c r="C617" s="3" t="s">
        <v>657</v>
      </c>
      <c r="D617" s="7">
        <v>6.9444444444444441E-3</v>
      </c>
      <c r="E617" s="4" t="s">
        <v>1</v>
      </c>
      <c r="F617" s="8" t="s">
        <v>7</v>
      </c>
    </row>
    <row r="618" spans="1:6" x14ac:dyDescent="0.25">
      <c r="A618" t="s">
        <v>753</v>
      </c>
      <c r="B618" s="13">
        <f t="shared" si="9"/>
        <v>10</v>
      </c>
      <c r="C618" s="3" t="s">
        <v>658</v>
      </c>
      <c r="D618" s="7">
        <v>6.9444444444444441E-3</v>
      </c>
      <c r="E618" s="4" t="s">
        <v>1</v>
      </c>
      <c r="F618" s="8" t="s">
        <v>7</v>
      </c>
    </row>
    <row r="619" spans="1:6" x14ac:dyDescent="0.25">
      <c r="A619" t="s">
        <v>753</v>
      </c>
      <c r="B619" s="13">
        <f t="shared" si="9"/>
        <v>10</v>
      </c>
      <c r="C619" s="3" t="s">
        <v>659</v>
      </c>
      <c r="D619" s="7">
        <v>6.9444444444444441E-3</v>
      </c>
      <c r="E619" s="4" t="s">
        <v>1</v>
      </c>
      <c r="F619" s="8" t="s">
        <v>7</v>
      </c>
    </row>
    <row r="620" spans="1:6" x14ac:dyDescent="0.25">
      <c r="A620" t="s">
        <v>753</v>
      </c>
      <c r="B620" s="13">
        <f t="shared" si="9"/>
        <v>10</v>
      </c>
      <c r="C620" s="3" t="s">
        <v>660</v>
      </c>
      <c r="D620" s="7">
        <v>6.9444444444444441E-3</v>
      </c>
      <c r="E620" s="4" t="s">
        <v>1</v>
      </c>
      <c r="F620" s="8" t="s">
        <v>7</v>
      </c>
    </row>
    <row r="621" spans="1:6" x14ac:dyDescent="0.25">
      <c r="A621" t="s">
        <v>753</v>
      </c>
      <c r="B621" s="13">
        <f t="shared" si="9"/>
        <v>10</v>
      </c>
      <c r="C621" s="3" t="s">
        <v>661</v>
      </c>
      <c r="D621" s="7">
        <v>6.9444444444444441E-3</v>
      </c>
      <c r="E621" s="4" t="s">
        <v>1</v>
      </c>
      <c r="F621" s="8" t="s">
        <v>7</v>
      </c>
    </row>
    <row r="622" spans="1:6" x14ac:dyDescent="0.25">
      <c r="A622" t="s">
        <v>753</v>
      </c>
      <c r="B622" s="13">
        <f t="shared" si="9"/>
        <v>0</v>
      </c>
      <c r="C622" s="3" t="s">
        <v>662</v>
      </c>
      <c r="D622" s="3"/>
      <c r="E622" s="4" t="s">
        <v>1</v>
      </c>
      <c r="F622" s="4" t="s">
        <v>17</v>
      </c>
    </row>
    <row r="623" spans="1:6" x14ac:dyDescent="0.25">
      <c r="A623" t="s">
        <v>753</v>
      </c>
      <c r="B623" s="13">
        <f t="shared" si="9"/>
        <v>0</v>
      </c>
      <c r="C623" s="3" t="s">
        <v>663</v>
      </c>
      <c r="D623" s="3"/>
      <c r="E623" s="4" t="s">
        <v>1</v>
      </c>
      <c r="F623" s="4" t="s">
        <v>5</v>
      </c>
    </row>
    <row r="624" spans="1:6" x14ac:dyDescent="0.25">
      <c r="A624" t="s">
        <v>753</v>
      </c>
      <c r="B624" s="13">
        <f t="shared" si="9"/>
        <v>0</v>
      </c>
      <c r="C624" s="17" t="s">
        <v>664</v>
      </c>
      <c r="D624" s="17"/>
      <c r="E624" s="21" t="s">
        <v>1</v>
      </c>
      <c r="F624" s="1" t="s">
        <v>25</v>
      </c>
    </row>
    <row r="625" spans="1:6" x14ac:dyDescent="0.25">
      <c r="A625" t="s">
        <v>753</v>
      </c>
      <c r="B625" s="13">
        <f t="shared" si="9"/>
        <v>0</v>
      </c>
      <c r="C625" s="18"/>
      <c r="D625" s="18"/>
      <c r="E625" s="22"/>
      <c r="F625" s="2" t="s">
        <v>116</v>
      </c>
    </row>
    <row r="626" spans="1:6" x14ac:dyDescent="0.25">
      <c r="A626" t="s">
        <v>753</v>
      </c>
      <c r="B626" s="13">
        <f t="shared" si="9"/>
        <v>0</v>
      </c>
      <c r="C626" s="17" t="s">
        <v>665</v>
      </c>
      <c r="D626" s="17"/>
      <c r="E626" s="21" t="s">
        <v>1</v>
      </c>
      <c r="F626" s="1" t="s">
        <v>25</v>
      </c>
    </row>
    <row r="627" spans="1:6" x14ac:dyDescent="0.25">
      <c r="A627" t="s">
        <v>753</v>
      </c>
      <c r="B627" s="13">
        <f t="shared" si="9"/>
        <v>0</v>
      </c>
      <c r="C627" s="18"/>
      <c r="D627" s="18"/>
      <c r="E627" s="22"/>
      <c r="F627" s="2" t="s">
        <v>137</v>
      </c>
    </row>
    <row r="628" spans="1:6" x14ac:dyDescent="0.25">
      <c r="A628" t="s">
        <v>753</v>
      </c>
      <c r="B628" s="13">
        <f t="shared" si="9"/>
        <v>0</v>
      </c>
      <c r="C628" s="17" t="s">
        <v>666</v>
      </c>
      <c r="D628" s="17"/>
      <c r="E628" s="21" t="s">
        <v>1</v>
      </c>
      <c r="F628" s="1" t="s">
        <v>25</v>
      </c>
    </row>
    <row r="629" spans="1:6" x14ac:dyDescent="0.25">
      <c r="A629" t="s">
        <v>753</v>
      </c>
      <c r="B629" s="13">
        <f t="shared" si="9"/>
        <v>0</v>
      </c>
      <c r="C629" s="18"/>
      <c r="D629" s="18"/>
      <c r="E629" s="22"/>
      <c r="F629" s="2" t="s">
        <v>667</v>
      </c>
    </row>
    <row r="630" spans="1:6" x14ac:dyDescent="0.25">
      <c r="A630" t="s">
        <v>753</v>
      </c>
      <c r="B630" s="13">
        <f t="shared" si="9"/>
        <v>0</v>
      </c>
      <c r="C630" s="3" t="s">
        <v>668</v>
      </c>
      <c r="D630" s="3"/>
      <c r="E630" s="4" t="s">
        <v>1</v>
      </c>
      <c r="F630" s="3" t="s">
        <v>669</v>
      </c>
    </row>
    <row r="631" spans="1:6" x14ac:dyDescent="0.25">
      <c r="A631" t="s">
        <v>753</v>
      </c>
      <c r="B631" s="13">
        <f t="shared" si="9"/>
        <v>0</v>
      </c>
      <c r="C631" s="17" t="s">
        <v>670</v>
      </c>
      <c r="D631" s="17"/>
      <c r="E631" s="21" t="s">
        <v>1</v>
      </c>
      <c r="F631" s="1" t="s">
        <v>25</v>
      </c>
    </row>
    <row r="632" spans="1:6" x14ac:dyDescent="0.25">
      <c r="A632" t="s">
        <v>753</v>
      </c>
      <c r="B632" s="13">
        <f t="shared" si="9"/>
        <v>0</v>
      </c>
      <c r="C632" s="18"/>
      <c r="D632" s="18"/>
      <c r="E632" s="22"/>
      <c r="F632" s="2" t="s">
        <v>8</v>
      </c>
    </row>
    <row r="633" spans="1:6" x14ac:dyDescent="0.25">
      <c r="A633" t="s">
        <v>753</v>
      </c>
      <c r="B633" s="13">
        <f t="shared" si="9"/>
        <v>0</v>
      </c>
      <c r="C633" s="3" t="s">
        <v>671</v>
      </c>
      <c r="D633" s="3"/>
      <c r="E633" s="4" t="s">
        <v>1</v>
      </c>
      <c r="F633" s="4" t="s">
        <v>25</v>
      </c>
    </row>
    <row r="634" spans="1:6" x14ac:dyDescent="0.25">
      <c r="A634" t="s">
        <v>753</v>
      </c>
      <c r="B634" s="13">
        <f t="shared" si="9"/>
        <v>0</v>
      </c>
      <c r="C634" s="17" t="s">
        <v>672</v>
      </c>
      <c r="D634" s="17"/>
      <c r="E634" s="21" t="s">
        <v>1</v>
      </c>
      <c r="F634" s="1" t="s">
        <v>2</v>
      </c>
    </row>
    <row r="635" spans="1:6" x14ac:dyDescent="0.25">
      <c r="A635" t="s">
        <v>753</v>
      </c>
      <c r="B635" s="13">
        <f t="shared" si="9"/>
        <v>0</v>
      </c>
      <c r="C635" s="18"/>
      <c r="D635" s="18"/>
      <c r="E635" s="22"/>
      <c r="F635" s="2" t="s">
        <v>673</v>
      </c>
    </row>
    <row r="636" spans="1:6" x14ac:dyDescent="0.25">
      <c r="A636" t="s">
        <v>753</v>
      </c>
      <c r="B636" s="13">
        <f t="shared" si="9"/>
        <v>0</v>
      </c>
      <c r="C636" s="17" t="s">
        <v>674</v>
      </c>
      <c r="D636" s="17"/>
      <c r="E636" s="21" t="s">
        <v>1</v>
      </c>
      <c r="F636" s="1" t="s">
        <v>25</v>
      </c>
    </row>
    <row r="637" spans="1:6" x14ac:dyDescent="0.25">
      <c r="A637" t="s">
        <v>753</v>
      </c>
      <c r="B637" s="13">
        <f t="shared" si="9"/>
        <v>0</v>
      </c>
      <c r="C637" s="18"/>
      <c r="D637" s="18"/>
      <c r="E637" s="22"/>
      <c r="F637" s="2" t="s">
        <v>675</v>
      </c>
    </row>
    <row r="638" spans="1:6" x14ac:dyDescent="0.25">
      <c r="A638" t="s">
        <v>753</v>
      </c>
      <c r="B638" s="13">
        <f t="shared" si="9"/>
        <v>0</v>
      </c>
      <c r="C638" s="3" t="s">
        <v>676</v>
      </c>
      <c r="D638" s="3"/>
      <c r="E638" s="4" t="s">
        <v>1</v>
      </c>
      <c r="F638" s="4" t="s">
        <v>5</v>
      </c>
    </row>
    <row r="639" spans="1:6" x14ac:dyDescent="0.25">
      <c r="A639" t="s">
        <v>753</v>
      </c>
      <c r="B639" s="13">
        <f t="shared" si="9"/>
        <v>0</v>
      </c>
      <c r="C639" s="3" t="s">
        <v>677</v>
      </c>
      <c r="D639" s="3"/>
      <c r="E639" s="4" t="s">
        <v>1</v>
      </c>
      <c r="F639" s="4" t="s">
        <v>17</v>
      </c>
    </row>
    <row r="640" spans="1:6" x14ac:dyDescent="0.25">
      <c r="A640" t="s">
        <v>753</v>
      </c>
      <c r="B640" s="13">
        <f t="shared" si="9"/>
        <v>0</v>
      </c>
      <c r="C640" s="3" t="s">
        <v>678</v>
      </c>
      <c r="D640" s="3"/>
      <c r="E640" s="4" t="s">
        <v>1</v>
      </c>
      <c r="F640" s="4" t="s">
        <v>17</v>
      </c>
    </row>
    <row r="641" spans="1:6" x14ac:dyDescent="0.25">
      <c r="A641" t="s">
        <v>753</v>
      </c>
      <c r="B641" s="13">
        <f t="shared" si="9"/>
        <v>10</v>
      </c>
      <c r="C641" s="17" t="s">
        <v>679</v>
      </c>
      <c r="D641" s="19">
        <v>6.9444444444444441E-3</v>
      </c>
      <c r="E641" s="21" t="s">
        <v>1</v>
      </c>
      <c r="F641" s="5" t="s">
        <v>7</v>
      </c>
    </row>
    <row r="642" spans="1:6" x14ac:dyDescent="0.25">
      <c r="A642" t="s">
        <v>753</v>
      </c>
      <c r="B642" s="13">
        <f t="shared" ref="B642:B705" si="10">D642*24*60</f>
        <v>0</v>
      </c>
      <c r="C642" s="18"/>
      <c r="D642" s="20"/>
      <c r="E642" s="22"/>
      <c r="F642" s="6" t="s">
        <v>10</v>
      </c>
    </row>
    <row r="643" spans="1:6" x14ac:dyDescent="0.25">
      <c r="A643" t="s">
        <v>753</v>
      </c>
      <c r="B643" s="13">
        <f t="shared" si="10"/>
        <v>0</v>
      </c>
      <c r="C643" s="3" t="s">
        <v>680</v>
      </c>
      <c r="D643" s="3"/>
      <c r="E643" s="4" t="s">
        <v>1</v>
      </c>
      <c r="F643" s="4" t="s">
        <v>25</v>
      </c>
    </row>
    <row r="644" spans="1:6" x14ac:dyDescent="0.25">
      <c r="A644" t="s">
        <v>753</v>
      </c>
      <c r="B644" s="13">
        <f t="shared" si="10"/>
        <v>11</v>
      </c>
      <c r="C644" s="17" t="s">
        <v>681</v>
      </c>
      <c r="D644" s="19">
        <v>7.6388888888888886E-3</v>
      </c>
      <c r="E644" s="21" t="s">
        <v>1</v>
      </c>
      <c r="F644" s="5" t="s">
        <v>442</v>
      </c>
    </row>
    <row r="645" spans="1:6" x14ac:dyDescent="0.25">
      <c r="A645" t="s">
        <v>753</v>
      </c>
      <c r="B645" s="13">
        <f t="shared" si="10"/>
        <v>0</v>
      </c>
      <c r="C645" s="18"/>
      <c r="D645" s="20"/>
      <c r="E645" s="22"/>
      <c r="F645" s="6" t="s">
        <v>498</v>
      </c>
    </row>
    <row r="646" spans="1:6" x14ac:dyDescent="0.25">
      <c r="A646" t="s">
        <v>753</v>
      </c>
      <c r="B646" s="13">
        <f t="shared" si="10"/>
        <v>0</v>
      </c>
      <c r="C646" s="17" t="s">
        <v>682</v>
      </c>
      <c r="D646" s="17"/>
      <c r="E646" s="21" t="s">
        <v>1</v>
      </c>
      <c r="F646" s="1" t="s">
        <v>2</v>
      </c>
    </row>
    <row r="647" spans="1:6" x14ac:dyDescent="0.25">
      <c r="A647" t="s">
        <v>753</v>
      </c>
      <c r="B647" s="13">
        <f t="shared" si="10"/>
        <v>0</v>
      </c>
      <c r="C647" s="18"/>
      <c r="D647" s="18"/>
      <c r="E647" s="22"/>
      <c r="F647" s="2" t="s">
        <v>683</v>
      </c>
    </row>
    <row r="648" spans="1:6" x14ac:dyDescent="0.25">
      <c r="A648" t="s">
        <v>753</v>
      </c>
      <c r="B648" s="13">
        <f t="shared" si="10"/>
        <v>11</v>
      </c>
      <c r="C648" s="17" t="s">
        <v>684</v>
      </c>
      <c r="D648" s="19">
        <v>7.6388888888888886E-3</v>
      </c>
      <c r="E648" s="21" t="s">
        <v>1</v>
      </c>
      <c r="F648" s="5" t="s">
        <v>442</v>
      </c>
    </row>
    <row r="649" spans="1:6" x14ac:dyDescent="0.25">
      <c r="A649" t="s">
        <v>753</v>
      </c>
      <c r="B649" s="13">
        <f t="shared" si="10"/>
        <v>0</v>
      </c>
      <c r="C649" s="18"/>
      <c r="D649" s="20"/>
      <c r="E649" s="22"/>
      <c r="F649" s="6" t="s">
        <v>498</v>
      </c>
    </row>
    <row r="650" spans="1:6" x14ac:dyDescent="0.25">
      <c r="A650" t="s">
        <v>753</v>
      </c>
      <c r="B650" s="13">
        <f t="shared" si="10"/>
        <v>0</v>
      </c>
      <c r="C650" s="3" t="s">
        <v>685</v>
      </c>
      <c r="D650" s="3"/>
      <c r="E650" s="4" t="s">
        <v>1</v>
      </c>
      <c r="F650" s="4" t="s">
        <v>17</v>
      </c>
    </row>
    <row r="651" spans="1:6" x14ac:dyDescent="0.25">
      <c r="A651" t="s">
        <v>753</v>
      </c>
      <c r="B651" s="13">
        <f t="shared" si="10"/>
        <v>10</v>
      </c>
      <c r="C651" s="17" t="s">
        <v>686</v>
      </c>
      <c r="D651" s="19">
        <v>6.9444444444444441E-3</v>
      </c>
      <c r="E651" s="21" t="s">
        <v>1</v>
      </c>
      <c r="F651" s="5" t="s">
        <v>7</v>
      </c>
    </row>
    <row r="652" spans="1:6" x14ac:dyDescent="0.25">
      <c r="A652" t="s">
        <v>753</v>
      </c>
      <c r="B652" s="13">
        <f t="shared" si="10"/>
        <v>0</v>
      </c>
      <c r="C652" s="18"/>
      <c r="D652" s="20"/>
      <c r="E652" s="22"/>
      <c r="F652" s="6" t="s">
        <v>10</v>
      </c>
    </row>
    <row r="653" spans="1:6" x14ac:dyDescent="0.25">
      <c r="A653" t="s">
        <v>753</v>
      </c>
      <c r="B653" s="13">
        <f t="shared" si="10"/>
        <v>0</v>
      </c>
      <c r="C653" s="3" t="s">
        <v>687</v>
      </c>
      <c r="D653" s="3"/>
      <c r="E653" s="4" t="s">
        <v>1</v>
      </c>
      <c r="F653" s="4" t="s">
        <v>17</v>
      </c>
    </row>
    <row r="654" spans="1:6" x14ac:dyDescent="0.25">
      <c r="A654" t="s">
        <v>753</v>
      </c>
      <c r="B654" s="13">
        <f t="shared" si="10"/>
        <v>10</v>
      </c>
      <c r="C654" s="3" t="s">
        <v>688</v>
      </c>
      <c r="D654" s="7">
        <v>6.9444444444444441E-3</v>
      </c>
      <c r="E654" s="4" t="s">
        <v>1</v>
      </c>
      <c r="F654" s="8" t="s">
        <v>7</v>
      </c>
    </row>
    <row r="655" spans="1:6" x14ac:dyDescent="0.25">
      <c r="A655" t="s">
        <v>753</v>
      </c>
      <c r="B655" s="13">
        <f t="shared" si="10"/>
        <v>0</v>
      </c>
      <c r="C655" s="3" t="s">
        <v>689</v>
      </c>
      <c r="D655" s="3"/>
      <c r="E655" s="4" t="s">
        <v>1</v>
      </c>
      <c r="F655" s="3" t="s">
        <v>690</v>
      </c>
    </row>
    <row r="656" spans="1:6" x14ac:dyDescent="0.25">
      <c r="A656" t="s">
        <v>753</v>
      </c>
      <c r="B656" s="13">
        <f t="shared" si="10"/>
        <v>30.999999999999996</v>
      </c>
      <c r="C656" s="17" t="s">
        <v>691</v>
      </c>
      <c r="D656" s="19">
        <v>2.1527777777777778E-2</v>
      </c>
      <c r="E656" s="21" t="s">
        <v>1</v>
      </c>
      <c r="F656" s="5" t="s">
        <v>132</v>
      </c>
    </row>
    <row r="657" spans="1:6" x14ac:dyDescent="0.25">
      <c r="A657" t="s">
        <v>753</v>
      </c>
      <c r="B657" s="13">
        <f t="shared" si="10"/>
        <v>0</v>
      </c>
      <c r="C657" s="18"/>
      <c r="D657" s="20"/>
      <c r="E657" s="22"/>
      <c r="F657" s="6" t="s">
        <v>606</v>
      </c>
    </row>
    <row r="658" spans="1:6" x14ac:dyDescent="0.25">
      <c r="A658" t="s">
        <v>753</v>
      </c>
      <c r="B658" s="13">
        <f t="shared" si="10"/>
        <v>10</v>
      </c>
      <c r="C658" s="3" t="s">
        <v>692</v>
      </c>
      <c r="D658" s="7">
        <v>6.9444444444444441E-3</v>
      </c>
      <c r="E658" s="4" t="s">
        <v>1</v>
      </c>
      <c r="F658" s="8" t="s">
        <v>7</v>
      </c>
    </row>
    <row r="659" spans="1:6" x14ac:dyDescent="0.25">
      <c r="A659" t="s">
        <v>753</v>
      </c>
      <c r="B659" s="13">
        <f t="shared" si="10"/>
        <v>10</v>
      </c>
      <c r="C659" s="17" t="s">
        <v>693</v>
      </c>
      <c r="D659" s="19">
        <v>6.9444444444444441E-3</v>
      </c>
      <c r="E659" s="21" t="s">
        <v>1</v>
      </c>
      <c r="F659" s="5" t="s">
        <v>7</v>
      </c>
    </row>
    <row r="660" spans="1:6" x14ac:dyDescent="0.25">
      <c r="A660" t="s">
        <v>753</v>
      </c>
      <c r="B660" s="13">
        <f t="shared" si="10"/>
        <v>0</v>
      </c>
      <c r="C660" s="18"/>
      <c r="D660" s="20"/>
      <c r="E660" s="22"/>
      <c r="F660" s="6" t="s">
        <v>584</v>
      </c>
    </row>
    <row r="661" spans="1:6" x14ac:dyDescent="0.25">
      <c r="A661" t="s">
        <v>753</v>
      </c>
      <c r="B661" s="13">
        <f t="shared" si="10"/>
        <v>10</v>
      </c>
      <c r="C661" s="3" t="s">
        <v>694</v>
      </c>
      <c r="D661" s="7">
        <v>6.9444444444444441E-3</v>
      </c>
      <c r="E661" s="4" t="s">
        <v>1</v>
      </c>
      <c r="F661" s="8" t="s">
        <v>7</v>
      </c>
    </row>
    <row r="662" spans="1:6" x14ac:dyDescent="0.25">
      <c r="A662" t="s">
        <v>753</v>
      </c>
      <c r="B662" s="13">
        <f t="shared" si="10"/>
        <v>0</v>
      </c>
      <c r="C662" s="3" t="s">
        <v>695</v>
      </c>
      <c r="D662" s="3"/>
      <c r="E662" s="4" t="s">
        <v>1</v>
      </c>
      <c r="F662" s="3" t="s">
        <v>696</v>
      </c>
    </row>
    <row r="663" spans="1:6" x14ac:dyDescent="0.25">
      <c r="A663" t="s">
        <v>753</v>
      </c>
      <c r="B663" s="13">
        <f t="shared" si="10"/>
        <v>0</v>
      </c>
      <c r="C663" s="17" t="s">
        <v>697</v>
      </c>
      <c r="D663" s="17"/>
      <c r="E663" s="21" t="s">
        <v>1</v>
      </c>
      <c r="F663" s="1" t="s">
        <v>25</v>
      </c>
    </row>
    <row r="664" spans="1:6" x14ac:dyDescent="0.25">
      <c r="A664" t="s">
        <v>753</v>
      </c>
      <c r="B664" s="13">
        <f t="shared" si="10"/>
        <v>0</v>
      </c>
      <c r="C664" s="18"/>
      <c r="D664" s="18"/>
      <c r="E664" s="22"/>
      <c r="F664" s="2" t="s">
        <v>85</v>
      </c>
    </row>
    <row r="665" spans="1:6" x14ac:dyDescent="0.25">
      <c r="A665" t="s">
        <v>753</v>
      </c>
      <c r="B665" s="13">
        <f t="shared" si="10"/>
        <v>0</v>
      </c>
      <c r="C665" s="17" t="s">
        <v>698</v>
      </c>
      <c r="D665" s="17"/>
      <c r="E665" s="21" t="s">
        <v>1</v>
      </c>
      <c r="F665" s="1" t="s">
        <v>25</v>
      </c>
    </row>
    <row r="666" spans="1:6" x14ac:dyDescent="0.25">
      <c r="A666" t="s">
        <v>753</v>
      </c>
      <c r="B666" s="13">
        <f t="shared" si="10"/>
        <v>0</v>
      </c>
      <c r="C666" s="18"/>
      <c r="D666" s="18"/>
      <c r="E666" s="22"/>
      <c r="F666" s="2" t="s">
        <v>699</v>
      </c>
    </row>
    <row r="667" spans="1:6" x14ac:dyDescent="0.25">
      <c r="A667" t="s">
        <v>753</v>
      </c>
      <c r="B667" s="13">
        <f t="shared" si="10"/>
        <v>0</v>
      </c>
      <c r="C667" s="3" t="s">
        <v>700</v>
      </c>
      <c r="D667" s="3"/>
      <c r="E667" s="4" t="s">
        <v>1</v>
      </c>
      <c r="F667" s="4" t="s">
        <v>17</v>
      </c>
    </row>
    <row r="668" spans="1:6" x14ac:dyDescent="0.25">
      <c r="A668" t="s">
        <v>753</v>
      </c>
      <c r="B668" s="13">
        <f t="shared" si="10"/>
        <v>10</v>
      </c>
      <c r="C668" s="3" t="s">
        <v>701</v>
      </c>
      <c r="D668" s="7">
        <v>6.9444444444444441E-3</v>
      </c>
      <c r="E668" s="4" t="s">
        <v>1</v>
      </c>
      <c r="F668" s="8" t="s">
        <v>7</v>
      </c>
    </row>
    <row r="669" spans="1:6" x14ac:dyDescent="0.25">
      <c r="A669" t="s">
        <v>753</v>
      </c>
      <c r="B669" s="13">
        <f t="shared" si="10"/>
        <v>0</v>
      </c>
      <c r="C669" s="3" t="s">
        <v>702</v>
      </c>
      <c r="D669" s="3"/>
      <c r="E669" s="4" t="s">
        <v>1</v>
      </c>
      <c r="F669" s="4" t="s">
        <v>17</v>
      </c>
    </row>
    <row r="670" spans="1:6" x14ac:dyDescent="0.25">
      <c r="A670" t="s">
        <v>753</v>
      </c>
      <c r="B670" s="13">
        <f t="shared" si="10"/>
        <v>0</v>
      </c>
      <c r="C670" s="17" t="s">
        <v>703</v>
      </c>
      <c r="D670" s="17"/>
      <c r="E670" s="21" t="s">
        <v>1</v>
      </c>
      <c r="F670" s="1" t="s">
        <v>25</v>
      </c>
    </row>
    <row r="671" spans="1:6" x14ac:dyDescent="0.25">
      <c r="A671" t="s">
        <v>753</v>
      </c>
      <c r="B671" s="13">
        <f t="shared" si="10"/>
        <v>0</v>
      </c>
      <c r="C671" s="18"/>
      <c r="D671" s="18"/>
      <c r="E671" s="22"/>
      <c r="F671" s="2" t="s">
        <v>10</v>
      </c>
    </row>
    <row r="672" spans="1:6" x14ac:dyDescent="0.25">
      <c r="A672" t="s">
        <v>753</v>
      </c>
      <c r="B672" s="13">
        <f t="shared" si="10"/>
        <v>0</v>
      </c>
      <c r="C672" s="17" t="s">
        <v>704</v>
      </c>
      <c r="D672" s="17"/>
      <c r="E672" s="21" t="s">
        <v>1</v>
      </c>
      <c r="F672" s="1" t="s">
        <v>2</v>
      </c>
    </row>
    <row r="673" spans="1:6" x14ac:dyDescent="0.25">
      <c r="A673" t="s">
        <v>753</v>
      </c>
      <c r="B673" s="13">
        <f t="shared" si="10"/>
        <v>0</v>
      </c>
      <c r="C673" s="18"/>
      <c r="D673" s="18"/>
      <c r="E673" s="22"/>
      <c r="F673" s="2" t="s">
        <v>705</v>
      </c>
    </row>
    <row r="674" spans="1:6" x14ac:dyDescent="0.25">
      <c r="A674" t="s">
        <v>753</v>
      </c>
      <c r="B674" s="13">
        <f t="shared" si="10"/>
        <v>0</v>
      </c>
      <c r="C674" s="3" t="s">
        <v>706</v>
      </c>
      <c r="D674" s="3"/>
      <c r="E674" s="4" t="s">
        <v>1</v>
      </c>
      <c r="F674" s="4" t="s">
        <v>25</v>
      </c>
    </row>
    <row r="675" spans="1:6" x14ac:dyDescent="0.25">
      <c r="A675" t="s">
        <v>753</v>
      </c>
      <c r="B675" s="13">
        <f t="shared" si="10"/>
        <v>0</v>
      </c>
      <c r="C675" s="17" t="s">
        <v>707</v>
      </c>
      <c r="D675" s="17"/>
      <c r="E675" s="21" t="s">
        <v>1</v>
      </c>
      <c r="F675" s="1" t="s">
        <v>2</v>
      </c>
    </row>
    <row r="676" spans="1:6" x14ac:dyDescent="0.25">
      <c r="A676" t="s">
        <v>753</v>
      </c>
      <c r="B676" s="13">
        <f t="shared" si="10"/>
        <v>0</v>
      </c>
      <c r="C676" s="18"/>
      <c r="D676" s="18"/>
      <c r="E676" s="22"/>
      <c r="F676" s="2" t="s">
        <v>708</v>
      </c>
    </row>
    <row r="677" spans="1:6" x14ac:dyDescent="0.25">
      <c r="A677" t="s">
        <v>753</v>
      </c>
      <c r="B677" s="13">
        <f t="shared" si="10"/>
        <v>0</v>
      </c>
      <c r="C677" s="3" t="s">
        <v>709</v>
      </c>
      <c r="D677" s="3"/>
      <c r="E677" s="4" t="s">
        <v>1</v>
      </c>
      <c r="F677" s="4" t="s">
        <v>17</v>
      </c>
    </row>
    <row r="678" spans="1:6" x14ac:dyDescent="0.25">
      <c r="A678" t="s">
        <v>753</v>
      </c>
      <c r="B678" s="13">
        <f t="shared" si="10"/>
        <v>0</v>
      </c>
      <c r="C678" s="3" t="s">
        <v>710</v>
      </c>
      <c r="D678" s="3"/>
      <c r="E678" s="4" t="s">
        <v>1</v>
      </c>
      <c r="F678" s="4" t="s">
        <v>25</v>
      </c>
    </row>
    <row r="679" spans="1:6" x14ac:dyDescent="0.25">
      <c r="A679" t="s">
        <v>753</v>
      </c>
      <c r="B679" s="13">
        <f t="shared" si="10"/>
        <v>20</v>
      </c>
      <c r="C679" s="17" t="s">
        <v>711</v>
      </c>
      <c r="D679" s="19">
        <v>1.3888888888888888E-2</v>
      </c>
      <c r="E679" s="21" t="s">
        <v>1</v>
      </c>
      <c r="F679" s="5" t="s">
        <v>136</v>
      </c>
    </row>
    <row r="680" spans="1:6" x14ac:dyDescent="0.25">
      <c r="A680" t="s">
        <v>753</v>
      </c>
      <c r="B680" s="13">
        <f t="shared" si="10"/>
        <v>0</v>
      </c>
      <c r="C680" s="18"/>
      <c r="D680" s="20"/>
      <c r="E680" s="22"/>
      <c r="F680" s="6" t="s">
        <v>137</v>
      </c>
    </row>
    <row r="681" spans="1:6" x14ac:dyDescent="0.25">
      <c r="A681" t="s">
        <v>753</v>
      </c>
      <c r="B681" s="13">
        <f t="shared" si="10"/>
        <v>0</v>
      </c>
      <c r="C681" s="3" t="s">
        <v>712</v>
      </c>
      <c r="D681" s="3"/>
      <c r="E681" s="4" t="s">
        <v>1</v>
      </c>
      <c r="F681" s="4" t="s">
        <v>25</v>
      </c>
    </row>
    <row r="682" spans="1:6" x14ac:dyDescent="0.25">
      <c r="A682" t="s">
        <v>753</v>
      </c>
      <c r="B682" s="13">
        <f t="shared" si="10"/>
        <v>10</v>
      </c>
      <c r="C682" s="3" t="s">
        <v>713</v>
      </c>
      <c r="D682" s="7">
        <v>6.9444444444444441E-3</v>
      </c>
      <c r="E682" s="4" t="s">
        <v>1</v>
      </c>
      <c r="F682" s="8" t="s">
        <v>7</v>
      </c>
    </row>
    <row r="683" spans="1:6" x14ac:dyDescent="0.25">
      <c r="A683" t="s">
        <v>753</v>
      </c>
      <c r="B683" s="13">
        <f t="shared" si="10"/>
        <v>0</v>
      </c>
      <c r="C683" s="17" t="s">
        <v>714</v>
      </c>
      <c r="D683" s="17"/>
      <c r="E683" s="21" t="s">
        <v>1</v>
      </c>
      <c r="F683" s="1" t="s">
        <v>25</v>
      </c>
    </row>
    <row r="684" spans="1:6" x14ac:dyDescent="0.25">
      <c r="A684" t="s">
        <v>753</v>
      </c>
      <c r="B684" s="13">
        <f t="shared" si="10"/>
        <v>0</v>
      </c>
      <c r="C684" s="18"/>
      <c r="D684" s="18"/>
      <c r="E684" s="22"/>
      <c r="F684" s="2" t="s">
        <v>8</v>
      </c>
    </row>
    <row r="685" spans="1:6" x14ac:dyDescent="0.25">
      <c r="A685" t="s">
        <v>753</v>
      </c>
      <c r="B685" s="13">
        <f t="shared" si="10"/>
        <v>10</v>
      </c>
      <c r="C685" s="3" t="s">
        <v>715</v>
      </c>
      <c r="D685" s="7">
        <v>6.9444444444444441E-3</v>
      </c>
      <c r="E685" s="4" t="s">
        <v>1</v>
      </c>
      <c r="F685" s="8" t="s">
        <v>7</v>
      </c>
    </row>
    <row r="686" spans="1:6" x14ac:dyDescent="0.25">
      <c r="A686" t="s">
        <v>753</v>
      </c>
      <c r="B686" s="13">
        <f t="shared" si="10"/>
        <v>0</v>
      </c>
      <c r="C686" s="17" t="s">
        <v>716</v>
      </c>
      <c r="D686" s="17"/>
      <c r="E686" s="21" t="s">
        <v>1</v>
      </c>
      <c r="F686" s="1" t="s">
        <v>25</v>
      </c>
    </row>
    <row r="687" spans="1:6" x14ac:dyDescent="0.25">
      <c r="A687" t="s">
        <v>753</v>
      </c>
      <c r="B687" s="13">
        <f t="shared" si="10"/>
        <v>0</v>
      </c>
      <c r="C687" s="18"/>
      <c r="D687" s="18"/>
      <c r="E687" s="22"/>
      <c r="F687" s="2" t="s">
        <v>10</v>
      </c>
    </row>
    <row r="688" spans="1:6" x14ac:dyDescent="0.25">
      <c r="A688" t="s">
        <v>753</v>
      </c>
      <c r="B688" s="13">
        <f t="shared" si="10"/>
        <v>0</v>
      </c>
      <c r="C688" s="3" t="s">
        <v>717</v>
      </c>
      <c r="D688" s="3"/>
      <c r="E688" s="4" t="s">
        <v>1</v>
      </c>
      <c r="F688" s="4" t="s">
        <v>5</v>
      </c>
    </row>
    <row r="689" spans="1:6" x14ac:dyDescent="0.25">
      <c r="A689" t="s">
        <v>753</v>
      </c>
      <c r="B689" s="13">
        <f t="shared" si="10"/>
        <v>0</v>
      </c>
      <c r="C689" s="17" t="s">
        <v>718</v>
      </c>
      <c r="D689" s="17"/>
      <c r="E689" s="21" t="s">
        <v>1</v>
      </c>
      <c r="F689" s="1" t="s">
        <v>25</v>
      </c>
    </row>
    <row r="690" spans="1:6" x14ac:dyDescent="0.25">
      <c r="A690" t="s">
        <v>753</v>
      </c>
      <c r="B690" s="13">
        <f t="shared" si="10"/>
        <v>0</v>
      </c>
      <c r="C690" s="18"/>
      <c r="D690" s="18"/>
      <c r="E690" s="22"/>
      <c r="F690" s="2" t="s">
        <v>85</v>
      </c>
    </row>
    <row r="691" spans="1:6" x14ac:dyDescent="0.25">
      <c r="A691" t="s">
        <v>753</v>
      </c>
      <c r="B691" s="13">
        <f t="shared" si="10"/>
        <v>10</v>
      </c>
      <c r="C691" s="3" t="s">
        <v>719</v>
      </c>
      <c r="D691" s="7">
        <v>6.9444444444444441E-3</v>
      </c>
      <c r="E691" s="4" t="s">
        <v>1</v>
      </c>
      <c r="F691" s="8" t="s">
        <v>7</v>
      </c>
    </row>
    <row r="692" spans="1:6" x14ac:dyDescent="0.25">
      <c r="A692" t="s">
        <v>753</v>
      </c>
      <c r="B692" s="13">
        <f t="shared" si="10"/>
        <v>60</v>
      </c>
      <c r="C692" s="3" t="s">
        <v>720</v>
      </c>
      <c r="D692" s="7">
        <v>4.1666666666666664E-2</v>
      </c>
      <c r="E692" s="4" t="s">
        <v>1</v>
      </c>
      <c r="F692" s="9" t="s">
        <v>160</v>
      </c>
    </row>
    <row r="693" spans="1:6" x14ac:dyDescent="0.25">
      <c r="A693" t="s">
        <v>753</v>
      </c>
      <c r="B693" s="13">
        <f t="shared" si="10"/>
        <v>0</v>
      </c>
      <c r="C693" s="17" t="s">
        <v>721</v>
      </c>
      <c r="D693" s="17"/>
      <c r="E693" s="21" t="s">
        <v>1</v>
      </c>
      <c r="F693" s="1" t="s">
        <v>2</v>
      </c>
    </row>
    <row r="694" spans="1:6" x14ac:dyDescent="0.25">
      <c r="A694" t="s">
        <v>753</v>
      </c>
      <c r="B694" s="13">
        <f t="shared" si="10"/>
        <v>0</v>
      </c>
      <c r="C694" s="18"/>
      <c r="D694" s="18"/>
      <c r="E694" s="22"/>
      <c r="F694" s="2" t="s">
        <v>584</v>
      </c>
    </row>
    <row r="695" spans="1:6" x14ac:dyDescent="0.25">
      <c r="A695" t="s">
        <v>753</v>
      </c>
      <c r="B695" s="13">
        <f t="shared" si="10"/>
        <v>0</v>
      </c>
      <c r="C695" s="17" t="s">
        <v>722</v>
      </c>
      <c r="D695" s="17"/>
      <c r="E695" s="21" t="s">
        <v>1</v>
      </c>
      <c r="F695" s="1" t="s">
        <v>2</v>
      </c>
    </row>
    <row r="696" spans="1:6" x14ac:dyDescent="0.25">
      <c r="A696" t="s">
        <v>753</v>
      </c>
      <c r="B696" s="13">
        <f t="shared" si="10"/>
        <v>0</v>
      </c>
      <c r="C696" s="18"/>
      <c r="D696" s="18"/>
      <c r="E696" s="22"/>
      <c r="F696" s="2" t="s">
        <v>723</v>
      </c>
    </row>
    <row r="697" spans="1:6" x14ac:dyDescent="0.25">
      <c r="A697" t="s">
        <v>753</v>
      </c>
      <c r="B697" s="13">
        <f t="shared" si="10"/>
        <v>0</v>
      </c>
      <c r="C697" s="3" t="s">
        <v>724</v>
      </c>
      <c r="D697" s="3"/>
      <c r="E697" s="4" t="s">
        <v>1</v>
      </c>
      <c r="F697" s="4" t="s">
        <v>17</v>
      </c>
    </row>
    <row r="698" spans="1:6" x14ac:dyDescent="0.25">
      <c r="A698" t="s">
        <v>753</v>
      </c>
      <c r="B698" s="13">
        <f t="shared" si="10"/>
        <v>0</v>
      </c>
      <c r="C698" s="17" t="s">
        <v>725</v>
      </c>
      <c r="D698" s="17"/>
      <c r="E698" s="21" t="s">
        <v>1</v>
      </c>
      <c r="F698" s="1" t="s">
        <v>25</v>
      </c>
    </row>
    <row r="699" spans="1:6" x14ac:dyDescent="0.25">
      <c r="A699" t="s">
        <v>753</v>
      </c>
      <c r="B699" s="13">
        <f t="shared" si="10"/>
        <v>0</v>
      </c>
      <c r="C699" s="18"/>
      <c r="D699" s="18"/>
      <c r="E699" s="22"/>
      <c r="F699" s="2" t="s">
        <v>584</v>
      </c>
    </row>
    <row r="700" spans="1:6" x14ac:dyDescent="0.25">
      <c r="A700" t="s">
        <v>753</v>
      </c>
      <c r="B700" s="13">
        <f t="shared" si="10"/>
        <v>10</v>
      </c>
      <c r="C700" s="3" t="s">
        <v>726</v>
      </c>
      <c r="D700" s="7">
        <v>6.9444444444444441E-3</v>
      </c>
      <c r="E700" s="4" t="s">
        <v>1</v>
      </c>
      <c r="F700" s="8" t="s">
        <v>7</v>
      </c>
    </row>
    <row r="701" spans="1:6" x14ac:dyDescent="0.25">
      <c r="A701" t="s">
        <v>753</v>
      </c>
      <c r="B701" s="13">
        <f t="shared" si="10"/>
        <v>0</v>
      </c>
      <c r="C701" s="3" t="s">
        <v>727</v>
      </c>
      <c r="D701" s="3"/>
      <c r="E701" s="4" t="s">
        <v>1</v>
      </c>
      <c r="F701" s="3" t="s">
        <v>728</v>
      </c>
    </row>
    <row r="702" spans="1:6" x14ac:dyDescent="0.25">
      <c r="A702" t="s">
        <v>753</v>
      </c>
      <c r="B702" s="13">
        <f t="shared" si="10"/>
        <v>0</v>
      </c>
      <c r="C702" s="3" t="s">
        <v>729</v>
      </c>
      <c r="D702" s="3"/>
      <c r="E702" s="4" t="s">
        <v>1</v>
      </c>
      <c r="F702" s="3" t="s">
        <v>730</v>
      </c>
    </row>
    <row r="703" spans="1:6" x14ac:dyDescent="0.25">
      <c r="A703" t="s">
        <v>753</v>
      </c>
      <c r="B703" s="13">
        <f t="shared" si="10"/>
        <v>0</v>
      </c>
      <c r="C703" s="3" t="s">
        <v>731</v>
      </c>
      <c r="D703" s="3"/>
      <c r="E703" s="4" t="s">
        <v>1</v>
      </c>
      <c r="F703" s="3" t="s">
        <v>728</v>
      </c>
    </row>
    <row r="704" spans="1:6" x14ac:dyDescent="0.25">
      <c r="A704" t="s">
        <v>753</v>
      </c>
      <c r="B704" s="13">
        <f t="shared" si="10"/>
        <v>0</v>
      </c>
      <c r="C704" s="3" t="s">
        <v>732</v>
      </c>
      <c r="D704" s="3"/>
      <c r="E704" s="4" t="s">
        <v>1</v>
      </c>
      <c r="F704" s="4" t="s">
        <v>17</v>
      </c>
    </row>
    <row r="705" spans="1:6" x14ac:dyDescent="0.25">
      <c r="A705" t="s">
        <v>753</v>
      </c>
      <c r="B705" s="13">
        <f t="shared" si="10"/>
        <v>0</v>
      </c>
      <c r="C705" s="3" t="s">
        <v>733</v>
      </c>
      <c r="D705" s="3"/>
      <c r="E705" s="4" t="s">
        <v>1</v>
      </c>
      <c r="F705" s="3" t="s">
        <v>734</v>
      </c>
    </row>
    <row r="706" spans="1:6" x14ac:dyDescent="0.25">
      <c r="A706" t="s">
        <v>753</v>
      </c>
      <c r="B706" s="13">
        <f t="shared" ref="B706:B727" si="11">D706*24*60</f>
        <v>11</v>
      </c>
      <c r="C706" s="17" t="s">
        <v>735</v>
      </c>
      <c r="D706" s="19">
        <v>7.6388888888888886E-3</v>
      </c>
      <c r="E706" s="23"/>
      <c r="F706" s="5" t="s">
        <v>736</v>
      </c>
    </row>
    <row r="707" spans="1:6" x14ac:dyDescent="0.25">
      <c r="A707" t="s">
        <v>753</v>
      </c>
      <c r="B707" s="13">
        <f t="shared" si="11"/>
        <v>0</v>
      </c>
      <c r="C707" s="18"/>
      <c r="D707" s="20"/>
      <c r="E707" s="24"/>
      <c r="F707" s="6" t="s">
        <v>737</v>
      </c>
    </row>
    <row r="708" spans="1:6" x14ac:dyDescent="0.25">
      <c r="A708" t="s">
        <v>753</v>
      </c>
      <c r="B708" s="13">
        <f t="shared" si="11"/>
        <v>10</v>
      </c>
      <c r="C708" s="17" t="s">
        <v>738</v>
      </c>
      <c r="D708" s="19">
        <v>6.9444444444444441E-3</v>
      </c>
      <c r="E708" s="21" t="s">
        <v>1</v>
      </c>
      <c r="F708" s="5" t="s">
        <v>7</v>
      </c>
    </row>
    <row r="709" spans="1:6" x14ac:dyDescent="0.25">
      <c r="A709" t="s">
        <v>753</v>
      </c>
      <c r="B709" s="13">
        <f t="shared" si="11"/>
        <v>0</v>
      </c>
      <c r="C709" s="18"/>
      <c r="D709" s="20"/>
      <c r="E709" s="22"/>
      <c r="F709" s="6" t="s">
        <v>584</v>
      </c>
    </row>
    <row r="710" spans="1:6" x14ac:dyDescent="0.25">
      <c r="A710" t="s">
        <v>753</v>
      </c>
      <c r="B710" s="13">
        <f t="shared" si="11"/>
        <v>11</v>
      </c>
      <c r="C710" s="17" t="s">
        <v>739</v>
      </c>
      <c r="D710" s="19">
        <v>7.6388888888888886E-3</v>
      </c>
      <c r="E710" s="21" t="s">
        <v>1</v>
      </c>
      <c r="F710" s="5" t="s">
        <v>442</v>
      </c>
    </row>
    <row r="711" spans="1:6" x14ac:dyDescent="0.25">
      <c r="A711" t="s">
        <v>753</v>
      </c>
      <c r="B711" s="13">
        <f t="shared" si="11"/>
        <v>0</v>
      </c>
      <c r="C711" s="18"/>
      <c r="D711" s="20"/>
      <c r="E711" s="22"/>
      <c r="F711" s="6" t="s">
        <v>740</v>
      </c>
    </row>
    <row r="712" spans="1:6" x14ac:dyDescent="0.25">
      <c r="A712" t="s">
        <v>753</v>
      </c>
      <c r="B712" s="13">
        <f t="shared" si="11"/>
        <v>15</v>
      </c>
      <c r="C712" s="17" t="s">
        <v>741</v>
      </c>
      <c r="D712" s="19">
        <v>1.0416666666666666E-2</v>
      </c>
      <c r="E712" s="21" t="s">
        <v>1</v>
      </c>
      <c r="F712" s="5" t="s">
        <v>115</v>
      </c>
    </row>
    <row r="713" spans="1:6" x14ac:dyDescent="0.25">
      <c r="A713" t="s">
        <v>753</v>
      </c>
      <c r="B713" s="13">
        <f t="shared" si="11"/>
        <v>0</v>
      </c>
      <c r="C713" s="18"/>
      <c r="D713" s="20"/>
      <c r="E713" s="22"/>
      <c r="F713" s="6" t="s">
        <v>70</v>
      </c>
    </row>
    <row r="714" spans="1:6" x14ac:dyDescent="0.25">
      <c r="A714" t="s">
        <v>753</v>
      </c>
      <c r="B714" s="13">
        <f t="shared" si="11"/>
        <v>0</v>
      </c>
      <c r="C714" s="3" t="s">
        <v>742</v>
      </c>
      <c r="D714" s="3"/>
      <c r="E714" s="4" t="s">
        <v>1</v>
      </c>
      <c r="F714" s="4" t="s">
        <v>5</v>
      </c>
    </row>
    <row r="715" spans="1:6" x14ac:dyDescent="0.25">
      <c r="A715" t="s">
        <v>753</v>
      </c>
      <c r="B715" s="13">
        <f t="shared" si="11"/>
        <v>0</v>
      </c>
      <c r="C715" s="3" t="s">
        <v>743</v>
      </c>
      <c r="D715" s="3"/>
      <c r="E715" s="4" t="s">
        <v>1</v>
      </c>
      <c r="F715" s="3" t="s">
        <v>744</v>
      </c>
    </row>
    <row r="716" spans="1:6" x14ac:dyDescent="0.25">
      <c r="A716" t="s">
        <v>753</v>
      </c>
      <c r="B716" s="13">
        <f t="shared" si="11"/>
        <v>0</v>
      </c>
      <c r="C716" s="3" t="s">
        <v>745</v>
      </c>
      <c r="D716" s="3"/>
      <c r="E716" s="4" t="s">
        <v>1</v>
      </c>
      <c r="F716" s="4" t="s">
        <v>17</v>
      </c>
    </row>
    <row r="717" spans="1:6" x14ac:dyDescent="0.25">
      <c r="A717" t="s">
        <v>753</v>
      </c>
      <c r="B717" s="13">
        <f t="shared" si="11"/>
        <v>0</v>
      </c>
      <c r="C717" s="17" t="s">
        <v>746</v>
      </c>
      <c r="D717" s="17"/>
      <c r="E717" s="21" t="s">
        <v>1</v>
      </c>
      <c r="F717" s="1" t="s">
        <v>25</v>
      </c>
    </row>
    <row r="718" spans="1:6" x14ac:dyDescent="0.25">
      <c r="A718" t="s">
        <v>753</v>
      </c>
      <c r="B718" s="13">
        <f t="shared" si="11"/>
        <v>0</v>
      </c>
      <c r="C718" s="18"/>
      <c r="D718" s="18"/>
      <c r="E718" s="22"/>
      <c r="F718" s="2" t="s">
        <v>21</v>
      </c>
    </row>
    <row r="719" spans="1:6" x14ac:dyDescent="0.25">
      <c r="A719" t="s">
        <v>753</v>
      </c>
      <c r="B719" s="13">
        <f t="shared" si="11"/>
        <v>0</v>
      </c>
      <c r="C719" s="17" t="s">
        <v>747</v>
      </c>
      <c r="D719" s="17"/>
      <c r="E719" s="21" t="s">
        <v>1</v>
      </c>
      <c r="F719" s="1" t="s">
        <v>2</v>
      </c>
    </row>
    <row r="720" spans="1:6" x14ac:dyDescent="0.25">
      <c r="A720" t="s">
        <v>753</v>
      </c>
      <c r="B720" s="13">
        <f t="shared" si="11"/>
        <v>0</v>
      </c>
      <c r="C720" s="18"/>
      <c r="D720" s="18"/>
      <c r="E720" s="22"/>
      <c r="F720" s="2" t="s">
        <v>748</v>
      </c>
    </row>
    <row r="721" spans="1:6" x14ac:dyDescent="0.25">
      <c r="A721" t="s">
        <v>753</v>
      </c>
      <c r="B721" s="13">
        <f t="shared" si="11"/>
        <v>16</v>
      </c>
      <c r="C721" s="17" t="s">
        <v>749</v>
      </c>
      <c r="D721" s="19">
        <v>1.1111111111111112E-2</v>
      </c>
      <c r="E721" s="21" t="s">
        <v>1</v>
      </c>
      <c r="F721" s="5" t="s">
        <v>326</v>
      </c>
    </row>
    <row r="722" spans="1:6" x14ac:dyDescent="0.25">
      <c r="A722" t="s">
        <v>753</v>
      </c>
      <c r="B722" s="13">
        <f t="shared" si="11"/>
        <v>0</v>
      </c>
      <c r="C722" s="18"/>
      <c r="D722" s="20"/>
      <c r="E722" s="22"/>
      <c r="F722" s="6" t="s">
        <v>327</v>
      </c>
    </row>
    <row r="723" spans="1:6" x14ac:dyDescent="0.25">
      <c r="A723" t="s">
        <v>753</v>
      </c>
      <c r="B723" s="13">
        <f t="shared" si="11"/>
        <v>10</v>
      </c>
      <c r="C723" s="17" t="s">
        <v>750</v>
      </c>
      <c r="D723" s="19">
        <v>6.9444444444444441E-3</v>
      </c>
      <c r="E723" s="21" t="s">
        <v>1</v>
      </c>
      <c r="F723" s="5" t="s">
        <v>7</v>
      </c>
    </row>
    <row r="724" spans="1:6" x14ac:dyDescent="0.25">
      <c r="A724" t="s">
        <v>753</v>
      </c>
      <c r="B724" s="13">
        <f t="shared" si="11"/>
        <v>0</v>
      </c>
      <c r="C724" s="18"/>
      <c r="D724" s="20"/>
      <c r="E724" s="22"/>
      <c r="F724" s="6" t="s">
        <v>8</v>
      </c>
    </row>
    <row r="725" spans="1:6" x14ac:dyDescent="0.25">
      <c r="A725" t="s">
        <v>753</v>
      </c>
      <c r="B725" s="13">
        <f t="shared" si="11"/>
        <v>0</v>
      </c>
      <c r="C725" s="3" t="s">
        <v>751</v>
      </c>
      <c r="D725" s="3"/>
      <c r="E725" s="4" t="s">
        <v>1</v>
      </c>
      <c r="F725" s="4" t="s">
        <v>25</v>
      </c>
    </row>
    <row r="726" spans="1:6" x14ac:dyDescent="0.25">
      <c r="A726" t="s">
        <v>753</v>
      </c>
      <c r="B726" s="13">
        <f t="shared" si="11"/>
        <v>10</v>
      </c>
      <c r="C726" s="17" t="s">
        <v>752</v>
      </c>
      <c r="D726" s="19">
        <v>6.9444444444444441E-3</v>
      </c>
      <c r="E726" s="21" t="s">
        <v>1</v>
      </c>
      <c r="F726" s="5" t="s">
        <v>7</v>
      </c>
    </row>
    <row r="727" spans="1:6" x14ac:dyDescent="0.25">
      <c r="A727" t="s">
        <v>753</v>
      </c>
      <c r="B727" s="13">
        <f t="shared" si="11"/>
        <v>0</v>
      </c>
      <c r="C727" s="18"/>
      <c r="D727" s="20"/>
      <c r="E727" s="22"/>
      <c r="F727" s="6" t="s">
        <v>584</v>
      </c>
    </row>
    <row r="731" spans="1:6" x14ac:dyDescent="0.25">
      <c r="A731" t="s">
        <v>1038</v>
      </c>
      <c r="B731" s="13">
        <f t="shared" ref="B731" si="12">D731*24*60</f>
        <v>800</v>
      </c>
      <c r="C731" s="17" t="s">
        <v>0</v>
      </c>
      <c r="D731" s="19">
        <v>0.55555555555555558</v>
      </c>
      <c r="E731" s="21" t="s">
        <v>1</v>
      </c>
      <c r="F731" s="5" t="s">
        <v>763</v>
      </c>
    </row>
    <row r="732" spans="1:6" x14ac:dyDescent="0.25">
      <c r="A732" t="s">
        <v>1038</v>
      </c>
      <c r="B732" s="13">
        <f t="shared" ref="B732:B733" si="13">D732*24*60</f>
        <v>0</v>
      </c>
      <c r="C732" s="18"/>
      <c r="D732" s="20"/>
      <c r="E732" s="22"/>
      <c r="F732" s="6" t="s">
        <v>764</v>
      </c>
    </row>
    <row r="733" spans="1:6" x14ac:dyDescent="0.25">
      <c r="A733" t="s">
        <v>1038</v>
      </c>
      <c r="B733" s="13">
        <f t="shared" si="13"/>
        <v>0</v>
      </c>
      <c r="C733" s="3" t="s">
        <v>765</v>
      </c>
      <c r="D733" s="3"/>
      <c r="E733" s="4" t="s">
        <v>1</v>
      </c>
      <c r="F733" s="3" t="s">
        <v>27</v>
      </c>
    </row>
    <row r="734" spans="1:6" x14ac:dyDescent="0.25">
      <c r="A734" t="s">
        <v>1038</v>
      </c>
      <c r="B734" s="13">
        <f t="shared" ref="B734:B797" si="14">D734*24*60</f>
        <v>25</v>
      </c>
      <c r="C734" s="17" t="s">
        <v>4</v>
      </c>
      <c r="D734" s="19">
        <v>1.7361111111111112E-2</v>
      </c>
      <c r="E734" s="21" t="s">
        <v>1</v>
      </c>
      <c r="F734" s="5" t="s">
        <v>12</v>
      </c>
    </row>
    <row r="735" spans="1:6" x14ac:dyDescent="0.25">
      <c r="A735" t="s">
        <v>1038</v>
      </c>
      <c r="B735" s="13">
        <f t="shared" si="14"/>
        <v>0</v>
      </c>
      <c r="C735" s="18"/>
      <c r="D735" s="20"/>
      <c r="E735" s="22"/>
      <c r="F735" s="6" t="s">
        <v>130</v>
      </c>
    </row>
    <row r="736" spans="1:6" x14ac:dyDescent="0.25">
      <c r="A736" t="s">
        <v>1038</v>
      </c>
      <c r="B736" s="13">
        <f t="shared" si="14"/>
        <v>15</v>
      </c>
      <c r="C736" s="17" t="s">
        <v>6</v>
      </c>
      <c r="D736" s="19">
        <v>1.0416666666666666E-2</v>
      </c>
      <c r="E736" s="21" t="s">
        <v>1</v>
      </c>
      <c r="F736" s="5" t="s">
        <v>115</v>
      </c>
    </row>
    <row r="737" spans="1:6" x14ac:dyDescent="0.25">
      <c r="A737" t="s">
        <v>1038</v>
      </c>
      <c r="B737" s="13">
        <f t="shared" si="14"/>
        <v>0</v>
      </c>
      <c r="C737" s="18"/>
      <c r="D737" s="20"/>
      <c r="E737" s="22"/>
      <c r="F737" s="6" t="s">
        <v>59</v>
      </c>
    </row>
    <row r="738" spans="1:6" x14ac:dyDescent="0.25">
      <c r="A738" t="s">
        <v>1038</v>
      </c>
      <c r="B738" s="13">
        <f t="shared" si="14"/>
        <v>0</v>
      </c>
      <c r="C738" s="3" t="s">
        <v>9</v>
      </c>
      <c r="D738" s="3"/>
      <c r="E738" s="4" t="s">
        <v>1</v>
      </c>
      <c r="F738" s="4" t="s">
        <v>17</v>
      </c>
    </row>
    <row r="739" spans="1:6" x14ac:dyDescent="0.25">
      <c r="A739" t="s">
        <v>1038</v>
      </c>
      <c r="B739" s="13">
        <f t="shared" si="14"/>
        <v>20</v>
      </c>
      <c r="C739" s="17" t="s">
        <v>11</v>
      </c>
      <c r="D739" s="19">
        <v>1.3888888888888888E-2</v>
      </c>
      <c r="E739" s="21" t="s">
        <v>1</v>
      </c>
      <c r="F739" s="5" t="s">
        <v>136</v>
      </c>
    </row>
    <row r="740" spans="1:6" x14ac:dyDescent="0.25">
      <c r="A740" t="s">
        <v>1038</v>
      </c>
      <c r="B740" s="13">
        <f t="shared" si="14"/>
        <v>0</v>
      </c>
      <c r="C740" s="18"/>
      <c r="D740" s="20"/>
      <c r="E740" s="22"/>
      <c r="F740" s="6" t="s">
        <v>64</v>
      </c>
    </row>
    <row r="741" spans="1:6" x14ac:dyDescent="0.25">
      <c r="A741" t="s">
        <v>1038</v>
      </c>
      <c r="B741" s="13">
        <f t="shared" si="14"/>
        <v>41</v>
      </c>
      <c r="C741" s="17" t="s">
        <v>14</v>
      </c>
      <c r="D741" s="19">
        <v>2.8472222222222222E-2</v>
      </c>
      <c r="E741" s="21" t="s">
        <v>1</v>
      </c>
      <c r="F741" s="5" t="s">
        <v>766</v>
      </c>
    </row>
    <row r="742" spans="1:6" x14ac:dyDescent="0.25">
      <c r="A742" t="s">
        <v>1038</v>
      </c>
      <c r="B742" s="13">
        <f t="shared" si="14"/>
        <v>0</v>
      </c>
      <c r="C742" s="18"/>
      <c r="D742" s="20"/>
      <c r="E742" s="22"/>
      <c r="F742" s="6" t="s">
        <v>767</v>
      </c>
    </row>
    <row r="743" spans="1:6" x14ac:dyDescent="0.25">
      <c r="A743" t="s">
        <v>1038</v>
      </c>
      <c r="B743" s="13">
        <f t="shared" si="14"/>
        <v>0</v>
      </c>
      <c r="C743" s="3" t="s">
        <v>16</v>
      </c>
      <c r="D743" s="3"/>
      <c r="E743" s="4" t="s">
        <v>1</v>
      </c>
      <c r="F743" s="4" t="s">
        <v>17</v>
      </c>
    </row>
    <row r="744" spans="1:6" x14ac:dyDescent="0.25">
      <c r="A744" t="s">
        <v>1038</v>
      </c>
      <c r="B744" s="13">
        <f t="shared" si="14"/>
        <v>25</v>
      </c>
      <c r="C744" s="17" t="s">
        <v>18</v>
      </c>
      <c r="D744" s="19">
        <v>1.7361111111111112E-2</v>
      </c>
      <c r="E744" s="21" t="s">
        <v>1</v>
      </c>
      <c r="F744" s="5" t="s">
        <v>12</v>
      </c>
    </row>
    <row r="745" spans="1:6" x14ac:dyDescent="0.25">
      <c r="A745" t="s">
        <v>1038</v>
      </c>
      <c r="B745" s="13">
        <f t="shared" si="14"/>
        <v>0</v>
      </c>
      <c r="C745" s="18"/>
      <c r="D745" s="20"/>
      <c r="E745" s="22"/>
      <c r="F745" s="6" t="s">
        <v>768</v>
      </c>
    </row>
    <row r="746" spans="1:6" x14ac:dyDescent="0.25">
      <c r="A746" t="s">
        <v>1038</v>
      </c>
      <c r="B746" s="13">
        <f t="shared" si="14"/>
        <v>0</v>
      </c>
      <c r="C746" s="3" t="s">
        <v>19</v>
      </c>
      <c r="D746" s="3"/>
      <c r="E746" s="4" t="s">
        <v>1</v>
      </c>
      <c r="F746" s="3" t="s">
        <v>27</v>
      </c>
    </row>
    <row r="747" spans="1:6" x14ac:dyDescent="0.25">
      <c r="A747" t="s">
        <v>1038</v>
      </c>
      <c r="B747" s="13">
        <f t="shared" si="14"/>
        <v>11</v>
      </c>
      <c r="C747" s="17" t="s">
        <v>20</v>
      </c>
      <c r="D747" s="19">
        <v>7.6388888888888886E-3</v>
      </c>
      <c r="E747" s="21" t="s">
        <v>1</v>
      </c>
      <c r="F747" s="5" t="s">
        <v>442</v>
      </c>
    </row>
    <row r="748" spans="1:6" x14ac:dyDescent="0.25">
      <c r="A748" t="s">
        <v>1038</v>
      </c>
      <c r="B748" s="13">
        <f t="shared" si="14"/>
        <v>0</v>
      </c>
      <c r="C748" s="18"/>
      <c r="D748" s="20"/>
      <c r="E748" s="22"/>
      <c r="F748" s="6" t="s">
        <v>498</v>
      </c>
    </row>
    <row r="749" spans="1:6" x14ac:dyDescent="0.25">
      <c r="A749" t="s">
        <v>1038</v>
      </c>
      <c r="B749" s="13">
        <f t="shared" si="14"/>
        <v>0</v>
      </c>
      <c r="C749" s="3" t="s">
        <v>769</v>
      </c>
      <c r="D749" s="3"/>
      <c r="E749" s="4" t="s">
        <v>1</v>
      </c>
      <c r="F749" s="3" t="s">
        <v>27</v>
      </c>
    </row>
    <row r="750" spans="1:6" x14ac:dyDescent="0.25">
      <c r="A750" t="s">
        <v>1038</v>
      </c>
      <c r="B750" s="13">
        <f t="shared" si="14"/>
        <v>86</v>
      </c>
      <c r="C750" s="17" t="s">
        <v>770</v>
      </c>
      <c r="D750" s="19">
        <v>5.9722222222222225E-2</v>
      </c>
      <c r="E750" s="21" t="s">
        <v>1</v>
      </c>
      <c r="F750" s="5" t="s">
        <v>771</v>
      </c>
    </row>
    <row r="751" spans="1:6" x14ac:dyDescent="0.25">
      <c r="A751" t="s">
        <v>1038</v>
      </c>
      <c r="B751" s="13">
        <f t="shared" si="14"/>
        <v>0</v>
      </c>
      <c r="C751" s="18"/>
      <c r="D751" s="20"/>
      <c r="E751" s="22"/>
      <c r="F751" s="6" t="s">
        <v>772</v>
      </c>
    </row>
    <row r="752" spans="1:6" x14ac:dyDescent="0.25">
      <c r="A752" t="s">
        <v>1038</v>
      </c>
      <c r="B752" s="13">
        <f t="shared" si="14"/>
        <v>15</v>
      </c>
      <c r="C752" s="17" t="s">
        <v>773</v>
      </c>
      <c r="D752" s="19">
        <v>1.0416666666666666E-2</v>
      </c>
      <c r="E752" s="21" t="s">
        <v>1</v>
      </c>
      <c r="F752" s="5" t="s">
        <v>115</v>
      </c>
    </row>
    <row r="753" spans="1:6" x14ac:dyDescent="0.25">
      <c r="A753" t="s">
        <v>1038</v>
      </c>
      <c r="B753" s="13">
        <f t="shared" si="14"/>
        <v>0</v>
      </c>
      <c r="C753" s="18"/>
      <c r="D753" s="20"/>
      <c r="E753" s="22"/>
      <c r="F753" s="6" t="s">
        <v>70</v>
      </c>
    </row>
    <row r="754" spans="1:6" x14ac:dyDescent="0.25">
      <c r="A754" t="s">
        <v>1038</v>
      </c>
      <c r="B754" s="13">
        <f t="shared" si="14"/>
        <v>10</v>
      </c>
      <c r="C754" s="3" t="s">
        <v>24</v>
      </c>
      <c r="D754" s="7">
        <v>6.9444444444444441E-3</v>
      </c>
      <c r="E754" s="4" t="s">
        <v>1</v>
      </c>
      <c r="F754" s="8" t="s">
        <v>7</v>
      </c>
    </row>
    <row r="755" spans="1:6" x14ac:dyDescent="0.25">
      <c r="A755" t="s">
        <v>1038</v>
      </c>
      <c r="B755" s="13">
        <f t="shared" si="14"/>
        <v>25</v>
      </c>
      <c r="C755" s="17" t="s">
        <v>28</v>
      </c>
      <c r="D755" s="19">
        <v>1.7361111111111112E-2</v>
      </c>
      <c r="E755" s="21" t="s">
        <v>1</v>
      </c>
      <c r="F755" s="5" t="s">
        <v>12</v>
      </c>
    </row>
    <row r="756" spans="1:6" x14ac:dyDescent="0.25">
      <c r="A756" t="s">
        <v>1038</v>
      </c>
      <c r="B756" s="13">
        <f t="shared" si="14"/>
        <v>0</v>
      </c>
      <c r="C756" s="18"/>
      <c r="D756" s="20"/>
      <c r="E756" s="22"/>
      <c r="F756" s="6" t="s">
        <v>29</v>
      </c>
    </row>
    <row r="757" spans="1:6" x14ac:dyDescent="0.25">
      <c r="A757" t="s">
        <v>1038</v>
      </c>
      <c r="B757" s="13">
        <f t="shared" si="14"/>
        <v>10</v>
      </c>
      <c r="C757" s="3" t="s">
        <v>30</v>
      </c>
      <c r="D757" s="7">
        <v>6.9444444444444441E-3</v>
      </c>
      <c r="E757" s="4" t="s">
        <v>1</v>
      </c>
      <c r="F757" s="8" t="s">
        <v>7</v>
      </c>
    </row>
    <row r="758" spans="1:6" x14ac:dyDescent="0.25">
      <c r="A758" t="s">
        <v>1038</v>
      </c>
      <c r="B758" s="13">
        <f t="shared" si="14"/>
        <v>0</v>
      </c>
      <c r="C758" s="3" t="s">
        <v>31</v>
      </c>
      <c r="D758" s="3"/>
      <c r="E758" s="4" t="s">
        <v>1</v>
      </c>
      <c r="F758" s="4" t="s">
        <v>17</v>
      </c>
    </row>
    <row r="759" spans="1:6" x14ac:dyDescent="0.25">
      <c r="A759" t="s">
        <v>1038</v>
      </c>
      <c r="B759" s="13">
        <f t="shared" si="14"/>
        <v>0</v>
      </c>
      <c r="C759" s="17" t="s">
        <v>32</v>
      </c>
      <c r="D759" s="17"/>
      <c r="E759" s="21" t="s">
        <v>1</v>
      </c>
      <c r="F759" s="1" t="s">
        <v>2</v>
      </c>
    </row>
    <row r="760" spans="1:6" x14ac:dyDescent="0.25">
      <c r="A760" t="s">
        <v>1038</v>
      </c>
      <c r="B760" s="13">
        <f t="shared" si="14"/>
        <v>0</v>
      </c>
      <c r="C760" s="18"/>
      <c r="D760" s="18"/>
      <c r="E760" s="22"/>
      <c r="F760" s="2" t="s">
        <v>774</v>
      </c>
    </row>
    <row r="761" spans="1:6" x14ac:dyDescent="0.25">
      <c r="A761" t="s">
        <v>1038</v>
      </c>
      <c r="B761" s="13">
        <f t="shared" si="14"/>
        <v>10</v>
      </c>
      <c r="C761" s="3" t="s">
        <v>36</v>
      </c>
      <c r="D761" s="7">
        <v>6.9444444444444441E-3</v>
      </c>
      <c r="E761" s="4" t="s">
        <v>1</v>
      </c>
      <c r="F761" s="8" t="s">
        <v>7</v>
      </c>
    </row>
    <row r="762" spans="1:6" x14ac:dyDescent="0.25">
      <c r="A762" t="s">
        <v>1038</v>
      </c>
      <c r="B762" s="13">
        <f t="shared" si="14"/>
        <v>0</v>
      </c>
      <c r="C762" s="3" t="s">
        <v>37</v>
      </c>
      <c r="D762" s="3"/>
      <c r="E762" s="4" t="s">
        <v>1</v>
      </c>
      <c r="F762" s="4" t="s">
        <v>17</v>
      </c>
    </row>
    <row r="763" spans="1:6" x14ac:dyDescent="0.25">
      <c r="A763" t="s">
        <v>1038</v>
      </c>
      <c r="B763" s="13">
        <f t="shared" si="14"/>
        <v>0</v>
      </c>
      <c r="C763" s="3" t="s">
        <v>38</v>
      </c>
      <c r="D763" s="3"/>
      <c r="E763" s="4" t="s">
        <v>1</v>
      </c>
      <c r="F763" s="4" t="s">
        <v>17</v>
      </c>
    </row>
    <row r="764" spans="1:6" x14ac:dyDescent="0.25">
      <c r="A764" t="s">
        <v>1038</v>
      </c>
      <c r="B764" s="13">
        <f t="shared" si="14"/>
        <v>10</v>
      </c>
      <c r="C764" s="3" t="s">
        <v>39</v>
      </c>
      <c r="D764" s="7">
        <v>6.9444444444444441E-3</v>
      </c>
      <c r="E764" s="4" t="s">
        <v>1</v>
      </c>
      <c r="F764" s="8" t="s">
        <v>7</v>
      </c>
    </row>
    <row r="765" spans="1:6" x14ac:dyDescent="0.25">
      <c r="A765" t="s">
        <v>1038</v>
      </c>
      <c r="B765" s="13">
        <f t="shared" si="14"/>
        <v>10</v>
      </c>
      <c r="C765" s="3" t="s">
        <v>40</v>
      </c>
      <c r="D765" s="7">
        <v>6.9444444444444441E-3</v>
      </c>
      <c r="E765" s="4" t="s">
        <v>1</v>
      </c>
      <c r="F765" s="8" t="s">
        <v>7</v>
      </c>
    </row>
    <row r="766" spans="1:6" x14ac:dyDescent="0.25">
      <c r="A766" t="s">
        <v>1038</v>
      </c>
      <c r="B766" s="13">
        <f t="shared" si="14"/>
        <v>10</v>
      </c>
      <c r="C766" s="3" t="s">
        <v>41</v>
      </c>
      <c r="D766" s="7">
        <v>6.9444444444444441E-3</v>
      </c>
      <c r="E766" s="4" t="s">
        <v>1</v>
      </c>
      <c r="F766" s="8" t="s">
        <v>7</v>
      </c>
    </row>
    <row r="767" spans="1:6" x14ac:dyDescent="0.25">
      <c r="A767" t="s">
        <v>1038</v>
      </c>
      <c r="B767" s="13">
        <f t="shared" si="14"/>
        <v>0</v>
      </c>
      <c r="C767" s="17" t="s">
        <v>42</v>
      </c>
      <c r="D767" s="17"/>
      <c r="E767" s="21" t="s">
        <v>1</v>
      </c>
      <c r="F767" s="1" t="s">
        <v>2</v>
      </c>
    </row>
    <row r="768" spans="1:6" x14ac:dyDescent="0.25">
      <c r="A768" t="s">
        <v>1038</v>
      </c>
      <c r="B768" s="13">
        <f t="shared" si="14"/>
        <v>0</v>
      </c>
      <c r="C768" s="18"/>
      <c r="D768" s="18"/>
      <c r="E768" s="22"/>
      <c r="F768" s="2" t="s">
        <v>70</v>
      </c>
    </row>
    <row r="769" spans="1:6" x14ac:dyDescent="0.25">
      <c r="A769" t="s">
        <v>1038</v>
      </c>
      <c r="B769" s="13">
        <f t="shared" si="14"/>
        <v>0</v>
      </c>
      <c r="C769" s="3" t="s">
        <v>44</v>
      </c>
      <c r="D769" s="3"/>
      <c r="E769" s="4" t="s">
        <v>1</v>
      </c>
      <c r="F769" s="4" t="s">
        <v>17</v>
      </c>
    </row>
    <row r="770" spans="1:6" x14ac:dyDescent="0.25">
      <c r="A770" t="s">
        <v>1038</v>
      </c>
      <c r="B770" s="13">
        <f t="shared" si="14"/>
        <v>10</v>
      </c>
      <c r="C770" s="3" t="s">
        <v>45</v>
      </c>
      <c r="D770" s="7">
        <v>6.9444444444444441E-3</v>
      </c>
      <c r="E770" s="4" t="s">
        <v>1</v>
      </c>
      <c r="F770" s="8" t="s">
        <v>7</v>
      </c>
    </row>
    <row r="771" spans="1:6" x14ac:dyDescent="0.25">
      <c r="A771" t="s">
        <v>1038</v>
      </c>
      <c r="B771" s="13">
        <f t="shared" si="14"/>
        <v>0</v>
      </c>
      <c r="C771" s="3" t="s">
        <v>46</v>
      </c>
      <c r="D771" s="3"/>
      <c r="E771" s="4" t="s">
        <v>1</v>
      </c>
      <c r="F771" s="4" t="s">
        <v>17</v>
      </c>
    </row>
    <row r="772" spans="1:6" x14ac:dyDescent="0.25">
      <c r="A772" t="s">
        <v>1038</v>
      </c>
      <c r="B772" s="13">
        <f t="shared" si="14"/>
        <v>10</v>
      </c>
      <c r="C772" s="3" t="s">
        <v>47</v>
      </c>
      <c r="D772" s="7">
        <v>6.9444444444444441E-3</v>
      </c>
      <c r="E772" s="4" t="s">
        <v>1</v>
      </c>
      <c r="F772" s="8" t="s">
        <v>7</v>
      </c>
    </row>
    <row r="773" spans="1:6" x14ac:dyDescent="0.25">
      <c r="A773" t="s">
        <v>1038</v>
      </c>
      <c r="B773" s="13">
        <f t="shared" si="14"/>
        <v>0</v>
      </c>
      <c r="C773" s="3" t="s">
        <v>48</v>
      </c>
      <c r="D773" s="3"/>
      <c r="E773" s="4" t="s">
        <v>1</v>
      </c>
      <c r="F773" s="4" t="s">
        <v>5</v>
      </c>
    </row>
    <row r="774" spans="1:6" x14ac:dyDescent="0.25">
      <c r="A774" t="s">
        <v>1038</v>
      </c>
      <c r="B774" s="13">
        <f t="shared" si="14"/>
        <v>0</v>
      </c>
      <c r="C774" s="3" t="s">
        <v>49</v>
      </c>
      <c r="D774" s="3"/>
      <c r="E774" s="4" t="s">
        <v>1</v>
      </c>
      <c r="F774" s="4" t="s">
        <v>5</v>
      </c>
    </row>
    <row r="775" spans="1:6" x14ac:dyDescent="0.25">
      <c r="A775" t="s">
        <v>1038</v>
      </c>
      <c r="B775" s="13">
        <f t="shared" si="14"/>
        <v>0</v>
      </c>
      <c r="C775" s="17" t="s">
        <v>775</v>
      </c>
      <c r="D775" s="17"/>
      <c r="E775" s="21" t="s">
        <v>1</v>
      </c>
      <c r="F775" s="1" t="s">
        <v>2</v>
      </c>
    </row>
    <row r="776" spans="1:6" x14ac:dyDescent="0.25">
      <c r="A776" t="s">
        <v>1038</v>
      </c>
      <c r="B776" s="13">
        <f t="shared" si="14"/>
        <v>0</v>
      </c>
      <c r="C776" s="18"/>
      <c r="D776" s="18"/>
      <c r="E776" s="22"/>
      <c r="F776" s="2" t="s">
        <v>776</v>
      </c>
    </row>
    <row r="777" spans="1:6" x14ac:dyDescent="0.25">
      <c r="A777" t="s">
        <v>1038</v>
      </c>
      <c r="B777" s="13">
        <f t="shared" si="14"/>
        <v>0</v>
      </c>
      <c r="C777" s="3" t="s">
        <v>50</v>
      </c>
      <c r="D777" s="3"/>
      <c r="E777" s="4" t="s">
        <v>1</v>
      </c>
      <c r="F777" s="4" t="s">
        <v>17</v>
      </c>
    </row>
    <row r="778" spans="1:6" x14ac:dyDescent="0.25">
      <c r="A778" t="s">
        <v>1038</v>
      </c>
      <c r="B778" s="13">
        <f t="shared" si="14"/>
        <v>10</v>
      </c>
      <c r="C778" s="17" t="s">
        <v>51</v>
      </c>
      <c r="D778" s="19">
        <v>6.9444444444444441E-3</v>
      </c>
      <c r="E778" s="21" t="s">
        <v>1</v>
      </c>
      <c r="F778" s="5" t="s">
        <v>7</v>
      </c>
    </row>
    <row r="779" spans="1:6" x14ac:dyDescent="0.25">
      <c r="A779" t="s">
        <v>1038</v>
      </c>
      <c r="B779" s="13">
        <f t="shared" si="14"/>
        <v>0</v>
      </c>
      <c r="C779" s="18"/>
      <c r="D779" s="20"/>
      <c r="E779" s="22"/>
      <c r="F779" s="6" t="s">
        <v>8</v>
      </c>
    </row>
    <row r="780" spans="1:6" x14ac:dyDescent="0.25">
      <c r="A780" t="s">
        <v>1038</v>
      </c>
      <c r="B780" s="13">
        <f t="shared" si="14"/>
        <v>0</v>
      </c>
      <c r="C780" s="3" t="s">
        <v>54</v>
      </c>
      <c r="D780" s="3"/>
      <c r="E780" s="4" t="s">
        <v>1</v>
      </c>
      <c r="F780" s="4" t="s">
        <v>17</v>
      </c>
    </row>
    <row r="781" spans="1:6" x14ac:dyDescent="0.25">
      <c r="A781" t="s">
        <v>1038</v>
      </c>
      <c r="B781" s="13">
        <f t="shared" si="14"/>
        <v>10</v>
      </c>
      <c r="C781" s="3" t="s">
        <v>55</v>
      </c>
      <c r="D781" s="7">
        <v>6.9444444444444441E-3</v>
      </c>
      <c r="E781" s="4" t="s">
        <v>1</v>
      </c>
      <c r="F781" s="8" t="s">
        <v>7</v>
      </c>
    </row>
    <row r="782" spans="1:6" x14ac:dyDescent="0.25">
      <c r="A782" t="s">
        <v>1038</v>
      </c>
      <c r="B782" s="13">
        <f t="shared" si="14"/>
        <v>0</v>
      </c>
      <c r="C782" s="3" t="s">
        <v>56</v>
      </c>
      <c r="D782" s="3"/>
      <c r="E782" s="4" t="s">
        <v>1</v>
      </c>
      <c r="F782" s="4" t="s">
        <v>17</v>
      </c>
    </row>
    <row r="783" spans="1:6" x14ac:dyDescent="0.25">
      <c r="A783" t="s">
        <v>1038</v>
      </c>
      <c r="B783" s="13">
        <f t="shared" si="14"/>
        <v>0</v>
      </c>
      <c r="C783" s="3" t="s">
        <v>58</v>
      </c>
      <c r="D783" s="3"/>
      <c r="E783" s="4" t="s">
        <v>1</v>
      </c>
      <c r="F783" s="4" t="s">
        <v>17</v>
      </c>
    </row>
    <row r="784" spans="1:6" x14ac:dyDescent="0.25">
      <c r="A784" t="s">
        <v>1038</v>
      </c>
      <c r="B784" s="13">
        <f t="shared" si="14"/>
        <v>10</v>
      </c>
      <c r="C784" s="17" t="s">
        <v>60</v>
      </c>
      <c r="D784" s="19">
        <v>6.9444444444444441E-3</v>
      </c>
      <c r="E784" s="21" t="s">
        <v>1</v>
      </c>
      <c r="F784" s="5" t="s">
        <v>7</v>
      </c>
    </row>
    <row r="785" spans="1:6" x14ac:dyDescent="0.25">
      <c r="A785" t="s">
        <v>1038</v>
      </c>
      <c r="B785" s="13">
        <f t="shared" si="14"/>
        <v>0</v>
      </c>
      <c r="C785" s="18"/>
      <c r="D785" s="20"/>
      <c r="E785" s="22"/>
      <c r="F785" s="6" t="s">
        <v>8</v>
      </c>
    </row>
    <row r="786" spans="1:6" x14ac:dyDescent="0.25">
      <c r="A786" t="s">
        <v>1038</v>
      </c>
      <c r="B786" s="13">
        <f t="shared" si="14"/>
        <v>0</v>
      </c>
      <c r="C786" s="17" t="s">
        <v>61</v>
      </c>
      <c r="D786" s="17"/>
      <c r="E786" s="21" t="s">
        <v>1</v>
      </c>
      <c r="F786" s="1" t="s">
        <v>25</v>
      </c>
    </row>
    <row r="787" spans="1:6" x14ac:dyDescent="0.25">
      <c r="A787" t="s">
        <v>1038</v>
      </c>
      <c r="B787" s="13">
        <f t="shared" si="14"/>
        <v>0</v>
      </c>
      <c r="C787" s="18"/>
      <c r="D787" s="18"/>
      <c r="E787" s="22"/>
      <c r="F787" s="2" t="s">
        <v>8</v>
      </c>
    </row>
    <row r="788" spans="1:6" x14ac:dyDescent="0.25">
      <c r="A788" t="s">
        <v>1038</v>
      </c>
      <c r="B788" s="13">
        <f t="shared" si="14"/>
        <v>0</v>
      </c>
      <c r="C788" s="3" t="s">
        <v>62</v>
      </c>
      <c r="D788" s="3"/>
      <c r="E788" s="4" t="s">
        <v>1</v>
      </c>
      <c r="F788" s="4" t="s">
        <v>17</v>
      </c>
    </row>
    <row r="789" spans="1:6" x14ac:dyDescent="0.25">
      <c r="A789" t="s">
        <v>1038</v>
      </c>
      <c r="B789" s="13">
        <f t="shared" si="14"/>
        <v>0</v>
      </c>
      <c r="C789" s="3" t="s">
        <v>63</v>
      </c>
      <c r="D789" s="3"/>
      <c r="E789" s="4" t="s">
        <v>1</v>
      </c>
      <c r="F789" s="4" t="s">
        <v>17</v>
      </c>
    </row>
    <row r="790" spans="1:6" x14ac:dyDescent="0.25">
      <c r="A790" t="s">
        <v>1038</v>
      </c>
      <c r="B790" s="13">
        <f t="shared" si="14"/>
        <v>0</v>
      </c>
      <c r="C790" s="3" t="s">
        <v>65</v>
      </c>
      <c r="D790" s="3"/>
      <c r="E790" s="4" t="s">
        <v>1</v>
      </c>
      <c r="F790" s="4" t="s">
        <v>17</v>
      </c>
    </row>
    <row r="791" spans="1:6" x14ac:dyDescent="0.25">
      <c r="A791" t="s">
        <v>1038</v>
      </c>
      <c r="B791" s="13">
        <f t="shared" si="14"/>
        <v>0</v>
      </c>
      <c r="C791" s="17" t="s">
        <v>66</v>
      </c>
      <c r="D791" s="17"/>
      <c r="E791" s="21" t="s">
        <v>1</v>
      </c>
      <c r="F791" s="1" t="s">
        <v>25</v>
      </c>
    </row>
    <row r="792" spans="1:6" x14ac:dyDescent="0.25">
      <c r="A792" t="s">
        <v>1038</v>
      </c>
      <c r="B792" s="13">
        <f t="shared" si="14"/>
        <v>0</v>
      </c>
      <c r="C792" s="18"/>
      <c r="D792" s="18"/>
      <c r="E792" s="22"/>
      <c r="F792" s="2" t="s">
        <v>777</v>
      </c>
    </row>
    <row r="793" spans="1:6" x14ac:dyDescent="0.25">
      <c r="A793" t="s">
        <v>1038</v>
      </c>
      <c r="B793" s="13">
        <f t="shared" si="14"/>
        <v>16</v>
      </c>
      <c r="C793" s="17" t="s">
        <v>67</v>
      </c>
      <c r="D793" s="19">
        <v>1.1111111111111112E-2</v>
      </c>
      <c r="E793" s="21" t="s">
        <v>1</v>
      </c>
      <c r="F793" s="5" t="s">
        <v>326</v>
      </c>
    </row>
    <row r="794" spans="1:6" x14ac:dyDescent="0.25">
      <c r="A794" t="s">
        <v>1038</v>
      </c>
      <c r="B794" s="13">
        <f t="shared" si="14"/>
        <v>0</v>
      </c>
      <c r="C794" s="18"/>
      <c r="D794" s="20"/>
      <c r="E794" s="22"/>
      <c r="F794" s="6" t="s">
        <v>778</v>
      </c>
    </row>
    <row r="795" spans="1:6" x14ac:dyDescent="0.25">
      <c r="A795" t="s">
        <v>1038</v>
      </c>
      <c r="B795" s="13">
        <f t="shared" si="14"/>
        <v>0</v>
      </c>
      <c r="C795" s="3" t="s">
        <v>69</v>
      </c>
      <c r="D795" s="3"/>
      <c r="E795" s="4" t="s">
        <v>1</v>
      </c>
      <c r="F795" s="4" t="s">
        <v>17</v>
      </c>
    </row>
    <row r="796" spans="1:6" x14ac:dyDescent="0.25">
      <c r="A796" t="s">
        <v>1038</v>
      </c>
      <c r="B796" s="13">
        <f t="shared" si="14"/>
        <v>10</v>
      </c>
      <c r="C796" s="3" t="s">
        <v>71</v>
      </c>
      <c r="D796" s="7">
        <v>6.9444444444444441E-3</v>
      </c>
      <c r="E796" s="4" t="s">
        <v>1</v>
      </c>
      <c r="F796" s="8" t="s">
        <v>7</v>
      </c>
    </row>
    <row r="797" spans="1:6" x14ac:dyDescent="0.25">
      <c r="A797" t="s">
        <v>1038</v>
      </c>
      <c r="B797" s="13">
        <f t="shared" si="14"/>
        <v>16</v>
      </c>
      <c r="C797" s="17" t="s">
        <v>72</v>
      </c>
      <c r="D797" s="19">
        <v>1.1111111111111112E-2</v>
      </c>
      <c r="E797" s="21" t="s">
        <v>1</v>
      </c>
      <c r="F797" s="5" t="s">
        <v>326</v>
      </c>
    </row>
    <row r="798" spans="1:6" x14ac:dyDescent="0.25">
      <c r="A798" t="s">
        <v>1038</v>
      </c>
      <c r="B798" s="13">
        <f t="shared" ref="B798:B861" si="15">D798*24*60</f>
        <v>0</v>
      </c>
      <c r="C798" s="18"/>
      <c r="D798" s="20"/>
      <c r="E798" s="22"/>
      <c r="F798" s="6" t="s">
        <v>778</v>
      </c>
    </row>
    <row r="799" spans="1:6" x14ac:dyDescent="0.25">
      <c r="A799" t="s">
        <v>1038</v>
      </c>
      <c r="B799" s="13">
        <f t="shared" si="15"/>
        <v>0</v>
      </c>
      <c r="C799" s="3" t="s">
        <v>74</v>
      </c>
      <c r="D799" s="3"/>
      <c r="E799" s="4" t="s">
        <v>1</v>
      </c>
      <c r="F799" s="4" t="s">
        <v>17</v>
      </c>
    </row>
    <row r="800" spans="1:6" x14ac:dyDescent="0.25">
      <c r="A800" t="s">
        <v>1038</v>
      </c>
      <c r="B800" s="13">
        <f t="shared" si="15"/>
        <v>0</v>
      </c>
      <c r="C800" s="3" t="s">
        <v>75</v>
      </c>
      <c r="D800" s="3"/>
      <c r="E800" s="4" t="s">
        <v>1</v>
      </c>
      <c r="F800" s="4" t="s">
        <v>17</v>
      </c>
    </row>
    <row r="801" spans="1:6" x14ac:dyDescent="0.25">
      <c r="A801" t="s">
        <v>1038</v>
      </c>
      <c r="B801" s="13">
        <f t="shared" si="15"/>
        <v>0</v>
      </c>
      <c r="C801" s="3" t="s">
        <v>76</v>
      </c>
      <c r="D801" s="3"/>
      <c r="E801" s="4" t="s">
        <v>1</v>
      </c>
      <c r="F801" s="4" t="s">
        <v>17</v>
      </c>
    </row>
    <row r="802" spans="1:6" x14ac:dyDescent="0.25">
      <c r="A802" t="s">
        <v>1038</v>
      </c>
      <c r="B802" s="13">
        <f t="shared" si="15"/>
        <v>10</v>
      </c>
      <c r="C802" s="3" t="s">
        <v>77</v>
      </c>
      <c r="D802" s="7">
        <v>6.9444444444444441E-3</v>
      </c>
      <c r="E802" s="4" t="s">
        <v>1</v>
      </c>
      <c r="F802" s="8" t="s">
        <v>7</v>
      </c>
    </row>
    <row r="803" spans="1:6" x14ac:dyDescent="0.25">
      <c r="A803" t="s">
        <v>1038</v>
      </c>
      <c r="B803" s="13">
        <f t="shared" si="15"/>
        <v>10</v>
      </c>
      <c r="C803" s="3" t="s">
        <v>78</v>
      </c>
      <c r="D803" s="7">
        <v>6.9444444444444441E-3</v>
      </c>
      <c r="E803" s="4" t="s">
        <v>1</v>
      </c>
      <c r="F803" s="8" t="s">
        <v>7</v>
      </c>
    </row>
    <row r="804" spans="1:6" x14ac:dyDescent="0.25">
      <c r="A804" t="s">
        <v>1038</v>
      </c>
      <c r="B804" s="13">
        <f t="shared" si="15"/>
        <v>0</v>
      </c>
      <c r="C804" s="3" t="s">
        <v>79</v>
      </c>
      <c r="D804" s="3"/>
      <c r="E804" s="4" t="s">
        <v>1</v>
      </c>
      <c r="F804" s="4" t="s">
        <v>17</v>
      </c>
    </row>
    <row r="805" spans="1:6" x14ac:dyDescent="0.25">
      <c r="A805" t="s">
        <v>1038</v>
      </c>
      <c r="B805" s="13">
        <f t="shared" si="15"/>
        <v>50</v>
      </c>
      <c r="C805" s="17" t="s">
        <v>80</v>
      </c>
      <c r="D805" s="19">
        <v>3.4722222222222224E-2</v>
      </c>
      <c r="E805" s="21" t="s">
        <v>1</v>
      </c>
      <c r="F805" s="5" t="s">
        <v>779</v>
      </c>
    </row>
    <row r="806" spans="1:6" x14ac:dyDescent="0.25">
      <c r="A806" t="s">
        <v>1038</v>
      </c>
      <c r="B806" s="13">
        <f t="shared" si="15"/>
        <v>0</v>
      </c>
      <c r="C806" s="18"/>
      <c r="D806" s="20"/>
      <c r="E806" s="22"/>
      <c r="F806" s="6" t="s">
        <v>780</v>
      </c>
    </row>
    <row r="807" spans="1:6" x14ac:dyDescent="0.25">
      <c r="A807" t="s">
        <v>1038</v>
      </c>
      <c r="B807" s="13">
        <f t="shared" si="15"/>
        <v>0</v>
      </c>
      <c r="C807" s="3" t="s">
        <v>82</v>
      </c>
      <c r="D807" s="3"/>
      <c r="E807" s="4" t="s">
        <v>1</v>
      </c>
      <c r="F807" s="4" t="s">
        <v>17</v>
      </c>
    </row>
    <row r="808" spans="1:6" x14ac:dyDescent="0.25">
      <c r="A808" t="s">
        <v>1038</v>
      </c>
      <c r="B808" s="13">
        <f t="shared" si="15"/>
        <v>0</v>
      </c>
      <c r="C808" s="3" t="s">
        <v>83</v>
      </c>
      <c r="D808" s="3"/>
      <c r="E808" s="4" t="s">
        <v>1</v>
      </c>
      <c r="F808" s="4" t="s">
        <v>17</v>
      </c>
    </row>
    <row r="809" spans="1:6" x14ac:dyDescent="0.25">
      <c r="A809" t="s">
        <v>1038</v>
      </c>
      <c r="B809" s="13">
        <f t="shared" si="15"/>
        <v>0</v>
      </c>
      <c r="C809" s="17" t="s">
        <v>84</v>
      </c>
      <c r="D809" s="17"/>
      <c r="E809" s="21" t="s">
        <v>1</v>
      </c>
      <c r="F809" s="1" t="s">
        <v>2</v>
      </c>
    </row>
    <row r="810" spans="1:6" x14ac:dyDescent="0.25">
      <c r="A810" t="s">
        <v>1038</v>
      </c>
      <c r="B810" s="13">
        <f t="shared" si="15"/>
        <v>0</v>
      </c>
      <c r="C810" s="18"/>
      <c r="D810" s="18"/>
      <c r="E810" s="22"/>
      <c r="F810" s="2" t="s">
        <v>10</v>
      </c>
    </row>
    <row r="811" spans="1:6" x14ac:dyDescent="0.25">
      <c r="A811" t="s">
        <v>1038</v>
      </c>
      <c r="B811" s="13">
        <f t="shared" si="15"/>
        <v>232.00000000000003</v>
      </c>
      <c r="C811" s="17" t="s">
        <v>86</v>
      </c>
      <c r="D811" s="19">
        <v>0.16111111111111112</v>
      </c>
      <c r="E811" s="21" t="s">
        <v>1</v>
      </c>
      <c r="F811" s="5" t="s">
        <v>781</v>
      </c>
    </row>
    <row r="812" spans="1:6" x14ac:dyDescent="0.25">
      <c r="A812" t="s">
        <v>1038</v>
      </c>
      <c r="B812" s="13">
        <f t="shared" si="15"/>
        <v>0</v>
      </c>
      <c r="C812" s="18"/>
      <c r="D812" s="20"/>
      <c r="E812" s="22"/>
      <c r="F812" s="6" t="s">
        <v>782</v>
      </c>
    </row>
    <row r="813" spans="1:6" x14ac:dyDescent="0.25">
      <c r="A813" t="s">
        <v>1038</v>
      </c>
      <c r="B813" s="13">
        <f t="shared" si="15"/>
        <v>0</v>
      </c>
      <c r="C813" s="3" t="s">
        <v>88</v>
      </c>
      <c r="D813" s="3"/>
      <c r="E813" s="4" t="s">
        <v>1</v>
      </c>
      <c r="F813" s="4" t="s">
        <v>17</v>
      </c>
    </row>
    <row r="814" spans="1:6" x14ac:dyDescent="0.25">
      <c r="A814" t="s">
        <v>1038</v>
      </c>
      <c r="B814" s="13">
        <f t="shared" si="15"/>
        <v>20</v>
      </c>
      <c r="C814" s="17" t="s">
        <v>91</v>
      </c>
      <c r="D814" s="19">
        <v>1.3888888888888888E-2</v>
      </c>
      <c r="E814" s="21" t="s">
        <v>1</v>
      </c>
      <c r="F814" s="5" t="s">
        <v>136</v>
      </c>
    </row>
    <row r="815" spans="1:6" x14ac:dyDescent="0.25">
      <c r="A815" t="s">
        <v>1038</v>
      </c>
      <c r="B815" s="13">
        <f t="shared" si="15"/>
        <v>0</v>
      </c>
      <c r="C815" s="18"/>
      <c r="D815" s="20"/>
      <c r="E815" s="22"/>
      <c r="F815" s="6" t="s">
        <v>64</v>
      </c>
    </row>
    <row r="816" spans="1:6" x14ac:dyDescent="0.25">
      <c r="A816" t="s">
        <v>1038</v>
      </c>
      <c r="B816" s="13">
        <f t="shared" si="15"/>
        <v>30</v>
      </c>
      <c r="C816" s="17" t="s">
        <v>92</v>
      </c>
      <c r="D816" s="19">
        <v>2.0833333333333332E-2</v>
      </c>
      <c r="E816" s="21" t="s">
        <v>1</v>
      </c>
      <c r="F816" s="5" t="s">
        <v>157</v>
      </c>
    </row>
    <row r="817" spans="1:6" x14ac:dyDescent="0.25">
      <c r="A817" t="s">
        <v>1038</v>
      </c>
      <c r="B817" s="13">
        <f t="shared" si="15"/>
        <v>0</v>
      </c>
      <c r="C817" s="18"/>
      <c r="D817" s="20"/>
      <c r="E817" s="22"/>
      <c r="F817" s="6" t="s">
        <v>783</v>
      </c>
    </row>
    <row r="818" spans="1:6" x14ac:dyDescent="0.25">
      <c r="A818" t="s">
        <v>1038</v>
      </c>
      <c r="B818" s="13">
        <f t="shared" si="15"/>
        <v>10</v>
      </c>
      <c r="C818" s="3" t="s">
        <v>93</v>
      </c>
      <c r="D818" s="7">
        <v>6.9444444444444441E-3</v>
      </c>
      <c r="E818" s="4" t="s">
        <v>1</v>
      </c>
      <c r="F818" s="8" t="s">
        <v>7</v>
      </c>
    </row>
    <row r="819" spans="1:6" x14ac:dyDescent="0.25">
      <c r="A819" t="s">
        <v>1038</v>
      </c>
      <c r="B819" s="13">
        <f t="shared" si="15"/>
        <v>96</v>
      </c>
      <c r="C819" s="17" t="s">
        <v>94</v>
      </c>
      <c r="D819" s="19">
        <v>6.6666666666666666E-2</v>
      </c>
      <c r="E819" s="21" t="s">
        <v>1</v>
      </c>
      <c r="F819" s="5" t="s">
        <v>204</v>
      </c>
    </row>
    <row r="820" spans="1:6" x14ac:dyDescent="0.25">
      <c r="A820" t="s">
        <v>1038</v>
      </c>
      <c r="B820" s="13">
        <f t="shared" si="15"/>
        <v>0</v>
      </c>
      <c r="C820" s="18"/>
      <c r="D820" s="20"/>
      <c r="E820" s="22"/>
      <c r="F820" s="6" t="s">
        <v>784</v>
      </c>
    </row>
    <row r="821" spans="1:6" x14ac:dyDescent="0.25">
      <c r="A821" t="s">
        <v>1038</v>
      </c>
      <c r="B821" s="13">
        <f t="shared" si="15"/>
        <v>0</v>
      </c>
      <c r="C821" s="3" t="s">
        <v>96</v>
      </c>
      <c r="D821" s="3"/>
      <c r="E821" s="4" t="s">
        <v>1</v>
      </c>
      <c r="F821" s="4" t="s">
        <v>17</v>
      </c>
    </row>
    <row r="822" spans="1:6" x14ac:dyDescent="0.25">
      <c r="A822" t="s">
        <v>1038</v>
      </c>
      <c r="B822" s="13">
        <f t="shared" si="15"/>
        <v>60</v>
      </c>
      <c r="C822" s="17" t="s">
        <v>97</v>
      </c>
      <c r="D822" s="19">
        <v>4.1666666666666664E-2</v>
      </c>
      <c r="E822" s="21" t="s">
        <v>1</v>
      </c>
      <c r="F822" s="5" t="s">
        <v>785</v>
      </c>
    </row>
    <row r="823" spans="1:6" x14ac:dyDescent="0.25">
      <c r="A823" t="s">
        <v>1038</v>
      </c>
      <c r="B823" s="13">
        <f t="shared" si="15"/>
        <v>0</v>
      </c>
      <c r="C823" s="18"/>
      <c r="D823" s="20"/>
      <c r="E823" s="22"/>
      <c r="F823" s="6" t="s">
        <v>786</v>
      </c>
    </row>
    <row r="824" spans="1:6" x14ac:dyDescent="0.25">
      <c r="A824" t="s">
        <v>1038</v>
      </c>
      <c r="B824" s="13">
        <f t="shared" si="15"/>
        <v>0</v>
      </c>
      <c r="C824" s="3" t="s">
        <v>99</v>
      </c>
      <c r="D824" s="3"/>
      <c r="E824" s="4" t="s">
        <v>1</v>
      </c>
      <c r="F824" s="4" t="s">
        <v>17</v>
      </c>
    </row>
    <row r="825" spans="1:6" x14ac:dyDescent="0.25">
      <c r="A825" t="s">
        <v>1038</v>
      </c>
      <c r="B825" s="13">
        <f t="shared" si="15"/>
        <v>10</v>
      </c>
      <c r="C825" s="3" t="s">
        <v>101</v>
      </c>
      <c r="D825" s="7">
        <v>6.9444444444444441E-3</v>
      </c>
      <c r="E825" s="4" t="s">
        <v>1</v>
      </c>
      <c r="F825" s="8" t="s">
        <v>7</v>
      </c>
    </row>
    <row r="826" spans="1:6" x14ac:dyDescent="0.25">
      <c r="A826" t="s">
        <v>1038</v>
      </c>
      <c r="B826" s="13">
        <f t="shared" si="15"/>
        <v>0</v>
      </c>
      <c r="C826" s="3" t="s">
        <v>102</v>
      </c>
      <c r="D826" s="3"/>
      <c r="E826" s="4" t="s">
        <v>1</v>
      </c>
      <c r="F826" s="4" t="s">
        <v>17</v>
      </c>
    </row>
    <row r="827" spans="1:6" x14ac:dyDescent="0.25">
      <c r="A827" t="s">
        <v>1038</v>
      </c>
      <c r="B827" s="13">
        <f t="shared" si="15"/>
        <v>91</v>
      </c>
      <c r="C827" s="17" t="s">
        <v>103</v>
      </c>
      <c r="D827" s="19">
        <v>6.3194444444444442E-2</v>
      </c>
      <c r="E827" s="21" t="s">
        <v>1</v>
      </c>
      <c r="F827" s="5" t="s">
        <v>591</v>
      </c>
    </row>
    <row r="828" spans="1:6" x14ac:dyDescent="0.25">
      <c r="A828" t="s">
        <v>1038</v>
      </c>
      <c r="B828" s="13">
        <f t="shared" si="15"/>
        <v>0</v>
      </c>
      <c r="C828" s="18"/>
      <c r="D828" s="20"/>
      <c r="E828" s="22"/>
      <c r="F828" s="6" t="s">
        <v>787</v>
      </c>
    </row>
    <row r="829" spans="1:6" x14ac:dyDescent="0.25">
      <c r="A829" t="s">
        <v>1038</v>
      </c>
      <c r="B829" s="13">
        <f t="shared" si="15"/>
        <v>0</v>
      </c>
      <c r="C829" s="3" t="s">
        <v>104</v>
      </c>
      <c r="D829" s="3"/>
      <c r="E829" s="4" t="s">
        <v>1</v>
      </c>
      <c r="F829" s="4" t="s">
        <v>17</v>
      </c>
    </row>
    <row r="830" spans="1:6" x14ac:dyDescent="0.25">
      <c r="A830" t="s">
        <v>1038</v>
      </c>
      <c r="B830" s="13">
        <f t="shared" si="15"/>
        <v>10</v>
      </c>
      <c r="C830" s="3" t="s">
        <v>105</v>
      </c>
      <c r="D830" s="7">
        <v>6.9444444444444441E-3</v>
      </c>
      <c r="E830" s="4" t="s">
        <v>1</v>
      </c>
      <c r="F830" s="8" t="s">
        <v>7</v>
      </c>
    </row>
    <row r="831" spans="1:6" x14ac:dyDescent="0.25">
      <c r="A831" t="s">
        <v>1038</v>
      </c>
      <c r="B831" s="13">
        <f t="shared" si="15"/>
        <v>153</v>
      </c>
      <c r="C831" s="17" t="s">
        <v>106</v>
      </c>
      <c r="D831" s="19">
        <v>0.10625</v>
      </c>
      <c r="E831" s="21" t="s">
        <v>1</v>
      </c>
      <c r="F831" s="5" t="s">
        <v>788</v>
      </c>
    </row>
    <row r="832" spans="1:6" x14ac:dyDescent="0.25">
      <c r="A832" t="s">
        <v>1038</v>
      </c>
      <c r="B832" s="13">
        <f t="shared" si="15"/>
        <v>0</v>
      </c>
      <c r="C832" s="18"/>
      <c r="D832" s="20"/>
      <c r="E832" s="22"/>
      <c r="F832" s="6" t="s">
        <v>789</v>
      </c>
    </row>
    <row r="833" spans="1:6" x14ac:dyDescent="0.25">
      <c r="A833" t="s">
        <v>1038</v>
      </c>
      <c r="B833" s="13">
        <f t="shared" si="15"/>
        <v>65.999999999999986</v>
      </c>
      <c r="C833" s="17" t="s">
        <v>108</v>
      </c>
      <c r="D833" s="19">
        <v>4.583333333333333E-2</v>
      </c>
      <c r="E833" s="21" t="s">
        <v>1</v>
      </c>
      <c r="F833" s="5" t="s">
        <v>187</v>
      </c>
    </row>
    <row r="834" spans="1:6" x14ac:dyDescent="0.25">
      <c r="A834" t="s">
        <v>1038</v>
      </c>
      <c r="B834" s="13">
        <f t="shared" si="15"/>
        <v>0</v>
      </c>
      <c r="C834" s="18"/>
      <c r="D834" s="20"/>
      <c r="E834" s="22"/>
      <c r="F834" s="6" t="s">
        <v>790</v>
      </c>
    </row>
    <row r="835" spans="1:6" x14ac:dyDescent="0.25">
      <c r="A835" t="s">
        <v>1038</v>
      </c>
      <c r="B835" s="13">
        <f t="shared" si="15"/>
        <v>15</v>
      </c>
      <c r="C835" s="17" t="s">
        <v>110</v>
      </c>
      <c r="D835" s="19">
        <v>1.0416666666666666E-2</v>
      </c>
      <c r="E835" s="21" t="s">
        <v>1</v>
      </c>
      <c r="F835" s="5" t="s">
        <v>115</v>
      </c>
    </row>
    <row r="836" spans="1:6" x14ac:dyDescent="0.25">
      <c r="A836" t="s">
        <v>1038</v>
      </c>
      <c r="B836" s="13">
        <f t="shared" si="15"/>
        <v>0</v>
      </c>
      <c r="C836" s="18"/>
      <c r="D836" s="20"/>
      <c r="E836" s="22"/>
      <c r="F836" s="6" t="s">
        <v>116</v>
      </c>
    </row>
    <row r="837" spans="1:6" x14ac:dyDescent="0.25">
      <c r="A837" t="s">
        <v>1038</v>
      </c>
      <c r="B837" s="13">
        <f t="shared" si="15"/>
        <v>40</v>
      </c>
      <c r="C837" s="17" t="s">
        <v>112</v>
      </c>
      <c r="D837" s="19">
        <v>2.7777777777777776E-2</v>
      </c>
      <c r="E837" s="21" t="s">
        <v>1</v>
      </c>
      <c r="F837" s="5" t="s">
        <v>460</v>
      </c>
    </row>
    <row r="838" spans="1:6" x14ac:dyDescent="0.25">
      <c r="A838" t="s">
        <v>1038</v>
      </c>
      <c r="B838" s="13">
        <f t="shared" si="15"/>
        <v>0</v>
      </c>
      <c r="C838" s="18"/>
      <c r="D838" s="20"/>
      <c r="E838" s="22"/>
      <c r="F838" s="6" t="s">
        <v>560</v>
      </c>
    </row>
    <row r="839" spans="1:6" x14ac:dyDescent="0.25">
      <c r="A839" t="s">
        <v>1038</v>
      </c>
      <c r="B839" s="13">
        <f t="shared" si="15"/>
        <v>10</v>
      </c>
      <c r="C839" s="17" t="s">
        <v>114</v>
      </c>
      <c r="D839" s="19">
        <v>6.9444444444444441E-3</v>
      </c>
      <c r="E839" s="21" t="s">
        <v>1</v>
      </c>
      <c r="F839" s="5" t="s">
        <v>7</v>
      </c>
    </row>
    <row r="840" spans="1:6" x14ac:dyDescent="0.25">
      <c r="A840" t="s">
        <v>1038</v>
      </c>
      <c r="B840" s="13">
        <f t="shared" si="15"/>
        <v>0</v>
      </c>
      <c r="C840" s="18"/>
      <c r="D840" s="20"/>
      <c r="E840" s="22"/>
      <c r="F840" s="6" t="s">
        <v>584</v>
      </c>
    </row>
    <row r="841" spans="1:6" x14ac:dyDescent="0.25">
      <c r="A841" t="s">
        <v>1038</v>
      </c>
      <c r="B841" s="13">
        <f t="shared" si="15"/>
        <v>10</v>
      </c>
      <c r="C841" s="17" t="s">
        <v>117</v>
      </c>
      <c r="D841" s="19">
        <v>6.9444444444444441E-3</v>
      </c>
      <c r="E841" s="21" t="s">
        <v>1</v>
      </c>
      <c r="F841" s="5" t="s">
        <v>7</v>
      </c>
    </row>
    <row r="842" spans="1:6" x14ac:dyDescent="0.25">
      <c r="A842" t="s">
        <v>1038</v>
      </c>
      <c r="B842" s="13">
        <f t="shared" si="15"/>
        <v>0</v>
      </c>
      <c r="C842" s="18"/>
      <c r="D842" s="20"/>
      <c r="E842" s="22"/>
      <c r="F842" s="6" t="s">
        <v>8</v>
      </c>
    </row>
    <row r="843" spans="1:6" x14ac:dyDescent="0.25">
      <c r="A843" t="s">
        <v>1038</v>
      </c>
      <c r="B843" s="13">
        <f t="shared" si="15"/>
        <v>267</v>
      </c>
      <c r="C843" s="17" t="s">
        <v>118</v>
      </c>
      <c r="D843" s="19">
        <v>0.18541666666666667</v>
      </c>
      <c r="E843" s="21" t="s">
        <v>1</v>
      </c>
      <c r="F843" s="5" t="s">
        <v>791</v>
      </c>
    </row>
    <row r="844" spans="1:6" x14ac:dyDescent="0.25">
      <c r="A844" t="s">
        <v>1038</v>
      </c>
      <c r="B844" s="13">
        <f t="shared" si="15"/>
        <v>0</v>
      </c>
      <c r="C844" s="18"/>
      <c r="D844" s="20"/>
      <c r="E844" s="22"/>
      <c r="F844" s="6" t="s">
        <v>792</v>
      </c>
    </row>
    <row r="845" spans="1:6" x14ac:dyDescent="0.25">
      <c r="A845" t="s">
        <v>1038</v>
      </c>
      <c r="B845" s="13">
        <f t="shared" si="15"/>
        <v>0</v>
      </c>
      <c r="C845" s="3" t="s">
        <v>120</v>
      </c>
      <c r="D845" s="3"/>
      <c r="E845" s="4" t="s">
        <v>1</v>
      </c>
      <c r="F845" s="4" t="s">
        <v>17</v>
      </c>
    </row>
    <row r="846" spans="1:6" x14ac:dyDescent="0.25">
      <c r="A846" t="s">
        <v>1038</v>
      </c>
      <c r="B846" s="13">
        <f t="shared" si="15"/>
        <v>25.999999999999996</v>
      </c>
      <c r="C846" s="17" t="s">
        <v>793</v>
      </c>
      <c r="D846" s="19">
        <v>1.8055555555555554E-2</v>
      </c>
      <c r="E846" s="21" t="s">
        <v>1</v>
      </c>
      <c r="F846" s="5" t="s">
        <v>306</v>
      </c>
    </row>
    <row r="847" spans="1:6" x14ac:dyDescent="0.25">
      <c r="A847" t="s">
        <v>1038</v>
      </c>
      <c r="B847" s="13">
        <f t="shared" si="15"/>
        <v>0</v>
      </c>
      <c r="C847" s="18"/>
      <c r="D847" s="20"/>
      <c r="E847" s="22"/>
      <c r="F847" s="6" t="s">
        <v>794</v>
      </c>
    </row>
    <row r="848" spans="1:6" x14ac:dyDescent="0.25">
      <c r="A848" t="s">
        <v>1038</v>
      </c>
      <c r="B848" s="13">
        <f t="shared" si="15"/>
        <v>0</v>
      </c>
      <c r="C848" s="3" t="s">
        <v>122</v>
      </c>
      <c r="D848" s="3"/>
      <c r="E848" s="4" t="s">
        <v>1</v>
      </c>
      <c r="F848" s="4" t="s">
        <v>17</v>
      </c>
    </row>
    <row r="849" spans="1:6" x14ac:dyDescent="0.25">
      <c r="A849" t="s">
        <v>1038</v>
      </c>
      <c r="B849" s="13">
        <f t="shared" si="15"/>
        <v>10</v>
      </c>
      <c r="C849" s="3" t="s">
        <v>795</v>
      </c>
      <c r="D849" s="7">
        <v>6.9444444444444441E-3</v>
      </c>
      <c r="E849" s="4" t="s">
        <v>1</v>
      </c>
      <c r="F849" s="8" t="s">
        <v>7</v>
      </c>
    </row>
    <row r="850" spans="1:6" x14ac:dyDescent="0.25">
      <c r="A850" t="s">
        <v>1038</v>
      </c>
      <c r="B850" s="13">
        <f t="shared" si="15"/>
        <v>10</v>
      </c>
      <c r="C850" s="17" t="s">
        <v>123</v>
      </c>
      <c r="D850" s="19">
        <v>6.9444444444444441E-3</v>
      </c>
      <c r="E850" s="21" t="s">
        <v>1</v>
      </c>
      <c r="F850" s="5" t="s">
        <v>7</v>
      </c>
    </row>
    <row r="851" spans="1:6" x14ac:dyDescent="0.25">
      <c r="A851" t="s">
        <v>1038</v>
      </c>
      <c r="B851" s="13">
        <f t="shared" si="15"/>
        <v>0</v>
      </c>
      <c r="C851" s="18"/>
      <c r="D851" s="20"/>
      <c r="E851" s="22"/>
      <c r="F851" s="6" t="s">
        <v>8</v>
      </c>
    </row>
    <row r="852" spans="1:6" x14ac:dyDescent="0.25">
      <c r="A852" t="s">
        <v>1038</v>
      </c>
      <c r="B852" s="13">
        <f t="shared" si="15"/>
        <v>11</v>
      </c>
      <c r="C852" s="17" t="s">
        <v>124</v>
      </c>
      <c r="D852" s="19">
        <v>7.6388888888888886E-3</v>
      </c>
      <c r="E852" s="21" t="s">
        <v>1</v>
      </c>
      <c r="F852" s="5" t="s">
        <v>442</v>
      </c>
    </row>
    <row r="853" spans="1:6" x14ac:dyDescent="0.25">
      <c r="A853" t="s">
        <v>1038</v>
      </c>
      <c r="B853" s="13">
        <f t="shared" si="15"/>
        <v>0</v>
      </c>
      <c r="C853" s="18"/>
      <c r="D853" s="20"/>
      <c r="E853" s="22"/>
      <c r="F853" s="6" t="s">
        <v>443</v>
      </c>
    </row>
    <row r="854" spans="1:6" x14ac:dyDescent="0.25">
      <c r="A854" t="s">
        <v>1038</v>
      </c>
      <c r="B854" s="13">
        <f t="shared" si="15"/>
        <v>21</v>
      </c>
      <c r="C854" s="17" t="s">
        <v>125</v>
      </c>
      <c r="D854" s="19">
        <v>1.4583333333333334E-2</v>
      </c>
      <c r="E854" s="21" t="s">
        <v>1</v>
      </c>
      <c r="F854" s="5" t="s">
        <v>349</v>
      </c>
    </row>
    <row r="855" spans="1:6" x14ac:dyDescent="0.25">
      <c r="A855" t="s">
        <v>1038</v>
      </c>
      <c r="B855" s="13">
        <f t="shared" si="15"/>
        <v>0</v>
      </c>
      <c r="C855" s="18"/>
      <c r="D855" s="20"/>
      <c r="E855" s="22"/>
      <c r="F855" s="6" t="s">
        <v>796</v>
      </c>
    </row>
    <row r="856" spans="1:6" x14ac:dyDescent="0.25">
      <c r="A856" t="s">
        <v>1038</v>
      </c>
      <c r="B856" s="13">
        <f t="shared" si="15"/>
        <v>433.99999999999994</v>
      </c>
      <c r="C856" s="17" t="s">
        <v>126</v>
      </c>
      <c r="D856" s="19">
        <v>0.30138888888888887</v>
      </c>
      <c r="E856" s="21" t="s">
        <v>1</v>
      </c>
      <c r="F856" s="5" t="s">
        <v>797</v>
      </c>
    </row>
    <row r="857" spans="1:6" x14ac:dyDescent="0.25">
      <c r="A857" t="s">
        <v>1038</v>
      </c>
      <c r="B857" s="13">
        <f t="shared" si="15"/>
        <v>0</v>
      </c>
      <c r="C857" s="18"/>
      <c r="D857" s="20"/>
      <c r="E857" s="22"/>
      <c r="F857" s="6" t="s">
        <v>798</v>
      </c>
    </row>
    <row r="858" spans="1:6" x14ac:dyDescent="0.25">
      <c r="A858" t="s">
        <v>1038</v>
      </c>
      <c r="B858" s="13">
        <f t="shared" si="15"/>
        <v>81</v>
      </c>
      <c r="C858" s="17" t="s">
        <v>128</v>
      </c>
      <c r="D858" s="19">
        <v>5.6250000000000001E-2</v>
      </c>
      <c r="E858" s="21" t="s">
        <v>1</v>
      </c>
      <c r="F858" s="5" t="s">
        <v>400</v>
      </c>
    </row>
    <row r="859" spans="1:6" x14ac:dyDescent="0.25">
      <c r="A859" t="s">
        <v>1038</v>
      </c>
      <c r="B859" s="13">
        <f t="shared" si="15"/>
        <v>0</v>
      </c>
      <c r="C859" s="18"/>
      <c r="D859" s="20"/>
      <c r="E859" s="22"/>
      <c r="F859" s="6" t="s">
        <v>799</v>
      </c>
    </row>
    <row r="860" spans="1:6" x14ac:dyDescent="0.25">
      <c r="A860" t="s">
        <v>1038</v>
      </c>
      <c r="B860" s="13">
        <f t="shared" si="15"/>
        <v>23</v>
      </c>
      <c r="C860" s="17" t="s">
        <v>129</v>
      </c>
      <c r="D860" s="19">
        <v>1.5972222222222221E-2</v>
      </c>
      <c r="E860" s="21" t="s">
        <v>1</v>
      </c>
      <c r="F860" s="5" t="s">
        <v>284</v>
      </c>
    </row>
    <row r="861" spans="1:6" x14ac:dyDescent="0.25">
      <c r="A861" t="s">
        <v>1038</v>
      </c>
      <c r="B861" s="13">
        <f t="shared" si="15"/>
        <v>0</v>
      </c>
      <c r="C861" s="18"/>
      <c r="D861" s="20"/>
      <c r="E861" s="22"/>
      <c r="F861" s="6" t="s">
        <v>800</v>
      </c>
    </row>
    <row r="862" spans="1:6" x14ac:dyDescent="0.25">
      <c r="A862" t="s">
        <v>1038</v>
      </c>
      <c r="B862" s="13">
        <f t="shared" ref="B862:B925" si="16">D862*24*60</f>
        <v>30.999999999999996</v>
      </c>
      <c r="C862" s="17" t="s">
        <v>131</v>
      </c>
      <c r="D862" s="19">
        <v>2.1527777777777778E-2</v>
      </c>
      <c r="E862" s="21" t="s">
        <v>1</v>
      </c>
      <c r="F862" s="5" t="s">
        <v>132</v>
      </c>
    </row>
    <row r="863" spans="1:6" x14ac:dyDescent="0.25">
      <c r="A863" t="s">
        <v>1038</v>
      </c>
      <c r="B863" s="13">
        <f t="shared" si="16"/>
        <v>0</v>
      </c>
      <c r="C863" s="18"/>
      <c r="D863" s="20"/>
      <c r="E863" s="22"/>
      <c r="F863" s="6" t="s">
        <v>801</v>
      </c>
    </row>
    <row r="864" spans="1:6" x14ac:dyDescent="0.25">
      <c r="A864" t="s">
        <v>1038</v>
      </c>
      <c r="B864" s="13">
        <f t="shared" si="16"/>
        <v>0</v>
      </c>
      <c r="C864" s="3" t="s">
        <v>134</v>
      </c>
      <c r="D864" s="3"/>
      <c r="E864" s="4" t="s">
        <v>1</v>
      </c>
      <c r="F864" s="4" t="s">
        <v>17</v>
      </c>
    </row>
    <row r="865" spans="1:6" x14ac:dyDescent="0.25">
      <c r="A865" t="s">
        <v>1038</v>
      </c>
      <c r="B865" s="13">
        <f t="shared" si="16"/>
        <v>15</v>
      </c>
      <c r="C865" s="17" t="s">
        <v>135</v>
      </c>
      <c r="D865" s="19">
        <v>1.0416666666666666E-2</v>
      </c>
      <c r="E865" s="21" t="s">
        <v>1</v>
      </c>
      <c r="F865" s="5" t="s">
        <v>115</v>
      </c>
    </row>
    <row r="866" spans="1:6" x14ac:dyDescent="0.25">
      <c r="A866" t="s">
        <v>1038</v>
      </c>
      <c r="B866" s="13">
        <f t="shared" si="16"/>
        <v>0</v>
      </c>
      <c r="C866" s="18"/>
      <c r="D866" s="20"/>
      <c r="E866" s="22"/>
      <c r="F866" s="6" t="s">
        <v>116</v>
      </c>
    </row>
    <row r="867" spans="1:6" x14ac:dyDescent="0.25">
      <c r="A867" t="s">
        <v>1038</v>
      </c>
      <c r="B867" s="13">
        <f t="shared" si="16"/>
        <v>26.999999999999996</v>
      </c>
      <c r="C867" s="17" t="s">
        <v>138</v>
      </c>
      <c r="D867" s="19">
        <v>1.8749999999999999E-2</v>
      </c>
      <c r="E867" s="21" t="s">
        <v>1</v>
      </c>
      <c r="F867" s="5" t="s">
        <v>311</v>
      </c>
    </row>
    <row r="868" spans="1:6" x14ac:dyDescent="0.25">
      <c r="A868" t="s">
        <v>1038</v>
      </c>
      <c r="B868" s="13">
        <f t="shared" si="16"/>
        <v>0</v>
      </c>
      <c r="C868" s="18"/>
      <c r="D868" s="20"/>
      <c r="E868" s="22"/>
      <c r="F868" s="6" t="s">
        <v>802</v>
      </c>
    </row>
    <row r="869" spans="1:6" x14ac:dyDescent="0.25">
      <c r="A869" t="s">
        <v>1038</v>
      </c>
      <c r="B869" s="13">
        <f t="shared" si="16"/>
        <v>0</v>
      </c>
      <c r="C869" s="3" t="s">
        <v>140</v>
      </c>
      <c r="D869" s="3"/>
      <c r="E869" s="4" t="s">
        <v>1</v>
      </c>
      <c r="F869" s="4" t="s">
        <v>17</v>
      </c>
    </row>
    <row r="870" spans="1:6" x14ac:dyDescent="0.25">
      <c r="A870" t="s">
        <v>1038</v>
      </c>
      <c r="B870" s="13">
        <f t="shared" si="16"/>
        <v>15</v>
      </c>
      <c r="C870" s="17" t="s">
        <v>141</v>
      </c>
      <c r="D870" s="19">
        <v>1.0416666666666666E-2</v>
      </c>
      <c r="E870" s="21" t="s">
        <v>1</v>
      </c>
      <c r="F870" s="5" t="s">
        <v>115</v>
      </c>
    </row>
    <row r="871" spans="1:6" x14ac:dyDescent="0.25">
      <c r="A871" t="s">
        <v>1038</v>
      </c>
      <c r="B871" s="13">
        <f t="shared" si="16"/>
        <v>0</v>
      </c>
      <c r="C871" s="18"/>
      <c r="D871" s="20"/>
      <c r="E871" s="22"/>
      <c r="F871" s="6" t="s">
        <v>121</v>
      </c>
    </row>
    <row r="872" spans="1:6" x14ac:dyDescent="0.25">
      <c r="A872" t="s">
        <v>1038</v>
      </c>
      <c r="B872" s="13">
        <f t="shared" si="16"/>
        <v>0</v>
      </c>
      <c r="C872" s="3" t="s">
        <v>142</v>
      </c>
      <c r="D872" s="3"/>
      <c r="E872" s="4" t="s">
        <v>1</v>
      </c>
      <c r="F872" s="4" t="s">
        <v>17</v>
      </c>
    </row>
    <row r="873" spans="1:6" x14ac:dyDescent="0.25">
      <c r="A873" t="s">
        <v>1038</v>
      </c>
      <c r="B873" s="13">
        <f t="shared" si="16"/>
        <v>10</v>
      </c>
      <c r="C873" s="17" t="s">
        <v>143</v>
      </c>
      <c r="D873" s="19">
        <v>6.9444444444444441E-3</v>
      </c>
      <c r="E873" s="21" t="s">
        <v>1</v>
      </c>
      <c r="F873" s="5" t="s">
        <v>7</v>
      </c>
    </row>
    <row r="874" spans="1:6" x14ac:dyDescent="0.25">
      <c r="A874" t="s">
        <v>1038</v>
      </c>
      <c r="B874" s="13">
        <f t="shared" si="16"/>
        <v>0</v>
      </c>
      <c r="C874" s="18"/>
      <c r="D874" s="20"/>
      <c r="E874" s="22"/>
      <c r="F874" s="6" t="s">
        <v>8</v>
      </c>
    </row>
    <row r="875" spans="1:6" x14ac:dyDescent="0.25">
      <c r="A875" t="s">
        <v>1038</v>
      </c>
      <c r="B875" s="13">
        <f t="shared" si="16"/>
        <v>0</v>
      </c>
      <c r="C875" s="3" t="s">
        <v>144</v>
      </c>
      <c r="D875" s="3"/>
      <c r="E875" s="4" t="s">
        <v>1</v>
      </c>
      <c r="F875" s="4" t="s">
        <v>25</v>
      </c>
    </row>
    <row r="876" spans="1:6" x14ac:dyDescent="0.25">
      <c r="A876" t="s">
        <v>1038</v>
      </c>
      <c r="B876" s="13">
        <f t="shared" si="16"/>
        <v>10</v>
      </c>
      <c r="C876" s="3" t="s">
        <v>145</v>
      </c>
      <c r="D876" s="7">
        <v>6.9444444444444441E-3</v>
      </c>
      <c r="E876" s="4" t="s">
        <v>1</v>
      </c>
      <c r="F876" s="8" t="s">
        <v>7</v>
      </c>
    </row>
    <row r="877" spans="1:6" x14ac:dyDescent="0.25">
      <c r="A877" t="s">
        <v>1038</v>
      </c>
      <c r="B877" s="13">
        <f t="shared" si="16"/>
        <v>10</v>
      </c>
      <c r="C877" s="3" t="s">
        <v>146</v>
      </c>
      <c r="D877" s="7">
        <v>6.9444444444444441E-3</v>
      </c>
      <c r="E877" s="4" t="s">
        <v>1</v>
      </c>
      <c r="F877" s="8" t="s">
        <v>7</v>
      </c>
    </row>
    <row r="878" spans="1:6" x14ac:dyDescent="0.25">
      <c r="A878" t="s">
        <v>1038</v>
      </c>
      <c r="B878" s="13">
        <f t="shared" si="16"/>
        <v>10</v>
      </c>
      <c r="C878" s="3" t="s">
        <v>147</v>
      </c>
      <c r="D878" s="7">
        <v>6.9444444444444441E-3</v>
      </c>
      <c r="E878" s="4" t="s">
        <v>1</v>
      </c>
      <c r="F878" s="8" t="s">
        <v>7</v>
      </c>
    </row>
    <row r="879" spans="1:6" x14ac:dyDescent="0.25">
      <c r="A879" t="s">
        <v>1038</v>
      </c>
      <c r="B879" s="13">
        <f t="shared" si="16"/>
        <v>116.00000000000001</v>
      </c>
      <c r="C879" s="17" t="s">
        <v>148</v>
      </c>
      <c r="D879" s="19">
        <v>8.0555555555555561E-2</v>
      </c>
      <c r="E879" s="21" t="s">
        <v>1</v>
      </c>
      <c r="F879" s="5" t="s">
        <v>803</v>
      </c>
    </row>
    <row r="880" spans="1:6" x14ac:dyDescent="0.25">
      <c r="A880" t="s">
        <v>1038</v>
      </c>
      <c r="B880" s="13">
        <f t="shared" si="16"/>
        <v>0</v>
      </c>
      <c r="C880" s="18"/>
      <c r="D880" s="20"/>
      <c r="E880" s="22"/>
      <c r="F880" s="6" t="s">
        <v>804</v>
      </c>
    </row>
    <row r="881" spans="1:6" x14ac:dyDescent="0.25">
      <c r="A881" t="s">
        <v>1038</v>
      </c>
      <c r="B881" s="13">
        <f t="shared" si="16"/>
        <v>0</v>
      </c>
      <c r="C881" s="3" t="s">
        <v>150</v>
      </c>
      <c r="D881" s="3"/>
      <c r="E881" s="4" t="s">
        <v>1</v>
      </c>
      <c r="F881" s="4" t="s">
        <v>17</v>
      </c>
    </row>
    <row r="882" spans="1:6" x14ac:dyDescent="0.25">
      <c r="A882" t="s">
        <v>1038</v>
      </c>
      <c r="B882" s="13">
        <f t="shared" si="16"/>
        <v>20</v>
      </c>
      <c r="C882" s="17" t="s">
        <v>151</v>
      </c>
      <c r="D882" s="19">
        <v>1.3888888888888888E-2</v>
      </c>
      <c r="E882" s="21" t="s">
        <v>1</v>
      </c>
      <c r="F882" s="5" t="s">
        <v>136</v>
      </c>
    </row>
    <row r="883" spans="1:6" x14ac:dyDescent="0.25">
      <c r="A883" t="s">
        <v>1038</v>
      </c>
      <c r="B883" s="13">
        <f t="shared" si="16"/>
        <v>0</v>
      </c>
      <c r="C883" s="18"/>
      <c r="D883" s="20"/>
      <c r="E883" s="22"/>
      <c r="F883" s="6" t="s">
        <v>504</v>
      </c>
    </row>
    <row r="884" spans="1:6" x14ac:dyDescent="0.25">
      <c r="A884" t="s">
        <v>1038</v>
      </c>
      <c r="B884" s="13">
        <f t="shared" si="16"/>
        <v>16</v>
      </c>
      <c r="C884" s="17" t="s">
        <v>152</v>
      </c>
      <c r="D884" s="19">
        <v>1.1111111111111112E-2</v>
      </c>
      <c r="E884" s="21" t="s">
        <v>1</v>
      </c>
      <c r="F884" s="5" t="s">
        <v>326</v>
      </c>
    </row>
    <row r="885" spans="1:6" x14ac:dyDescent="0.25">
      <c r="A885" t="s">
        <v>1038</v>
      </c>
      <c r="B885" s="13">
        <f t="shared" si="16"/>
        <v>0</v>
      </c>
      <c r="C885" s="18"/>
      <c r="D885" s="20"/>
      <c r="E885" s="22"/>
      <c r="F885" s="6" t="s">
        <v>327</v>
      </c>
    </row>
    <row r="886" spans="1:6" x14ac:dyDescent="0.25">
      <c r="A886" t="s">
        <v>1038</v>
      </c>
      <c r="B886" s="13">
        <f t="shared" si="16"/>
        <v>0</v>
      </c>
      <c r="C886" s="3" t="s">
        <v>154</v>
      </c>
      <c r="D886" s="3"/>
      <c r="E886" s="4" t="s">
        <v>1</v>
      </c>
      <c r="F886" s="3" t="s">
        <v>805</v>
      </c>
    </row>
    <row r="887" spans="1:6" x14ac:dyDescent="0.25">
      <c r="A887" t="s">
        <v>1038</v>
      </c>
      <c r="B887" s="13">
        <f t="shared" si="16"/>
        <v>10</v>
      </c>
      <c r="C887" s="3" t="s">
        <v>155</v>
      </c>
      <c r="D887" s="7">
        <v>6.9444444444444441E-3</v>
      </c>
      <c r="E887" s="4" t="s">
        <v>1</v>
      </c>
      <c r="F887" s="8" t="s">
        <v>7</v>
      </c>
    </row>
    <row r="888" spans="1:6" x14ac:dyDescent="0.25">
      <c r="A888" t="s">
        <v>1038</v>
      </c>
      <c r="B888" s="13">
        <f t="shared" si="16"/>
        <v>26.999999999999996</v>
      </c>
      <c r="C888" s="17" t="s">
        <v>156</v>
      </c>
      <c r="D888" s="19">
        <v>1.8749999999999999E-2</v>
      </c>
      <c r="E888" s="21" t="s">
        <v>1</v>
      </c>
      <c r="F888" s="5" t="s">
        <v>311</v>
      </c>
    </row>
    <row r="889" spans="1:6" x14ac:dyDescent="0.25">
      <c r="A889" t="s">
        <v>1038</v>
      </c>
      <c r="B889" s="13">
        <f t="shared" si="16"/>
        <v>0</v>
      </c>
      <c r="C889" s="18"/>
      <c r="D889" s="20"/>
      <c r="E889" s="22"/>
      <c r="F889" s="6" t="s">
        <v>806</v>
      </c>
    </row>
    <row r="890" spans="1:6" x14ac:dyDescent="0.25">
      <c r="A890" t="s">
        <v>1038</v>
      </c>
      <c r="B890" s="13">
        <f t="shared" si="16"/>
        <v>20</v>
      </c>
      <c r="C890" s="17" t="s">
        <v>807</v>
      </c>
      <c r="D890" s="19">
        <v>1.3888888888888888E-2</v>
      </c>
      <c r="E890" s="21" t="s">
        <v>1</v>
      </c>
      <c r="F890" s="5" t="s">
        <v>136</v>
      </c>
    </row>
    <row r="891" spans="1:6" x14ac:dyDescent="0.25">
      <c r="A891" t="s">
        <v>1038</v>
      </c>
      <c r="B891" s="13">
        <f t="shared" si="16"/>
        <v>0</v>
      </c>
      <c r="C891" s="18"/>
      <c r="D891" s="20"/>
      <c r="E891" s="22"/>
      <c r="F891" s="6" t="s">
        <v>64</v>
      </c>
    </row>
    <row r="892" spans="1:6" x14ac:dyDescent="0.25">
      <c r="A892" t="s">
        <v>1038</v>
      </c>
      <c r="B892" s="13">
        <f t="shared" si="16"/>
        <v>20</v>
      </c>
      <c r="C892" s="17" t="s">
        <v>161</v>
      </c>
      <c r="D892" s="19">
        <v>1.3888888888888888E-2</v>
      </c>
      <c r="E892" s="21" t="s">
        <v>1</v>
      </c>
      <c r="F892" s="5" t="s">
        <v>136</v>
      </c>
    </row>
    <row r="893" spans="1:6" x14ac:dyDescent="0.25">
      <c r="A893" t="s">
        <v>1038</v>
      </c>
      <c r="B893" s="13">
        <f t="shared" si="16"/>
        <v>0</v>
      </c>
      <c r="C893" s="18"/>
      <c r="D893" s="20"/>
      <c r="E893" s="22"/>
      <c r="F893" s="6" t="s">
        <v>64</v>
      </c>
    </row>
    <row r="894" spans="1:6" x14ac:dyDescent="0.25">
      <c r="A894" t="s">
        <v>1038</v>
      </c>
      <c r="B894" s="13">
        <f t="shared" si="16"/>
        <v>10</v>
      </c>
      <c r="C894" s="3" t="s">
        <v>808</v>
      </c>
      <c r="D894" s="7">
        <v>6.9444444444444441E-3</v>
      </c>
      <c r="E894" s="4" t="s">
        <v>1</v>
      </c>
      <c r="F894" s="8" t="s">
        <v>7</v>
      </c>
    </row>
    <row r="895" spans="1:6" x14ac:dyDescent="0.25">
      <c r="A895" t="s">
        <v>1038</v>
      </c>
      <c r="B895" s="13">
        <f t="shared" si="16"/>
        <v>10</v>
      </c>
      <c r="C895" s="17" t="s">
        <v>164</v>
      </c>
      <c r="D895" s="19">
        <v>6.9444444444444441E-3</v>
      </c>
      <c r="E895" s="21" t="s">
        <v>1</v>
      </c>
      <c r="F895" s="5" t="s">
        <v>7</v>
      </c>
    </row>
    <row r="896" spans="1:6" x14ac:dyDescent="0.25">
      <c r="A896" t="s">
        <v>1038</v>
      </c>
      <c r="B896" s="13">
        <f t="shared" si="16"/>
        <v>0</v>
      </c>
      <c r="C896" s="18"/>
      <c r="D896" s="20"/>
      <c r="E896" s="22"/>
      <c r="F896" s="6" t="s">
        <v>8</v>
      </c>
    </row>
    <row r="897" spans="1:6" x14ac:dyDescent="0.25">
      <c r="A897" t="s">
        <v>1038</v>
      </c>
      <c r="B897" s="13">
        <f t="shared" si="16"/>
        <v>148</v>
      </c>
      <c r="C897" s="17" t="s">
        <v>809</v>
      </c>
      <c r="D897" s="19">
        <v>0.10277777777777777</v>
      </c>
      <c r="E897" s="21" t="s">
        <v>1</v>
      </c>
      <c r="F897" s="5" t="s">
        <v>810</v>
      </c>
    </row>
    <row r="898" spans="1:6" x14ac:dyDescent="0.25">
      <c r="A898" t="s">
        <v>1038</v>
      </c>
      <c r="B898" s="13">
        <f t="shared" si="16"/>
        <v>0</v>
      </c>
      <c r="C898" s="18"/>
      <c r="D898" s="20"/>
      <c r="E898" s="22"/>
      <c r="F898" s="6" t="s">
        <v>811</v>
      </c>
    </row>
    <row r="899" spans="1:6" x14ac:dyDescent="0.25">
      <c r="A899" t="s">
        <v>1038</v>
      </c>
      <c r="B899" s="13">
        <f t="shared" si="16"/>
        <v>10</v>
      </c>
      <c r="C899" s="3" t="s">
        <v>165</v>
      </c>
      <c r="D899" s="7">
        <v>6.9444444444444441E-3</v>
      </c>
      <c r="E899" s="4" t="s">
        <v>1</v>
      </c>
      <c r="F899" s="8" t="s">
        <v>7</v>
      </c>
    </row>
    <row r="900" spans="1:6" x14ac:dyDescent="0.25">
      <c r="A900" t="s">
        <v>1038</v>
      </c>
      <c r="B900" s="13">
        <f t="shared" si="16"/>
        <v>12</v>
      </c>
      <c r="C900" s="17" t="s">
        <v>168</v>
      </c>
      <c r="D900" s="19">
        <v>8.3333333333333332E-3</v>
      </c>
      <c r="E900" s="21" t="s">
        <v>1</v>
      </c>
      <c r="F900" s="5" t="s">
        <v>463</v>
      </c>
    </row>
    <row r="901" spans="1:6" x14ac:dyDescent="0.25">
      <c r="A901" t="s">
        <v>1038</v>
      </c>
      <c r="B901" s="13">
        <f t="shared" si="16"/>
        <v>0</v>
      </c>
      <c r="C901" s="18"/>
      <c r="D901" s="20"/>
      <c r="E901" s="22"/>
      <c r="F901" s="6" t="s">
        <v>812</v>
      </c>
    </row>
    <row r="902" spans="1:6" x14ac:dyDescent="0.25">
      <c r="A902" t="s">
        <v>1038</v>
      </c>
      <c r="B902" s="13">
        <f t="shared" si="16"/>
        <v>10</v>
      </c>
      <c r="C902" s="3" t="s">
        <v>813</v>
      </c>
      <c r="D902" s="7">
        <v>6.9444444444444441E-3</v>
      </c>
      <c r="E902" s="4" t="s">
        <v>1</v>
      </c>
      <c r="F902" s="8" t="s">
        <v>7</v>
      </c>
    </row>
    <row r="903" spans="1:6" x14ac:dyDescent="0.25">
      <c r="A903" t="s">
        <v>1038</v>
      </c>
      <c r="B903" s="13">
        <f t="shared" si="16"/>
        <v>15</v>
      </c>
      <c r="C903" s="17" t="s">
        <v>171</v>
      </c>
      <c r="D903" s="19">
        <v>1.0416666666666666E-2</v>
      </c>
      <c r="E903" s="21" t="s">
        <v>1</v>
      </c>
      <c r="F903" s="5" t="s">
        <v>115</v>
      </c>
    </row>
    <row r="904" spans="1:6" x14ac:dyDescent="0.25">
      <c r="A904" t="s">
        <v>1038</v>
      </c>
      <c r="B904" s="13">
        <f t="shared" si="16"/>
        <v>0</v>
      </c>
      <c r="C904" s="18"/>
      <c r="D904" s="20"/>
      <c r="E904" s="22"/>
      <c r="F904" s="6" t="s">
        <v>70</v>
      </c>
    </row>
    <row r="905" spans="1:6" x14ac:dyDescent="0.25">
      <c r="A905" t="s">
        <v>1038</v>
      </c>
      <c r="B905" s="13">
        <f t="shared" si="16"/>
        <v>10</v>
      </c>
      <c r="C905" s="3" t="s">
        <v>174</v>
      </c>
      <c r="D905" s="7">
        <v>6.9444444444444441E-3</v>
      </c>
      <c r="E905" s="4" t="s">
        <v>1</v>
      </c>
      <c r="F905" s="8" t="s">
        <v>7</v>
      </c>
    </row>
    <row r="906" spans="1:6" x14ac:dyDescent="0.25">
      <c r="A906" t="s">
        <v>1038</v>
      </c>
      <c r="B906" s="13">
        <f t="shared" si="16"/>
        <v>10</v>
      </c>
      <c r="C906" s="3" t="s">
        <v>814</v>
      </c>
      <c r="D906" s="7">
        <v>6.9444444444444441E-3</v>
      </c>
      <c r="E906" s="4" t="s">
        <v>1</v>
      </c>
      <c r="F906" s="8" t="s">
        <v>7</v>
      </c>
    </row>
    <row r="907" spans="1:6" x14ac:dyDescent="0.25">
      <c r="A907" t="s">
        <v>1038</v>
      </c>
      <c r="B907" s="13">
        <f t="shared" si="16"/>
        <v>10</v>
      </c>
      <c r="C907" s="3" t="s">
        <v>175</v>
      </c>
      <c r="D907" s="7">
        <v>6.9444444444444441E-3</v>
      </c>
      <c r="E907" s="4" t="s">
        <v>1</v>
      </c>
      <c r="F907" s="8" t="s">
        <v>7</v>
      </c>
    </row>
    <row r="908" spans="1:6" x14ac:dyDescent="0.25">
      <c r="A908" t="s">
        <v>1038</v>
      </c>
      <c r="B908" s="13">
        <f t="shared" si="16"/>
        <v>10</v>
      </c>
      <c r="C908" s="3" t="s">
        <v>815</v>
      </c>
      <c r="D908" s="7">
        <v>6.9444444444444441E-3</v>
      </c>
      <c r="E908" s="4" t="s">
        <v>1</v>
      </c>
      <c r="F908" s="8" t="s">
        <v>7</v>
      </c>
    </row>
    <row r="909" spans="1:6" x14ac:dyDescent="0.25">
      <c r="A909" t="s">
        <v>1038</v>
      </c>
      <c r="B909" s="13">
        <f t="shared" si="16"/>
        <v>10</v>
      </c>
      <c r="C909" s="3" t="s">
        <v>816</v>
      </c>
      <c r="D909" s="7">
        <v>6.9444444444444441E-3</v>
      </c>
      <c r="E909" s="4" t="s">
        <v>1</v>
      </c>
      <c r="F909" s="8" t="s">
        <v>7</v>
      </c>
    </row>
    <row r="910" spans="1:6" x14ac:dyDescent="0.25">
      <c r="A910" t="s">
        <v>1038</v>
      </c>
      <c r="B910" s="13">
        <f t="shared" si="16"/>
        <v>10</v>
      </c>
      <c r="C910" s="3" t="s">
        <v>178</v>
      </c>
      <c r="D910" s="7">
        <v>6.9444444444444441E-3</v>
      </c>
      <c r="E910" s="4" t="s">
        <v>1</v>
      </c>
      <c r="F910" s="8" t="s">
        <v>7</v>
      </c>
    </row>
    <row r="911" spans="1:6" x14ac:dyDescent="0.25">
      <c r="A911" t="s">
        <v>1038</v>
      </c>
      <c r="B911" s="13">
        <f t="shared" si="16"/>
        <v>1155</v>
      </c>
      <c r="C911" s="17" t="s">
        <v>180</v>
      </c>
      <c r="D911" s="19">
        <v>0.80208333333333337</v>
      </c>
      <c r="E911" s="21" t="s">
        <v>1</v>
      </c>
      <c r="F911" s="5" t="s">
        <v>817</v>
      </c>
    </row>
    <row r="912" spans="1:6" x14ac:dyDescent="0.25">
      <c r="A912" t="s">
        <v>1038</v>
      </c>
      <c r="B912" s="13">
        <f t="shared" si="16"/>
        <v>0</v>
      </c>
      <c r="C912" s="18"/>
      <c r="D912" s="20"/>
      <c r="E912" s="22"/>
      <c r="F912" s="6" t="s">
        <v>818</v>
      </c>
    </row>
    <row r="913" spans="1:6" x14ac:dyDescent="0.25">
      <c r="A913" t="s">
        <v>1038</v>
      </c>
      <c r="B913" s="13">
        <f t="shared" si="16"/>
        <v>0</v>
      </c>
      <c r="C913" s="3" t="s">
        <v>819</v>
      </c>
      <c r="D913" s="3"/>
      <c r="E913" s="4" t="s">
        <v>1</v>
      </c>
      <c r="F913" s="3" t="s">
        <v>820</v>
      </c>
    </row>
    <row r="914" spans="1:6" x14ac:dyDescent="0.25">
      <c r="A914" t="s">
        <v>1038</v>
      </c>
      <c r="B914" s="13">
        <f t="shared" si="16"/>
        <v>10</v>
      </c>
      <c r="C914" s="3" t="s">
        <v>821</v>
      </c>
      <c r="D914" s="7">
        <v>6.9444444444444441E-3</v>
      </c>
      <c r="E914" s="4" t="s">
        <v>1</v>
      </c>
      <c r="F914" s="8" t="s">
        <v>7</v>
      </c>
    </row>
    <row r="915" spans="1:6" x14ac:dyDescent="0.25">
      <c r="A915" t="s">
        <v>1038</v>
      </c>
      <c r="B915" s="13">
        <f t="shared" si="16"/>
        <v>10</v>
      </c>
      <c r="C915" s="17" t="s">
        <v>822</v>
      </c>
      <c r="D915" s="19">
        <v>6.9444444444444441E-3</v>
      </c>
      <c r="E915" s="21" t="s">
        <v>1</v>
      </c>
      <c r="F915" s="5" t="s">
        <v>7</v>
      </c>
    </row>
    <row r="916" spans="1:6" x14ac:dyDescent="0.25">
      <c r="A916" t="s">
        <v>1038</v>
      </c>
      <c r="B916" s="13">
        <f t="shared" si="16"/>
        <v>0</v>
      </c>
      <c r="C916" s="18"/>
      <c r="D916" s="20"/>
      <c r="E916" s="22"/>
      <c r="F916" s="6" t="s">
        <v>8</v>
      </c>
    </row>
    <row r="917" spans="1:6" x14ac:dyDescent="0.25">
      <c r="A917" t="s">
        <v>1038</v>
      </c>
      <c r="B917" s="13">
        <f t="shared" si="16"/>
        <v>10</v>
      </c>
      <c r="C917" s="17" t="s">
        <v>183</v>
      </c>
      <c r="D917" s="19">
        <v>6.9444444444444441E-3</v>
      </c>
      <c r="E917" s="21" t="s">
        <v>1</v>
      </c>
      <c r="F917" s="5" t="s">
        <v>7</v>
      </c>
    </row>
    <row r="918" spans="1:6" x14ac:dyDescent="0.25">
      <c r="A918" t="s">
        <v>1038</v>
      </c>
      <c r="B918" s="13">
        <f t="shared" si="16"/>
        <v>0</v>
      </c>
      <c r="C918" s="18"/>
      <c r="D918" s="20"/>
      <c r="E918" s="22"/>
      <c r="F918" s="6" t="s">
        <v>584</v>
      </c>
    </row>
    <row r="919" spans="1:6" x14ac:dyDescent="0.25">
      <c r="A919" t="s">
        <v>1038</v>
      </c>
      <c r="B919" s="13">
        <f t="shared" si="16"/>
        <v>10</v>
      </c>
      <c r="C919" s="3" t="s">
        <v>823</v>
      </c>
      <c r="D919" s="7">
        <v>6.9444444444444441E-3</v>
      </c>
      <c r="E919" s="4" t="s">
        <v>1</v>
      </c>
      <c r="F919" s="8" t="s">
        <v>7</v>
      </c>
    </row>
    <row r="920" spans="1:6" x14ac:dyDescent="0.25">
      <c r="A920" t="s">
        <v>1038</v>
      </c>
      <c r="B920" s="13">
        <f t="shared" si="16"/>
        <v>10</v>
      </c>
      <c r="C920" s="3" t="s">
        <v>824</v>
      </c>
      <c r="D920" s="7">
        <v>6.9444444444444441E-3</v>
      </c>
      <c r="E920" s="4" t="s">
        <v>1</v>
      </c>
      <c r="F920" s="8" t="s">
        <v>7</v>
      </c>
    </row>
    <row r="921" spans="1:6" x14ac:dyDescent="0.25">
      <c r="A921" t="s">
        <v>1038</v>
      </c>
      <c r="B921" s="13">
        <f t="shared" si="16"/>
        <v>10</v>
      </c>
      <c r="C921" s="3" t="s">
        <v>825</v>
      </c>
      <c r="D921" s="7">
        <v>6.9444444444444441E-3</v>
      </c>
      <c r="E921" s="4" t="s">
        <v>1</v>
      </c>
      <c r="F921" s="8" t="s">
        <v>7</v>
      </c>
    </row>
    <row r="922" spans="1:6" x14ac:dyDescent="0.25">
      <c r="A922" t="s">
        <v>1038</v>
      </c>
      <c r="B922" s="13">
        <f t="shared" si="16"/>
        <v>10</v>
      </c>
      <c r="C922" s="17" t="s">
        <v>186</v>
      </c>
      <c r="D922" s="19">
        <v>6.9444444444444441E-3</v>
      </c>
      <c r="E922" s="21" t="s">
        <v>1</v>
      </c>
      <c r="F922" s="5" t="s">
        <v>7</v>
      </c>
    </row>
    <row r="923" spans="1:6" x14ac:dyDescent="0.25">
      <c r="A923" t="s">
        <v>1038</v>
      </c>
      <c r="B923" s="13">
        <f t="shared" si="16"/>
        <v>0</v>
      </c>
      <c r="C923" s="18"/>
      <c r="D923" s="20"/>
      <c r="E923" s="22"/>
      <c r="F923" s="6" t="s">
        <v>43</v>
      </c>
    </row>
    <row r="924" spans="1:6" x14ac:dyDescent="0.25">
      <c r="A924" t="s">
        <v>1038</v>
      </c>
      <c r="B924" s="13">
        <f t="shared" si="16"/>
        <v>10</v>
      </c>
      <c r="C924" s="3" t="s">
        <v>189</v>
      </c>
      <c r="D924" s="7">
        <v>6.9444444444444441E-3</v>
      </c>
      <c r="E924" s="4" t="s">
        <v>1</v>
      </c>
      <c r="F924" s="8" t="s">
        <v>7</v>
      </c>
    </row>
    <row r="925" spans="1:6" x14ac:dyDescent="0.25">
      <c r="A925" t="s">
        <v>1038</v>
      </c>
      <c r="B925" s="13">
        <f t="shared" si="16"/>
        <v>10</v>
      </c>
      <c r="C925" s="3" t="s">
        <v>826</v>
      </c>
      <c r="D925" s="7">
        <v>6.9444444444444441E-3</v>
      </c>
      <c r="E925" s="4" t="s">
        <v>1</v>
      </c>
      <c r="F925" s="8" t="s">
        <v>7</v>
      </c>
    </row>
    <row r="926" spans="1:6" x14ac:dyDescent="0.25">
      <c r="A926" t="s">
        <v>1038</v>
      </c>
      <c r="B926" s="13">
        <f t="shared" ref="B926:B989" si="17">D926*24*60</f>
        <v>0</v>
      </c>
      <c r="C926" s="3" t="s">
        <v>190</v>
      </c>
      <c r="D926" s="3"/>
      <c r="E926" s="4" t="s">
        <v>1</v>
      </c>
      <c r="F926" s="4" t="s">
        <v>17</v>
      </c>
    </row>
    <row r="927" spans="1:6" x14ac:dyDescent="0.25">
      <c r="A927" t="s">
        <v>1038</v>
      </c>
      <c r="B927" s="13">
        <f t="shared" si="17"/>
        <v>10</v>
      </c>
      <c r="C927" s="3" t="s">
        <v>827</v>
      </c>
      <c r="D927" s="7">
        <v>6.9444444444444441E-3</v>
      </c>
      <c r="E927" s="4" t="s">
        <v>1</v>
      </c>
      <c r="F927" s="8" t="s">
        <v>7</v>
      </c>
    </row>
    <row r="928" spans="1:6" x14ac:dyDescent="0.25">
      <c r="A928" t="s">
        <v>1038</v>
      </c>
      <c r="B928" s="13">
        <f t="shared" si="17"/>
        <v>0</v>
      </c>
      <c r="C928" s="3" t="s">
        <v>193</v>
      </c>
      <c r="D928" s="3"/>
      <c r="E928" s="4" t="s">
        <v>1</v>
      </c>
      <c r="F928" s="4" t="s">
        <v>17</v>
      </c>
    </row>
    <row r="929" spans="1:6" x14ac:dyDescent="0.25">
      <c r="A929" t="s">
        <v>1038</v>
      </c>
      <c r="B929" s="13">
        <f t="shared" si="17"/>
        <v>10</v>
      </c>
      <c r="C929" s="3" t="s">
        <v>196</v>
      </c>
      <c r="D929" s="7">
        <v>6.9444444444444441E-3</v>
      </c>
      <c r="E929" s="4" t="s">
        <v>1</v>
      </c>
      <c r="F929" s="8" t="s">
        <v>7</v>
      </c>
    </row>
    <row r="930" spans="1:6" x14ac:dyDescent="0.25">
      <c r="A930" t="s">
        <v>1038</v>
      </c>
      <c r="B930" s="13">
        <f t="shared" si="17"/>
        <v>10</v>
      </c>
      <c r="C930" s="17" t="s">
        <v>197</v>
      </c>
      <c r="D930" s="19">
        <v>6.9444444444444441E-3</v>
      </c>
      <c r="E930" s="21" t="s">
        <v>1</v>
      </c>
      <c r="F930" s="5" t="s">
        <v>7</v>
      </c>
    </row>
    <row r="931" spans="1:6" x14ac:dyDescent="0.25">
      <c r="A931" t="s">
        <v>1038</v>
      </c>
      <c r="B931" s="13">
        <f t="shared" si="17"/>
        <v>0</v>
      </c>
      <c r="C931" s="18"/>
      <c r="D931" s="20"/>
      <c r="E931" s="22"/>
      <c r="F931" s="6" t="s">
        <v>10</v>
      </c>
    </row>
    <row r="932" spans="1:6" x14ac:dyDescent="0.25">
      <c r="A932" t="s">
        <v>1038</v>
      </c>
      <c r="B932" s="13">
        <f t="shared" si="17"/>
        <v>10</v>
      </c>
      <c r="C932" s="3" t="s">
        <v>200</v>
      </c>
      <c r="D932" s="7">
        <v>6.9444444444444441E-3</v>
      </c>
      <c r="E932" s="4" t="s">
        <v>1</v>
      </c>
      <c r="F932" s="8" t="s">
        <v>7</v>
      </c>
    </row>
    <row r="933" spans="1:6" x14ac:dyDescent="0.25">
      <c r="A933" t="s">
        <v>1038</v>
      </c>
      <c r="B933" s="13">
        <f t="shared" si="17"/>
        <v>10</v>
      </c>
      <c r="C933" s="3" t="s">
        <v>201</v>
      </c>
      <c r="D933" s="7">
        <v>6.9444444444444441E-3</v>
      </c>
      <c r="E933" s="4" t="s">
        <v>1</v>
      </c>
      <c r="F933" s="8" t="s">
        <v>7</v>
      </c>
    </row>
    <row r="934" spans="1:6" x14ac:dyDescent="0.25">
      <c r="A934" t="s">
        <v>1038</v>
      </c>
      <c r="B934" s="13">
        <f t="shared" si="17"/>
        <v>10</v>
      </c>
      <c r="C934" s="3" t="s">
        <v>828</v>
      </c>
      <c r="D934" s="7">
        <v>6.9444444444444441E-3</v>
      </c>
      <c r="E934" s="4" t="s">
        <v>1</v>
      </c>
      <c r="F934" s="8" t="s">
        <v>7</v>
      </c>
    </row>
    <row r="935" spans="1:6" x14ac:dyDescent="0.25">
      <c r="A935" t="s">
        <v>1038</v>
      </c>
      <c r="B935" s="13">
        <f t="shared" si="17"/>
        <v>10</v>
      </c>
      <c r="C935" s="17" t="s">
        <v>203</v>
      </c>
      <c r="D935" s="19">
        <v>6.9444444444444441E-3</v>
      </c>
      <c r="E935" s="21" t="s">
        <v>1</v>
      </c>
      <c r="F935" s="5" t="s">
        <v>7</v>
      </c>
    </row>
    <row r="936" spans="1:6" x14ac:dyDescent="0.25">
      <c r="A936" t="s">
        <v>1038</v>
      </c>
      <c r="B936" s="13">
        <f t="shared" si="17"/>
        <v>0</v>
      </c>
      <c r="C936" s="18"/>
      <c r="D936" s="20"/>
      <c r="E936" s="22"/>
      <c r="F936" s="6" t="s">
        <v>584</v>
      </c>
    </row>
    <row r="937" spans="1:6" x14ac:dyDescent="0.25">
      <c r="A937" t="s">
        <v>1038</v>
      </c>
      <c r="B937" s="13">
        <f t="shared" si="17"/>
        <v>10</v>
      </c>
      <c r="C937" s="17" t="s">
        <v>206</v>
      </c>
      <c r="D937" s="19">
        <v>6.9444444444444441E-3</v>
      </c>
      <c r="E937" s="21" t="s">
        <v>1</v>
      </c>
      <c r="F937" s="5" t="s">
        <v>7</v>
      </c>
    </row>
    <row r="938" spans="1:6" x14ac:dyDescent="0.25">
      <c r="A938" t="s">
        <v>1038</v>
      </c>
      <c r="B938" s="13">
        <f t="shared" si="17"/>
        <v>0</v>
      </c>
      <c r="C938" s="18"/>
      <c r="D938" s="20"/>
      <c r="E938" s="22"/>
      <c r="F938" s="6" t="s">
        <v>8</v>
      </c>
    </row>
    <row r="939" spans="1:6" x14ac:dyDescent="0.25">
      <c r="A939" t="s">
        <v>1038</v>
      </c>
      <c r="B939" s="13">
        <f t="shared" si="17"/>
        <v>0</v>
      </c>
      <c r="C939" s="3" t="s">
        <v>829</v>
      </c>
      <c r="D939" s="3"/>
      <c r="E939" s="4" t="s">
        <v>1</v>
      </c>
      <c r="F939" s="3" t="s">
        <v>210</v>
      </c>
    </row>
    <row r="940" spans="1:6" x14ac:dyDescent="0.25">
      <c r="A940" t="s">
        <v>1038</v>
      </c>
      <c r="B940" s="13">
        <f t="shared" si="17"/>
        <v>10</v>
      </c>
      <c r="C940" s="17" t="s">
        <v>212</v>
      </c>
      <c r="D940" s="19">
        <v>6.9444444444444441E-3</v>
      </c>
      <c r="E940" s="21" t="s">
        <v>1</v>
      </c>
      <c r="F940" s="5" t="s">
        <v>7</v>
      </c>
    </row>
    <row r="941" spans="1:6" x14ac:dyDescent="0.25">
      <c r="A941" t="s">
        <v>1038</v>
      </c>
      <c r="B941" s="13">
        <f t="shared" si="17"/>
        <v>0</v>
      </c>
      <c r="C941" s="18"/>
      <c r="D941" s="20"/>
      <c r="E941" s="22"/>
      <c r="F941" s="6" t="s">
        <v>10</v>
      </c>
    </row>
    <row r="942" spans="1:6" x14ac:dyDescent="0.25">
      <c r="A942" t="s">
        <v>1038</v>
      </c>
      <c r="B942" s="13">
        <f t="shared" si="17"/>
        <v>11</v>
      </c>
      <c r="C942" s="17" t="s">
        <v>213</v>
      </c>
      <c r="D942" s="19">
        <v>7.6388888888888886E-3</v>
      </c>
      <c r="E942" s="21" t="s">
        <v>1</v>
      </c>
      <c r="F942" s="5" t="s">
        <v>442</v>
      </c>
    </row>
    <row r="943" spans="1:6" x14ac:dyDescent="0.25">
      <c r="A943" t="s">
        <v>1038</v>
      </c>
      <c r="B943" s="13">
        <f t="shared" si="17"/>
        <v>0</v>
      </c>
      <c r="C943" s="18"/>
      <c r="D943" s="20"/>
      <c r="E943" s="22"/>
      <c r="F943" s="6" t="s">
        <v>443</v>
      </c>
    </row>
    <row r="944" spans="1:6" x14ac:dyDescent="0.25">
      <c r="A944" t="s">
        <v>1038</v>
      </c>
      <c r="B944" s="13">
        <f t="shared" si="17"/>
        <v>15</v>
      </c>
      <c r="C944" s="17" t="s">
        <v>214</v>
      </c>
      <c r="D944" s="19">
        <v>1.0416666666666666E-2</v>
      </c>
      <c r="E944" s="21" t="s">
        <v>1</v>
      </c>
      <c r="F944" s="5" t="s">
        <v>115</v>
      </c>
    </row>
    <row r="945" spans="1:6" x14ac:dyDescent="0.25">
      <c r="A945" t="s">
        <v>1038</v>
      </c>
      <c r="B945" s="13">
        <f t="shared" si="17"/>
        <v>0</v>
      </c>
      <c r="C945" s="18"/>
      <c r="D945" s="20"/>
      <c r="E945" s="22"/>
      <c r="F945" s="6" t="s">
        <v>116</v>
      </c>
    </row>
    <row r="946" spans="1:6" x14ac:dyDescent="0.25">
      <c r="A946" t="s">
        <v>1038</v>
      </c>
      <c r="B946" s="13">
        <f t="shared" si="17"/>
        <v>10</v>
      </c>
      <c r="C946" s="17" t="s">
        <v>215</v>
      </c>
      <c r="D946" s="19">
        <v>6.9444444444444441E-3</v>
      </c>
      <c r="E946" s="21" t="s">
        <v>1</v>
      </c>
      <c r="F946" s="5" t="s">
        <v>7</v>
      </c>
    </row>
    <row r="947" spans="1:6" x14ac:dyDescent="0.25">
      <c r="A947" t="s">
        <v>1038</v>
      </c>
      <c r="B947" s="13">
        <f t="shared" si="17"/>
        <v>0</v>
      </c>
      <c r="C947" s="18"/>
      <c r="D947" s="20"/>
      <c r="E947" s="22"/>
      <c r="F947" s="6" t="s">
        <v>8</v>
      </c>
    </row>
    <row r="948" spans="1:6" x14ac:dyDescent="0.25">
      <c r="A948" t="s">
        <v>1038</v>
      </c>
      <c r="B948" s="13">
        <f t="shared" si="17"/>
        <v>10</v>
      </c>
      <c r="C948" s="17" t="s">
        <v>216</v>
      </c>
      <c r="D948" s="19">
        <v>6.9444444444444441E-3</v>
      </c>
      <c r="E948" s="21" t="s">
        <v>1</v>
      </c>
      <c r="F948" s="5" t="s">
        <v>7</v>
      </c>
    </row>
    <row r="949" spans="1:6" x14ac:dyDescent="0.25">
      <c r="A949" t="s">
        <v>1038</v>
      </c>
      <c r="B949" s="13">
        <f t="shared" si="17"/>
        <v>0</v>
      </c>
      <c r="C949" s="18"/>
      <c r="D949" s="20"/>
      <c r="E949" s="22"/>
      <c r="F949" s="6" t="s">
        <v>8</v>
      </c>
    </row>
    <row r="950" spans="1:6" x14ac:dyDescent="0.25">
      <c r="A950" t="s">
        <v>1038</v>
      </c>
      <c r="B950" s="13">
        <f t="shared" si="17"/>
        <v>12.999999999999998</v>
      </c>
      <c r="C950" s="17" t="s">
        <v>217</v>
      </c>
      <c r="D950" s="19">
        <v>9.0277777777777769E-3</v>
      </c>
      <c r="E950" s="21" t="s">
        <v>1</v>
      </c>
      <c r="F950" s="5" t="s">
        <v>830</v>
      </c>
    </row>
    <row r="951" spans="1:6" x14ac:dyDescent="0.25">
      <c r="A951" t="s">
        <v>1038</v>
      </c>
      <c r="B951" s="13">
        <f t="shared" si="17"/>
        <v>0</v>
      </c>
      <c r="C951" s="18"/>
      <c r="D951" s="20"/>
      <c r="E951" s="22"/>
      <c r="F951" s="6" t="s">
        <v>831</v>
      </c>
    </row>
    <row r="952" spans="1:6" x14ac:dyDescent="0.25">
      <c r="A952" t="s">
        <v>1038</v>
      </c>
      <c r="B952" s="13">
        <f t="shared" si="17"/>
        <v>0</v>
      </c>
      <c r="C952" s="3" t="s">
        <v>832</v>
      </c>
      <c r="D952" s="3"/>
      <c r="E952" s="4" t="s">
        <v>1</v>
      </c>
      <c r="F952" s="3" t="s">
        <v>833</v>
      </c>
    </row>
    <row r="953" spans="1:6" x14ac:dyDescent="0.25">
      <c r="A953" t="s">
        <v>1038</v>
      </c>
      <c r="B953" s="13">
        <f t="shared" si="17"/>
        <v>0</v>
      </c>
      <c r="C953" s="3" t="s">
        <v>834</v>
      </c>
      <c r="D953" s="3"/>
      <c r="E953" s="4" t="s">
        <v>1</v>
      </c>
      <c r="F953" s="3" t="s">
        <v>27</v>
      </c>
    </row>
    <row r="954" spans="1:6" x14ac:dyDescent="0.25">
      <c r="A954" t="s">
        <v>1038</v>
      </c>
      <c r="B954" s="13">
        <f t="shared" si="17"/>
        <v>20</v>
      </c>
      <c r="C954" s="17" t="s">
        <v>835</v>
      </c>
      <c r="D954" s="19">
        <v>1.3888888888888888E-2</v>
      </c>
      <c r="E954" s="21" t="s">
        <v>1</v>
      </c>
      <c r="F954" s="5" t="s">
        <v>136</v>
      </c>
    </row>
    <row r="955" spans="1:6" x14ac:dyDescent="0.25">
      <c r="A955" t="s">
        <v>1038</v>
      </c>
      <c r="B955" s="13">
        <f t="shared" si="17"/>
        <v>0</v>
      </c>
      <c r="C955" s="18"/>
      <c r="D955" s="20"/>
      <c r="E955" s="22"/>
      <c r="F955" s="6" t="s">
        <v>64</v>
      </c>
    </row>
    <row r="956" spans="1:6" x14ac:dyDescent="0.25">
      <c r="A956" t="s">
        <v>1038</v>
      </c>
      <c r="B956" s="13">
        <f t="shared" si="17"/>
        <v>10</v>
      </c>
      <c r="C956" s="3" t="s">
        <v>220</v>
      </c>
      <c r="D956" s="7">
        <v>6.9444444444444441E-3</v>
      </c>
      <c r="E956" s="4" t="s">
        <v>1</v>
      </c>
      <c r="F956" s="8" t="s">
        <v>7</v>
      </c>
    </row>
    <row r="957" spans="1:6" x14ac:dyDescent="0.25">
      <c r="A957" t="s">
        <v>1038</v>
      </c>
      <c r="B957" s="13">
        <f t="shared" si="17"/>
        <v>10</v>
      </c>
      <c r="C957" s="3" t="s">
        <v>223</v>
      </c>
      <c r="D957" s="7">
        <v>6.9444444444444441E-3</v>
      </c>
      <c r="E957" s="4" t="s">
        <v>1</v>
      </c>
      <c r="F957" s="8" t="s">
        <v>7</v>
      </c>
    </row>
    <row r="958" spans="1:6" x14ac:dyDescent="0.25">
      <c r="A958" t="s">
        <v>1038</v>
      </c>
      <c r="B958" s="13">
        <f t="shared" si="17"/>
        <v>0</v>
      </c>
      <c r="C958" s="3" t="s">
        <v>226</v>
      </c>
      <c r="D958" s="3"/>
      <c r="E958" s="4" t="s">
        <v>1</v>
      </c>
      <c r="F958" s="4" t="s">
        <v>17</v>
      </c>
    </row>
    <row r="959" spans="1:6" x14ac:dyDescent="0.25">
      <c r="A959" t="s">
        <v>1038</v>
      </c>
      <c r="B959" s="13">
        <f t="shared" si="17"/>
        <v>10</v>
      </c>
      <c r="C959" s="3" t="s">
        <v>229</v>
      </c>
      <c r="D959" s="7">
        <v>6.9444444444444441E-3</v>
      </c>
      <c r="E959" s="4" t="s">
        <v>1</v>
      </c>
      <c r="F959" s="8" t="s">
        <v>7</v>
      </c>
    </row>
    <row r="960" spans="1:6" x14ac:dyDescent="0.25">
      <c r="A960" t="s">
        <v>1038</v>
      </c>
      <c r="B960" s="13">
        <f t="shared" si="17"/>
        <v>15</v>
      </c>
      <c r="C960" s="17" t="s">
        <v>836</v>
      </c>
      <c r="D960" s="19">
        <v>1.0416666666666666E-2</v>
      </c>
      <c r="E960" s="21" t="s">
        <v>1</v>
      </c>
      <c r="F960" s="5" t="s">
        <v>115</v>
      </c>
    </row>
    <row r="961" spans="1:6" x14ac:dyDescent="0.25">
      <c r="A961" t="s">
        <v>1038</v>
      </c>
      <c r="B961" s="13">
        <f t="shared" si="17"/>
        <v>0</v>
      </c>
      <c r="C961" s="18"/>
      <c r="D961" s="20"/>
      <c r="E961" s="22"/>
      <c r="F961" s="6" t="s">
        <v>70</v>
      </c>
    </row>
    <row r="962" spans="1:6" x14ac:dyDescent="0.25">
      <c r="A962" t="s">
        <v>1038</v>
      </c>
      <c r="B962" s="13">
        <f t="shared" si="17"/>
        <v>0</v>
      </c>
      <c r="C962" s="3" t="s">
        <v>230</v>
      </c>
      <c r="D962" s="3"/>
      <c r="E962" s="4" t="s">
        <v>1</v>
      </c>
      <c r="F962" s="4" t="s">
        <v>17</v>
      </c>
    </row>
    <row r="963" spans="1:6" x14ac:dyDescent="0.25">
      <c r="A963" t="s">
        <v>1038</v>
      </c>
      <c r="B963" s="13">
        <f t="shared" si="17"/>
        <v>0</v>
      </c>
      <c r="C963" s="3" t="s">
        <v>232</v>
      </c>
      <c r="D963" s="3"/>
      <c r="E963" s="4" t="s">
        <v>1</v>
      </c>
      <c r="F963" s="4" t="s">
        <v>17</v>
      </c>
    </row>
    <row r="964" spans="1:6" x14ac:dyDescent="0.25">
      <c r="A964" t="s">
        <v>1038</v>
      </c>
      <c r="B964" s="13">
        <f t="shared" si="17"/>
        <v>0</v>
      </c>
      <c r="C964" s="3" t="s">
        <v>235</v>
      </c>
      <c r="D964" s="3"/>
      <c r="E964" s="4" t="s">
        <v>1</v>
      </c>
      <c r="F964" s="4" t="s">
        <v>17</v>
      </c>
    </row>
    <row r="965" spans="1:6" x14ac:dyDescent="0.25">
      <c r="A965" t="s">
        <v>1038</v>
      </c>
      <c r="B965" s="13">
        <f t="shared" si="17"/>
        <v>22</v>
      </c>
      <c r="C965" s="17" t="s">
        <v>236</v>
      </c>
      <c r="D965" s="19">
        <v>1.5277777777777777E-2</v>
      </c>
      <c r="E965" s="21" t="s">
        <v>1</v>
      </c>
      <c r="F965" s="5" t="s">
        <v>242</v>
      </c>
    </row>
    <row r="966" spans="1:6" x14ac:dyDescent="0.25">
      <c r="A966" t="s">
        <v>1038</v>
      </c>
      <c r="B966" s="13">
        <f t="shared" si="17"/>
        <v>0</v>
      </c>
      <c r="C966" s="18"/>
      <c r="D966" s="20"/>
      <c r="E966" s="22"/>
      <c r="F966" s="6" t="s">
        <v>837</v>
      </c>
    </row>
    <row r="967" spans="1:6" x14ac:dyDescent="0.25">
      <c r="A967" t="s">
        <v>1038</v>
      </c>
      <c r="B967" s="13">
        <f t="shared" si="17"/>
        <v>119</v>
      </c>
      <c r="C967" s="17" t="s">
        <v>838</v>
      </c>
      <c r="D967" s="19">
        <v>8.2638888888888887E-2</v>
      </c>
      <c r="E967" s="21" t="s">
        <v>1</v>
      </c>
      <c r="F967" s="5" t="s">
        <v>839</v>
      </c>
    </row>
    <row r="968" spans="1:6" x14ac:dyDescent="0.25">
      <c r="A968" t="s">
        <v>1038</v>
      </c>
      <c r="B968" s="13">
        <f t="shared" si="17"/>
        <v>0</v>
      </c>
      <c r="C968" s="18"/>
      <c r="D968" s="20"/>
      <c r="E968" s="22"/>
      <c r="F968" s="6" t="s">
        <v>840</v>
      </c>
    </row>
    <row r="969" spans="1:6" x14ac:dyDescent="0.25">
      <c r="A969" t="s">
        <v>1038</v>
      </c>
      <c r="B969" s="13">
        <f t="shared" si="17"/>
        <v>0</v>
      </c>
      <c r="C969" s="3" t="s">
        <v>841</v>
      </c>
      <c r="D969" s="3"/>
      <c r="E969" s="4" t="s">
        <v>1</v>
      </c>
      <c r="F969" s="3" t="s">
        <v>842</v>
      </c>
    </row>
    <row r="970" spans="1:6" x14ac:dyDescent="0.25">
      <c r="A970" t="s">
        <v>1038</v>
      </c>
      <c r="B970" s="13">
        <f t="shared" si="17"/>
        <v>0</v>
      </c>
      <c r="C970" s="3" t="s">
        <v>843</v>
      </c>
      <c r="D970" s="3"/>
      <c r="E970" s="4" t="s">
        <v>1</v>
      </c>
      <c r="F970" s="3" t="s">
        <v>842</v>
      </c>
    </row>
    <row r="971" spans="1:6" x14ac:dyDescent="0.25">
      <c r="A971" t="s">
        <v>1038</v>
      </c>
      <c r="B971" s="13">
        <f t="shared" si="17"/>
        <v>91</v>
      </c>
      <c r="C971" s="17" t="s">
        <v>238</v>
      </c>
      <c r="D971" s="19">
        <v>6.3194444444444442E-2</v>
      </c>
      <c r="E971" s="21" t="s">
        <v>1</v>
      </c>
      <c r="F971" s="5" t="s">
        <v>591</v>
      </c>
    </row>
    <row r="972" spans="1:6" x14ac:dyDescent="0.25">
      <c r="A972" t="s">
        <v>1038</v>
      </c>
      <c r="B972" s="13">
        <f t="shared" si="17"/>
        <v>0</v>
      </c>
      <c r="C972" s="18"/>
      <c r="D972" s="20"/>
      <c r="E972" s="22"/>
      <c r="F972" s="6" t="s">
        <v>844</v>
      </c>
    </row>
    <row r="973" spans="1:6" x14ac:dyDescent="0.25">
      <c r="A973" t="s">
        <v>1038</v>
      </c>
      <c r="B973" s="13">
        <f t="shared" si="17"/>
        <v>111</v>
      </c>
      <c r="C973" s="17" t="s">
        <v>240</v>
      </c>
      <c r="D973" s="19">
        <v>7.7083333333333337E-2</v>
      </c>
      <c r="E973" s="21" t="s">
        <v>1</v>
      </c>
      <c r="F973" s="5" t="s">
        <v>529</v>
      </c>
    </row>
    <row r="974" spans="1:6" x14ac:dyDescent="0.25">
      <c r="A974" t="s">
        <v>1038</v>
      </c>
      <c r="B974" s="13">
        <f t="shared" si="17"/>
        <v>0</v>
      </c>
      <c r="C974" s="18"/>
      <c r="D974" s="20"/>
      <c r="E974" s="22"/>
      <c r="F974" s="6" t="s">
        <v>845</v>
      </c>
    </row>
    <row r="975" spans="1:6" x14ac:dyDescent="0.25">
      <c r="A975" t="s">
        <v>1038</v>
      </c>
      <c r="B975" s="13">
        <f t="shared" si="17"/>
        <v>0</v>
      </c>
      <c r="C975" s="3" t="s">
        <v>846</v>
      </c>
      <c r="D975" s="3"/>
      <c r="E975" s="4" t="s">
        <v>1</v>
      </c>
      <c r="F975" s="3" t="s">
        <v>847</v>
      </c>
    </row>
    <row r="976" spans="1:6" x14ac:dyDescent="0.25">
      <c r="A976" t="s">
        <v>1038</v>
      </c>
      <c r="B976" s="13">
        <f t="shared" si="17"/>
        <v>20</v>
      </c>
      <c r="C976" s="17" t="s">
        <v>848</v>
      </c>
      <c r="D976" s="19">
        <v>1.3888888888888888E-2</v>
      </c>
      <c r="E976" s="23"/>
      <c r="F976" s="5" t="s">
        <v>849</v>
      </c>
    </row>
    <row r="977" spans="1:6" x14ac:dyDescent="0.25">
      <c r="A977" t="s">
        <v>1038</v>
      </c>
      <c r="B977" s="13">
        <f t="shared" si="17"/>
        <v>0</v>
      </c>
      <c r="C977" s="18"/>
      <c r="D977" s="20"/>
      <c r="E977" s="24"/>
      <c r="F977" s="6" t="s">
        <v>504</v>
      </c>
    </row>
    <row r="978" spans="1:6" x14ac:dyDescent="0.25">
      <c r="A978" t="s">
        <v>1038</v>
      </c>
      <c r="B978" s="13">
        <f t="shared" si="17"/>
        <v>10</v>
      </c>
      <c r="C978" s="3" t="s">
        <v>850</v>
      </c>
      <c r="D978" s="7">
        <v>6.9444444444444441E-3</v>
      </c>
      <c r="E978" s="4" t="s">
        <v>1</v>
      </c>
      <c r="F978" s="8" t="s">
        <v>7</v>
      </c>
    </row>
    <row r="979" spans="1:6" x14ac:dyDescent="0.25">
      <c r="A979" t="s">
        <v>1038</v>
      </c>
      <c r="B979" s="13">
        <f t="shared" si="17"/>
        <v>15</v>
      </c>
      <c r="C979" s="17" t="s">
        <v>851</v>
      </c>
      <c r="D979" s="19">
        <v>1.0416666666666666E-2</v>
      </c>
      <c r="E979" s="21" t="s">
        <v>1</v>
      </c>
      <c r="F979" s="5" t="s">
        <v>115</v>
      </c>
    </row>
    <row r="980" spans="1:6" x14ac:dyDescent="0.25">
      <c r="A980" t="s">
        <v>1038</v>
      </c>
      <c r="B980" s="13">
        <f t="shared" si="17"/>
        <v>0</v>
      </c>
      <c r="C980" s="18"/>
      <c r="D980" s="20"/>
      <c r="E980" s="22"/>
      <c r="F980" s="6" t="s">
        <v>70</v>
      </c>
    </row>
    <row r="981" spans="1:6" x14ac:dyDescent="0.25">
      <c r="A981" t="s">
        <v>1038</v>
      </c>
      <c r="B981" s="13">
        <f t="shared" si="17"/>
        <v>0</v>
      </c>
      <c r="C981" s="3" t="s">
        <v>852</v>
      </c>
      <c r="D981" s="3"/>
      <c r="E981" s="4" t="s">
        <v>1</v>
      </c>
      <c r="F981" s="3" t="s">
        <v>853</v>
      </c>
    </row>
    <row r="982" spans="1:6" x14ac:dyDescent="0.25">
      <c r="A982" t="s">
        <v>1038</v>
      </c>
      <c r="B982" s="13">
        <f t="shared" si="17"/>
        <v>10</v>
      </c>
      <c r="C982" s="3" t="s">
        <v>241</v>
      </c>
      <c r="D982" s="7">
        <v>6.9444444444444441E-3</v>
      </c>
      <c r="E982" s="4" t="s">
        <v>1</v>
      </c>
      <c r="F982" s="8" t="s">
        <v>7</v>
      </c>
    </row>
    <row r="983" spans="1:6" x14ac:dyDescent="0.25">
      <c r="A983" t="s">
        <v>1038</v>
      </c>
      <c r="B983" s="13">
        <f t="shared" si="17"/>
        <v>10</v>
      </c>
      <c r="C983" s="3" t="s">
        <v>244</v>
      </c>
      <c r="D983" s="7">
        <v>6.9444444444444441E-3</v>
      </c>
      <c r="E983" s="4" t="s">
        <v>1</v>
      </c>
      <c r="F983" s="8" t="s">
        <v>7</v>
      </c>
    </row>
    <row r="984" spans="1:6" x14ac:dyDescent="0.25">
      <c r="A984" t="s">
        <v>1038</v>
      </c>
      <c r="B984" s="13">
        <f t="shared" si="17"/>
        <v>0</v>
      </c>
      <c r="C984" s="3" t="s">
        <v>245</v>
      </c>
      <c r="D984" s="3"/>
      <c r="E984" s="4" t="s">
        <v>1</v>
      </c>
      <c r="F984" s="4" t="s">
        <v>17</v>
      </c>
    </row>
    <row r="985" spans="1:6" x14ac:dyDescent="0.25">
      <c r="A985" t="s">
        <v>1038</v>
      </c>
      <c r="B985" s="13">
        <f t="shared" si="17"/>
        <v>10</v>
      </c>
      <c r="C985" s="3" t="s">
        <v>247</v>
      </c>
      <c r="D985" s="7">
        <v>6.9444444444444441E-3</v>
      </c>
      <c r="E985" s="4" t="s">
        <v>1</v>
      </c>
      <c r="F985" s="8" t="s">
        <v>7</v>
      </c>
    </row>
    <row r="986" spans="1:6" x14ac:dyDescent="0.25">
      <c r="A986" t="s">
        <v>1038</v>
      </c>
      <c r="B986" s="13">
        <f t="shared" si="17"/>
        <v>56</v>
      </c>
      <c r="C986" s="17" t="s">
        <v>248</v>
      </c>
      <c r="D986" s="19">
        <v>3.888888888888889E-2</v>
      </c>
      <c r="E986" s="21" t="s">
        <v>1</v>
      </c>
      <c r="F986" s="5" t="s">
        <v>854</v>
      </c>
    </row>
    <row r="987" spans="1:6" x14ac:dyDescent="0.25">
      <c r="A987" t="s">
        <v>1038</v>
      </c>
      <c r="B987" s="13">
        <f t="shared" si="17"/>
        <v>0</v>
      </c>
      <c r="C987" s="18"/>
      <c r="D987" s="20"/>
      <c r="E987" s="22"/>
      <c r="F987" s="6" t="s">
        <v>855</v>
      </c>
    </row>
    <row r="988" spans="1:6" x14ac:dyDescent="0.25">
      <c r="A988" t="s">
        <v>1038</v>
      </c>
      <c r="B988" s="13">
        <f t="shared" si="17"/>
        <v>336</v>
      </c>
      <c r="C988" s="17" t="s">
        <v>856</v>
      </c>
      <c r="D988" s="19">
        <v>0.23333333333333334</v>
      </c>
      <c r="E988" s="23"/>
      <c r="F988" s="5" t="s">
        <v>857</v>
      </c>
    </row>
    <row r="989" spans="1:6" x14ac:dyDescent="0.25">
      <c r="A989" t="s">
        <v>1038</v>
      </c>
      <c r="B989" s="13">
        <f t="shared" si="17"/>
        <v>0</v>
      </c>
      <c r="C989" s="18"/>
      <c r="D989" s="20"/>
      <c r="E989" s="24"/>
      <c r="F989" s="6" t="s">
        <v>858</v>
      </c>
    </row>
    <row r="990" spans="1:6" x14ac:dyDescent="0.25">
      <c r="A990" t="s">
        <v>1038</v>
      </c>
      <c r="B990" s="13">
        <f t="shared" ref="B990:B1053" si="18">D990*24*60</f>
        <v>0</v>
      </c>
      <c r="C990" s="3" t="s">
        <v>251</v>
      </c>
      <c r="D990" s="3"/>
      <c r="E990" s="4" t="s">
        <v>1</v>
      </c>
      <c r="F990" s="4" t="s">
        <v>17</v>
      </c>
    </row>
    <row r="991" spans="1:6" x14ac:dyDescent="0.25">
      <c r="A991" t="s">
        <v>1038</v>
      </c>
      <c r="B991" s="13">
        <f t="shared" si="18"/>
        <v>0</v>
      </c>
      <c r="C991" s="3" t="s">
        <v>252</v>
      </c>
      <c r="D991" s="3"/>
      <c r="E991" s="4" t="s">
        <v>1</v>
      </c>
      <c r="F991" s="3" t="s">
        <v>859</v>
      </c>
    </row>
    <row r="992" spans="1:6" x14ac:dyDescent="0.25">
      <c r="A992" t="s">
        <v>1038</v>
      </c>
      <c r="B992" s="13">
        <f t="shared" si="18"/>
        <v>0</v>
      </c>
      <c r="C992" s="3" t="s">
        <v>860</v>
      </c>
      <c r="D992" s="3"/>
      <c r="E992" s="4" t="s">
        <v>1</v>
      </c>
      <c r="F992" s="4" t="s">
        <v>17</v>
      </c>
    </row>
    <row r="993" spans="1:6" x14ac:dyDescent="0.25">
      <c r="A993" t="s">
        <v>1038</v>
      </c>
      <c r="B993" s="13">
        <f t="shared" si="18"/>
        <v>10</v>
      </c>
      <c r="C993" s="3" t="s">
        <v>861</v>
      </c>
      <c r="D993" s="7">
        <v>6.9444444444444441E-3</v>
      </c>
      <c r="E993" s="4" t="s">
        <v>1</v>
      </c>
      <c r="F993" s="8" t="s">
        <v>7</v>
      </c>
    </row>
    <row r="994" spans="1:6" x14ac:dyDescent="0.25">
      <c r="A994" t="s">
        <v>1038</v>
      </c>
      <c r="B994" s="13">
        <f t="shared" si="18"/>
        <v>0</v>
      </c>
      <c r="C994" s="3" t="s">
        <v>253</v>
      </c>
      <c r="D994" s="3"/>
      <c r="E994" s="4" t="s">
        <v>1</v>
      </c>
      <c r="F994" s="3" t="s">
        <v>862</v>
      </c>
    </row>
    <row r="995" spans="1:6" x14ac:dyDescent="0.25">
      <c r="A995" t="s">
        <v>1038</v>
      </c>
      <c r="B995" s="13">
        <f t="shared" si="18"/>
        <v>20</v>
      </c>
      <c r="C995" s="17" t="s">
        <v>254</v>
      </c>
      <c r="D995" s="19">
        <v>1.3888888888888888E-2</v>
      </c>
      <c r="E995" s="21" t="s">
        <v>1</v>
      </c>
      <c r="F995" s="5" t="s">
        <v>136</v>
      </c>
    </row>
    <row r="996" spans="1:6" x14ac:dyDescent="0.25">
      <c r="A996" t="s">
        <v>1038</v>
      </c>
      <c r="B996" s="13">
        <f t="shared" si="18"/>
        <v>0</v>
      </c>
      <c r="C996" s="18"/>
      <c r="D996" s="20"/>
      <c r="E996" s="22"/>
      <c r="F996" s="6" t="s">
        <v>64</v>
      </c>
    </row>
    <row r="997" spans="1:6" x14ac:dyDescent="0.25">
      <c r="A997" t="s">
        <v>1038</v>
      </c>
      <c r="B997" s="13">
        <f t="shared" si="18"/>
        <v>10</v>
      </c>
      <c r="C997" s="3" t="s">
        <v>863</v>
      </c>
      <c r="D997" s="7">
        <v>6.9444444444444441E-3</v>
      </c>
      <c r="E997" s="4" t="s">
        <v>1</v>
      </c>
      <c r="F997" s="8" t="s">
        <v>7</v>
      </c>
    </row>
    <row r="998" spans="1:6" x14ac:dyDescent="0.25">
      <c r="A998" t="s">
        <v>1038</v>
      </c>
      <c r="B998" s="13">
        <f t="shared" si="18"/>
        <v>0</v>
      </c>
      <c r="C998" s="3" t="s">
        <v>255</v>
      </c>
      <c r="D998" s="3"/>
      <c r="E998" s="4" t="s">
        <v>1</v>
      </c>
      <c r="F998" s="4" t="s">
        <v>17</v>
      </c>
    </row>
    <row r="999" spans="1:6" x14ac:dyDescent="0.25">
      <c r="A999" t="s">
        <v>1038</v>
      </c>
      <c r="B999" s="13">
        <f t="shared" si="18"/>
        <v>10</v>
      </c>
      <c r="C999" s="3" t="s">
        <v>256</v>
      </c>
      <c r="D999" s="7">
        <v>6.9444444444444441E-3</v>
      </c>
      <c r="E999" s="4" t="s">
        <v>1</v>
      </c>
      <c r="F999" s="8" t="s">
        <v>7</v>
      </c>
    </row>
    <row r="1000" spans="1:6" x14ac:dyDescent="0.25">
      <c r="A1000" t="s">
        <v>1038</v>
      </c>
      <c r="B1000" s="13">
        <f t="shared" si="18"/>
        <v>10</v>
      </c>
      <c r="C1000" s="3" t="s">
        <v>257</v>
      </c>
      <c r="D1000" s="7">
        <v>6.9444444444444441E-3</v>
      </c>
      <c r="E1000" s="4" t="s">
        <v>1</v>
      </c>
      <c r="F1000" s="8" t="s">
        <v>7</v>
      </c>
    </row>
    <row r="1001" spans="1:6" x14ac:dyDescent="0.25">
      <c r="A1001" t="s">
        <v>1038</v>
      </c>
      <c r="B1001" s="13">
        <f t="shared" si="18"/>
        <v>10</v>
      </c>
      <c r="C1001" s="3" t="s">
        <v>864</v>
      </c>
      <c r="D1001" s="7">
        <v>6.9444444444444441E-3</v>
      </c>
      <c r="E1001" s="4" t="s">
        <v>1</v>
      </c>
      <c r="F1001" s="8" t="s">
        <v>7</v>
      </c>
    </row>
    <row r="1002" spans="1:6" x14ac:dyDescent="0.25">
      <c r="A1002" t="s">
        <v>1038</v>
      </c>
      <c r="B1002" s="13">
        <f t="shared" si="18"/>
        <v>10</v>
      </c>
      <c r="C1002" s="3" t="s">
        <v>865</v>
      </c>
      <c r="D1002" s="7">
        <v>6.9444444444444441E-3</v>
      </c>
      <c r="E1002" s="4" t="s">
        <v>1</v>
      </c>
      <c r="F1002" s="8" t="s">
        <v>7</v>
      </c>
    </row>
    <row r="1003" spans="1:6" x14ac:dyDescent="0.25">
      <c r="A1003" t="s">
        <v>1038</v>
      </c>
      <c r="B1003" s="13">
        <f t="shared" si="18"/>
        <v>10</v>
      </c>
      <c r="C1003" s="3" t="s">
        <v>259</v>
      </c>
      <c r="D1003" s="7">
        <v>6.9444444444444441E-3</v>
      </c>
      <c r="E1003" s="4" t="s">
        <v>1</v>
      </c>
      <c r="F1003" s="8" t="s">
        <v>7</v>
      </c>
    </row>
    <row r="1004" spans="1:6" x14ac:dyDescent="0.25">
      <c r="A1004" t="s">
        <v>1038</v>
      </c>
      <c r="B1004" s="13">
        <f t="shared" si="18"/>
        <v>10</v>
      </c>
      <c r="C1004" s="3" t="s">
        <v>262</v>
      </c>
      <c r="D1004" s="7">
        <v>6.9444444444444441E-3</v>
      </c>
      <c r="E1004" s="4" t="s">
        <v>1</v>
      </c>
      <c r="F1004" s="8" t="s">
        <v>7</v>
      </c>
    </row>
    <row r="1005" spans="1:6" x14ac:dyDescent="0.25">
      <c r="A1005" t="s">
        <v>1038</v>
      </c>
      <c r="B1005" s="13">
        <f t="shared" si="18"/>
        <v>10</v>
      </c>
      <c r="C1005" s="3" t="s">
        <v>866</v>
      </c>
      <c r="D1005" s="7">
        <v>6.9444444444444441E-3</v>
      </c>
      <c r="E1005" s="4" t="s">
        <v>1</v>
      </c>
      <c r="F1005" s="8" t="s">
        <v>7</v>
      </c>
    </row>
    <row r="1006" spans="1:6" x14ac:dyDescent="0.25">
      <c r="A1006" t="s">
        <v>1038</v>
      </c>
      <c r="B1006" s="13">
        <f t="shared" si="18"/>
        <v>0</v>
      </c>
      <c r="C1006" s="3" t="s">
        <v>265</v>
      </c>
      <c r="D1006" s="3"/>
      <c r="E1006" s="4" t="s">
        <v>1</v>
      </c>
      <c r="F1006" s="4" t="s">
        <v>17</v>
      </c>
    </row>
    <row r="1007" spans="1:6" x14ac:dyDescent="0.25">
      <c r="A1007" t="s">
        <v>1038</v>
      </c>
      <c r="B1007" s="13">
        <f t="shared" si="18"/>
        <v>10</v>
      </c>
      <c r="C1007" s="3" t="s">
        <v>267</v>
      </c>
      <c r="D1007" s="7">
        <v>6.9444444444444441E-3</v>
      </c>
      <c r="E1007" s="4" t="s">
        <v>1</v>
      </c>
      <c r="F1007" s="8" t="s">
        <v>7</v>
      </c>
    </row>
    <row r="1008" spans="1:6" x14ac:dyDescent="0.25">
      <c r="A1008" t="s">
        <v>1038</v>
      </c>
      <c r="B1008" s="13">
        <f t="shared" si="18"/>
        <v>10</v>
      </c>
      <c r="C1008" s="3" t="s">
        <v>269</v>
      </c>
      <c r="D1008" s="7">
        <v>6.9444444444444441E-3</v>
      </c>
      <c r="E1008" s="4" t="s">
        <v>1</v>
      </c>
      <c r="F1008" s="8" t="s">
        <v>7</v>
      </c>
    </row>
    <row r="1009" spans="1:6" x14ac:dyDescent="0.25">
      <c r="A1009" t="s">
        <v>1038</v>
      </c>
      <c r="B1009" s="13">
        <f t="shared" si="18"/>
        <v>10</v>
      </c>
      <c r="C1009" s="3" t="s">
        <v>867</v>
      </c>
      <c r="D1009" s="7">
        <v>6.9444444444444441E-3</v>
      </c>
      <c r="E1009" s="4" t="s">
        <v>1</v>
      </c>
      <c r="F1009" s="8" t="s">
        <v>7</v>
      </c>
    </row>
    <row r="1010" spans="1:6" x14ac:dyDescent="0.25">
      <c r="A1010" t="s">
        <v>1038</v>
      </c>
      <c r="B1010" s="13">
        <f t="shared" si="18"/>
        <v>0</v>
      </c>
      <c r="C1010" s="3" t="s">
        <v>274</v>
      </c>
      <c r="D1010" s="3"/>
      <c r="E1010" s="4" t="s">
        <v>1</v>
      </c>
      <c r="F1010" s="4" t="s">
        <v>17</v>
      </c>
    </row>
    <row r="1011" spans="1:6" x14ac:dyDescent="0.25">
      <c r="A1011" t="s">
        <v>1038</v>
      </c>
      <c r="B1011" s="13">
        <f t="shared" si="18"/>
        <v>10</v>
      </c>
      <c r="C1011" s="17" t="s">
        <v>868</v>
      </c>
      <c r="D1011" s="19">
        <v>6.9444444444444441E-3</v>
      </c>
      <c r="E1011" s="21" t="s">
        <v>1</v>
      </c>
      <c r="F1011" s="5" t="s">
        <v>7</v>
      </c>
    </row>
    <row r="1012" spans="1:6" x14ac:dyDescent="0.25">
      <c r="A1012" t="s">
        <v>1038</v>
      </c>
      <c r="B1012" s="13">
        <f t="shared" si="18"/>
        <v>0</v>
      </c>
      <c r="C1012" s="18"/>
      <c r="D1012" s="20"/>
      <c r="E1012" s="22"/>
      <c r="F1012" s="6" t="s">
        <v>584</v>
      </c>
    </row>
    <row r="1013" spans="1:6" x14ac:dyDescent="0.25">
      <c r="A1013" t="s">
        <v>1038</v>
      </c>
      <c r="B1013" s="13">
        <f t="shared" si="18"/>
        <v>75</v>
      </c>
      <c r="C1013" s="17" t="s">
        <v>277</v>
      </c>
      <c r="D1013" s="19">
        <v>5.2083333333333336E-2</v>
      </c>
      <c r="E1013" s="21" t="s">
        <v>1</v>
      </c>
      <c r="F1013" s="5" t="s">
        <v>221</v>
      </c>
    </row>
    <row r="1014" spans="1:6" x14ac:dyDescent="0.25">
      <c r="A1014" t="s">
        <v>1038</v>
      </c>
      <c r="B1014" s="13">
        <f t="shared" si="18"/>
        <v>0</v>
      </c>
      <c r="C1014" s="18"/>
      <c r="D1014" s="20"/>
      <c r="E1014" s="22"/>
      <c r="F1014" s="6" t="s">
        <v>869</v>
      </c>
    </row>
    <row r="1015" spans="1:6" x14ac:dyDescent="0.25">
      <c r="A1015" t="s">
        <v>1038</v>
      </c>
      <c r="B1015" s="13">
        <f t="shared" si="18"/>
        <v>111</v>
      </c>
      <c r="C1015" s="17" t="s">
        <v>279</v>
      </c>
      <c r="D1015" s="19">
        <v>7.7083333333333337E-2</v>
      </c>
      <c r="E1015" s="21" t="s">
        <v>1</v>
      </c>
      <c r="F1015" s="5" t="s">
        <v>529</v>
      </c>
    </row>
    <row r="1016" spans="1:6" x14ac:dyDescent="0.25">
      <c r="A1016" t="s">
        <v>1038</v>
      </c>
      <c r="B1016" s="13">
        <f t="shared" si="18"/>
        <v>0</v>
      </c>
      <c r="C1016" s="18"/>
      <c r="D1016" s="20"/>
      <c r="E1016" s="22"/>
      <c r="F1016" s="6" t="s">
        <v>870</v>
      </c>
    </row>
    <row r="1017" spans="1:6" x14ac:dyDescent="0.25">
      <c r="A1017" t="s">
        <v>1038</v>
      </c>
      <c r="B1017" s="13">
        <f t="shared" si="18"/>
        <v>0</v>
      </c>
      <c r="C1017" s="3" t="s">
        <v>871</v>
      </c>
      <c r="D1017" s="3"/>
      <c r="E1017" s="4" t="s">
        <v>1</v>
      </c>
      <c r="F1017" s="4" t="s">
        <v>17</v>
      </c>
    </row>
    <row r="1018" spans="1:6" x14ac:dyDescent="0.25">
      <c r="A1018" t="s">
        <v>1038</v>
      </c>
      <c r="B1018" s="13">
        <f t="shared" si="18"/>
        <v>10</v>
      </c>
      <c r="C1018" s="3" t="s">
        <v>280</v>
      </c>
      <c r="D1018" s="7">
        <v>6.9444444444444441E-3</v>
      </c>
      <c r="E1018" s="4" t="s">
        <v>1</v>
      </c>
      <c r="F1018" s="8" t="s">
        <v>7</v>
      </c>
    </row>
    <row r="1019" spans="1:6" x14ac:dyDescent="0.25">
      <c r="A1019" t="s">
        <v>1038</v>
      </c>
      <c r="B1019" s="13">
        <f t="shared" si="18"/>
        <v>10</v>
      </c>
      <c r="C1019" s="3" t="s">
        <v>283</v>
      </c>
      <c r="D1019" s="7">
        <v>6.9444444444444441E-3</v>
      </c>
      <c r="E1019" s="4" t="s">
        <v>1</v>
      </c>
      <c r="F1019" s="8" t="s">
        <v>7</v>
      </c>
    </row>
    <row r="1020" spans="1:6" x14ac:dyDescent="0.25">
      <c r="A1020" t="s">
        <v>1038</v>
      </c>
      <c r="B1020" s="13">
        <f t="shared" si="18"/>
        <v>46</v>
      </c>
      <c r="C1020" s="17" t="s">
        <v>286</v>
      </c>
      <c r="D1020" s="19">
        <v>3.1944444444444442E-2</v>
      </c>
      <c r="E1020" s="21" t="s">
        <v>1</v>
      </c>
      <c r="F1020" s="5" t="s">
        <v>335</v>
      </c>
    </row>
    <row r="1021" spans="1:6" x14ac:dyDescent="0.25">
      <c r="A1021" t="s">
        <v>1038</v>
      </c>
      <c r="B1021" s="13">
        <f t="shared" si="18"/>
        <v>0</v>
      </c>
      <c r="C1021" s="18"/>
      <c r="D1021" s="20"/>
      <c r="E1021" s="22"/>
      <c r="F1021" s="6" t="s">
        <v>872</v>
      </c>
    </row>
    <row r="1022" spans="1:6" x14ac:dyDescent="0.25">
      <c r="A1022" t="s">
        <v>1038</v>
      </c>
      <c r="B1022" s="13">
        <f t="shared" si="18"/>
        <v>15</v>
      </c>
      <c r="C1022" s="17" t="s">
        <v>288</v>
      </c>
      <c r="D1022" s="19">
        <v>1.0416666666666666E-2</v>
      </c>
      <c r="E1022" s="21" t="s">
        <v>1</v>
      </c>
      <c r="F1022" s="5" t="s">
        <v>115</v>
      </c>
    </row>
    <row r="1023" spans="1:6" x14ac:dyDescent="0.25">
      <c r="A1023" t="s">
        <v>1038</v>
      </c>
      <c r="B1023" s="13">
        <f t="shared" si="18"/>
        <v>0</v>
      </c>
      <c r="C1023" s="18"/>
      <c r="D1023" s="20"/>
      <c r="E1023" s="22"/>
      <c r="F1023" s="6" t="s">
        <v>70</v>
      </c>
    </row>
    <row r="1024" spans="1:6" x14ac:dyDescent="0.25">
      <c r="A1024" t="s">
        <v>1038</v>
      </c>
      <c r="B1024" s="13">
        <f t="shared" si="18"/>
        <v>0</v>
      </c>
      <c r="C1024" s="3" t="s">
        <v>289</v>
      </c>
      <c r="D1024" s="3"/>
      <c r="E1024" s="4" t="s">
        <v>1</v>
      </c>
      <c r="F1024" s="4" t="s">
        <v>17</v>
      </c>
    </row>
    <row r="1025" spans="1:6" x14ac:dyDescent="0.25">
      <c r="A1025" t="s">
        <v>1038</v>
      </c>
      <c r="B1025" s="13">
        <f t="shared" si="18"/>
        <v>0</v>
      </c>
      <c r="C1025" s="3" t="s">
        <v>873</v>
      </c>
      <c r="D1025" s="3"/>
      <c r="E1025" s="4" t="s">
        <v>1</v>
      </c>
      <c r="F1025" s="4" t="s">
        <v>17</v>
      </c>
    </row>
    <row r="1026" spans="1:6" x14ac:dyDescent="0.25">
      <c r="A1026" t="s">
        <v>1038</v>
      </c>
      <c r="B1026" s="13">
        <f t="shared" si="18"/>
        <v>20</v>
      </c>
      <c r="C1026" s="17" t="s">
        <v>290</v>
      </c>
      <c r="D1026" s="19">
        <v>1.3888888888888888E-2</v>
      </c>
      <c r="E1026" s="21" t="s">
        <v>1</v>
      </c>
      <c r="F1026" s="5" t="s">
        <v>136</v>
      </c>
    </row>
    <row r="1027" spans="1:6" x14ac:dyDescent="0.25">
      <c r="A1027" t="s">
        <v>1038</v>
      </c>
      <c r="B1027" s="13">
        <f t="shared" si="18"/>
        <v>0</v>
      </c>
      <c r="C1027" s="18"/>
      <c r="D1027" s="20"/>
      <c r="E1027" s="22"/>
      <c r="F1027" s="6" t="s">
        <v>320</v>
      </c>
    </row>
    <row r="1028" spans="1:6" x14ac:dyDescent="0.25">
      <c r="A1028" t="s">
        <v>1038</v>
      </c>
      <c r="B1028" s="13">
        <f t="shared" si="18"/>
        <v>0</v>
      </c>
      <c r="C1028" s="3" t="s">
        <v>291</v>
      </c>
      <c r="D1028" s="3"/>
      <c r="E1028" s="4" t="s">
        <v>1</v>
      </c>
      <c r="F1028" s="4" t="s">
        <v>17</v>
      </c>
    </row>
    <row r="1029" spans="1:6" x14ac:dyDescent="0.25">
      <c r="A1029" t="s">
        <v>1038</v>
      </c>
      <c r="B1029" s="13">
        <f t="shared" si="18"/>
        <v>10</v>
      </c>
      <c r="C1029" s="3" t="s">
        <v>292</v>
      </c>
      <c r="D1029" s="7">
        <v>6.9444444444444441E-3</v>
      </c>
      <c r="E1029" s="4" t="s">
        <v>1</v>
      </c>
      <c r="F1029" s="8" t="s">
        <v>7</v>
      </c>
    </row>
    <row r="1030" spans="1:6" x14ac:dyDescent="0.25">
      <c r="A1030" t="s">
        <v>1038</v>
      </c>
      <c r="B1030" s="13">
        <f t="shared" si="18"/>
        <v>0</v>
      </c>
      <c r="C1030" s="3" t="s">
        <v>293</v>
      </c>
      <c r="D1030" s="3"/>
      <c r="E1030" s="4" t="s">
        <v>1</v>
      </c>
      <c r="F1030" s="4" t="s">
        <v>17</v>
      </c>
    </row>
    <row r="1031" spans="1:6" x14ac:dyDescent="0.25">
      <c r="A1031" t="s">
        <v>1038</v>
      </c>
      <c r="B1031" s="13">
        <f t="shared" si="18"/>
        <v>10</v>
      </c>
      <c r="C1031" s="3" t="s">
        <v>294</v>
      </c>
      <c r="D1031" s="7">
        <v>6.9444444444444441E-3</v>
      </c>
      <c r="E1031" s="4" t="s">
        <v>1</v>
      </c>
      <c r="F1031" s="8" t="s">
        <v>7</v>
      </c>
    </row>
    <row r="1032" spans="1:6" x14ac:dyDescent="0.25">
      <c r="A1032" t="s">
        <v>1038</v>
      </c>
      <c r="B1032" s="13">
        <f t="shared" si="18"/>
        <v>10</v>
      </c>
      <c r="C1032" s="3" t="s">
        <v>295</v>
      </c>
      <c r="D1032" s="7">
        <v>6.9444444444444441E-3</v>
      </c>
      <c r="E1032" s="4" t="s">
        <v>1</v>
      </c>
      <c r="F1032" s="8" t="s">
        <v>7</v>
      </c>
    </row>
    <row r="1033" spans="1:6" x14ac:dyDescent="0.25">
      <c r="A1033" t="s">
        <v>1038</v>
      </c>
      <c r="B1033" s="13">
        <f t="shared" si="18"/>
        <v>90</v>
      </c>
      <c r="C1033" s="17" t="s">
        <v>874</v>
      </c>
      <c r="D1033" s="19">
        <v>6.25E-2</v>
      </c>
      <c r="E1033" s="21" t="s">
        <v>1</v>
      </c>
      <c r="F1033" s="5" t="s">
        <v>875</v>
      </c>
    </row>
    <row r="1034" spans="1:6" x14ac:dyDescent="0.25">
      <c r="A1034" t="s">
        <v>1038</v>
      </c>
      <c r="B1034" s="13">
        <f t="shared" si="18"/>
        <v>0</v>
      </c>
      <c r="C1034" s="18"/>
      <c r="D1034" s="20"/>
      <c r="E1034" s="22"/>
      <c r="F1034" s="6" t="s">
        <v>876</v>
      </c>
    </row>
    <row r="1035" spans="1:6" x14ac:dyDescent="0.25">
      <c r="A1035" t="s">
        <v>1038</v>
      </c>
      <c r="B1035" s="13">
        <f t="shared" si="18"/>
        <v>10</v>
      </c>
      <c r="C1035" s="3" t="s">
        <v>877</v>
      </c>
      <c r="D1035" s="7">
        <v>6.9444444444444441E-3</v>
      </c>
      <c r="E1035" s="4" t="s">
        <v>1</v>
      </c>
      <c r="F1035" s="8" t="s">
        <v>7</v>
      </c>
    </row>
    <row r="1036" spans="1:6" x14ac:dyDescent="0.25">
      <c r="A1036" t="s">
        <v>1038</v>
      </c>
      <c r="B1036" s="13">
        <f t="shared" si="18"/>
        <v>10</v>
      </c>
      <c r="C1036" s="17" t="s">
        <v>299</v>
      </c>
      <c r="D1036" s="19">
        <v>6.9444444444444441E-3</v>
      </c>
      <c r="E1036" s="21" t="s">
        <v>1</v>
      </c>
      <c r="F1036" s="5" t="s">
        <v>7</v>
      </c>
    </row>
    <row r="1037" spans="1:6" x14ac:dyDescent="0.25">
      <c r="A1037" t="s">
        <v>1038</v>
      </c>
      <c r="B1037" s="13">
        <f t="shared" si="18"/>
        <v>0</v>
      </c>
      <c r="C1037" s="18"/>
      <c r="D1037" s="20"/>
      <c r="E1037" s="22"/>
      <c r="F1037" s="6" t="s">
        <v>8</v>
      </c>
    </row>
    <row r="1038" spans="1:6" x14ac:dyDescent="0.25">
      <c r="A1038" t="s">
        <v>1038</v>
      </c>
      <c r="B1038" s="13">
        <f t="shared" si="18"/>
        <v>15</v>
      </c>
      <c r="C1038" s="17" t="s">
        <v>302</v>
      </c>
      <c r="D1038" s="19">
        <v>1.0416666666666666E-2</v>
      </c>
      <c r="E1038" s="21" t="s">
        <v>1</v>
      </c>
      <c r="F1038" s="5" t="s">
        <v>115</v>
      </c>
    </row>
    <row r="1039" spans="1:6" x14ac:dyDescent="0.25">
      <c r="A1039" t="s">
        <v>1038</v>
      </c>
      <c r="B1039" s="13">
        <f t="shared" si="18"/>
        <v>0</v>
      </c>
      <c r="C1039" s="18"/>
      <c r="D1039" s="20"/>
      <c r="E1039" s="22"/>
      <c r="F1039" s="6" t="s">
        <v>116</v>
      </c>
    </row>
    <row r="1040" spans="1:6" x14ac:dyDescent="0.25">
      <c r="A1040" t="s">
        <v>1038</v>
      </c>
      <c r="B1040" s="13">
        <f t="shared" si="18"/>
        <v>20</v>
      </c>
      <c r="C1040" s="17" t="s">
        <v>305</v>
      </c>
      <c r="D1040" s="19">
        <v>1.3888888888888888E-2</v>
      </c>
      <c r="E1040" s="21" t="s">
        <v>1</v>
      </c>
      <c r="F1040" s="5" t="s">
        <v>136</v>
      </c>
    </row>
    <row r="1041" spans="1:6" x14ac:dyDescent="0.25">
      <c r="A1041" t="s">
        <v>1038</v>
      </c>
      <c r="B1041" s="13">
        <f t="shared" si="18"/>
        <v>0</v>
      </c>
      <c r="C1041" s="18"/>
      <c r="D1041" s="20"/>
      <c r="E1041" s="22"/>
      <c r="F1041" s="6" t="s">
        <v>64</v>
      </c>
    </row>
    <row r="1042" spans="1:6" x14ac:dyDescent="0.25">
      <c r="A1042" t="s">
        <v>1038</v>
      </c>
      <c r="B1042" s="13">
        <f t="shared" si="18"/>
        <v>0</v>
      </c>
      <c r="C1042" s="3" t="s">
        <v>878</v>
      </c>
      <c r="D1042" s="3"/>
      <c r="E1042" s="4" t="s">
        <v>1</v>
      </c>
      <c r="F1042" s="4" t="s">
        <v>17</v>
      </c>
    </row>
    <row r="1043" spans="1:6" x14ac:dyDescent="0.25">
      <c r="A1043" t="s">
        <v>1038</v>
      </c>
      <c r="B1043" s="13">
        <f t="shared" si="18"/>
        <v>0</v>
      </c>
      <c r="C1043" s="3" t="s">
        <v>879</v>
      </c>
      <c r="D1043" s="3"/>
      <c r="E1043" s="4" t="s">
        <v>1</v>
      </c>
      <c r="F1043" s="4" t="s">
        <v>17</v>
      </c>
    </row>
    <row r="1044" spans="1:6" x14ac:dyDescent="0.25">
      <c r="A1044" t="s">
        <v>1038</v>
      </c>
      <c r="B1044" s="13">
        <f t="shared" si="18"/>
        <v>10</v>
      </c>
      <c r="C1044" s="3" t="s">
        <v>309</v>
      </c>
      <c r="D1044" s="7">
        <v>6.9444444444444441E-3</v>
      </c>
      <c r="E1044" s="4" t="s">
        <v>1</v>
      </c>
      <c r="F1044" s="8" t="s">
        <v>7</v>
      </c>
    </row>
    <row r="1045" spans="1:6" x14ac:dyDescent="0.25">
      <c r="A1045" t="s">
        <v>1038</v>
      </c>
      <c r="B1045" s="13">
        <f t="shared" si="18"/>
        <v>10</v>
      </c>
      <c r="C1045" s="17" t="s">
        <v>310</v>
      </c>
      <c r="D1045" s="19">
        <v>6.9444444444444441E-3</v>
      </c>
      <c r="E1045" s="21" t="s">
        <v>1</v>
      </c>
      <c r="F1045" s="5" t="s">
        <v>7</v>
      </c>
    </row>
    <row r="1046" spans="1:6" x14ac:dyDescent="0.25">
      <c r="A1046" t="s">
        <v>1038</v>
      </c>
      <c r="B1046" s="13">
        <f t="shared" si="18"/>
        <v>0</v>
      </c>
      <c r="C1046" s="18"/>
      <c r="D1046" s="20"/>
      <c r="E1046" s="22"/>
      <c r="F1046" s="6" t="s">
        <v>8</v>
      </c>
    </row>
    <row r="1047" spans="1:6" x14ac:dyDescent="0.25">
      <c r="A1047" t="s">
        <v>1038</v>
      </c>
      <c r="B1047" s="13">
        <f t="shared" si="18"/>
        <v>0</v>
      </c>
      <c r="C1047" s="3" t="s">
        <v>313</v>
      </c>
      <c r="D1047" s="3"/>
      <c r="E1047" s="4" t="s">
        <v>1</v>
      </c>
      <c r="F1047" s="4" t="s">
        <v>17</v>
      </c>
    </row>
    <row r="1048" spans="1:6" x14ac:dyDescent="0.25">
      <c r="A1048" t="s">
        <v>1038</v>
      </c>
      <c r="B1048" s="13">
        <f t="shared" si="18"/>
        <v>10</v>
      </c>
      <c r="C1048" s="3" t="s">
        <v>880</v>
      </c>
      <c r="D1048" s="7">
        <v>6.9444444444444441E-3</v>
      </c>
      <c r="E1048" s="4" t="s">
        <v>1</v>
      </c>
      <c r="F1048" s="8" t="s">
        <v>7</v>
      </c>
    </row>
    <row r="1049" spans="1:6" x14ac:dyDescent="0.25">
      <c r="A1049" t="s">
        <v>1038</v>
      </c>
      <c r="B1049" s="13">
        <f t="shared" si="18"/>
        <v>10</v>
      </c>
      <c r="C1049" s="17" t="s">
        <v>881</v>
      </c>
      <c r="D1049" s="19">
        <v>6.9444444444444441E-3</v>
      </c>
      <c r="E1049" s="21" t="s">
        <v>1</v>
      </c>
      <c r="F1049" s="5" t="s">
        <v>7</v>
      </c>
    </row>
    <row r="1050" spans="1:6" x14ac:dyDescent="0.25">
      <c r="A1050" t="s">
        <v>1038</v>
      </c>
      <c r="B1050" s="13">
        <f t="shared" si="18"/>
        <v>0</v>
      </c>
      <c r="C1050" s="18"/>
      <c r="D1050" s="20"/>
      <c r="E1050" s="22"/>
      <c r="F1050" s="6" t="s">
        <v>8</v>
      </c>
    </row>
    <row r="1051" spans="1:6" x14ac:dyDescent="0.25">
      <c r="A1051" t="s">
        <v>1038</v>
      </c>
      <c r="B1051" s="13">
        <f t="shared" si="18"/>
        <v>10</v>
      </c>
      <c r="C1051" s="3" t="s">
        <v>314</v>
      </c>
      <c r="D1051" s="7">
        <v>6.9444444444444441E-3</v>
      </c>
      <c r="E1051" s="4" t="s">
        <v>1</v>
      </c>
      <c r="F1051" s="8" t="s">
        <v>7</v>
      </c>
    </row>
    <row r="1052" spans="1:6" x14ac:dyDescent="0.25">
      <c r="A1052" t="s">
        <v>1038</v>
      </c>
      <c r="B1052" s="13">
        <f t="shared" si="18"/>
        <v>20</v>
      </c>
      <c r="C1052" s="17" t="s">
        <v>882</v>
      </c>
      <c r="D1052" s="19">
        <v>1.3888888888888888E-2</v>
      </c>
      <c r="E1052" s="21" t="s">
        <v>1</v>
      </c>
      <c r="F1052" s="5" t="s">
        <v>136</v>
      </c>
    </row>
    <row r="1053" spans="1:6" x14ac:dyDescent="0.25">
      <c r="A1053" t="s">
        <v>1038</v>
      </c>
      <c r="B1053" s="13">
        <f t="shared" si="18"/>
        <v>0</v>
      </c>
      <c r="C1053" s="18"/>
      <c r="D1053" s="20"/>
      <c r="E1053" s="22"/>
      <c r="F1053" s="6" t="s">
        <v>64</v>
      </c>
    </row>
    <row r="1054" spans="1:6" x14ac:dyDescent="0.25">
      <c r="A1054" t="s">
        <v>1038</v>
      </c>
      <c r="B1054" s="13">
        <f t="shared" ref="B1054:B1117" si="19">D1054*24*60</f>
        <v>24</v>
      </c>
      <c r="C1054" s="17" t="s">
        <v>316</v>
      </c>
      <c r="D1054" s="19">
        <v>1.6666666666666666E-2</v>
      </c>
      <c r="E1054" s="21" t="s">
        <v>1</v>
      </c>
      <c r="F1054" s="5" t="s">
        <v>281</v>
      </c>
    </row>
    <row r="1055" spans="1:6" x14ac:dyDescent="0.25">
      <c r="A1055" t="s">
        <v>1038</v>
      </c>
      <c r="B1055" s="13">
        <f t="shared" si="19"/>
        <v>0</v>
      </c>
      <c r="C1055" s="18"/>
      <c r="D1055" s="20"/>
      <c r="E1055" s="22"/>
      <c r="F1055" s="6" t="s">
        <v>883</v>
      </c>
    </row>
    <row r="1056" spans="1:6" x14ac:dyDescent="0.25">
      <c r="A1056" t="s">
        <v>1038</v>
      </c>
      <c r="B1056" s="13">
        <f t="shared" si="19"/>
        <v>10</v>
      </c>
      <c r="C1056" s="17" t="s">
        <v>319</v>
      </c>
      <c r="D1056" s="19">
        <v>6.9444444444444441E-3</v>
      </c>
      <c r="E1056" s="21" t="s">
        <v>1</v>
      </c>
      <c r="F1056" s="5" t="s">
        <v>7</v>
      </c>
    </row>
    <row r="1057" spans="1:6" x14ac:dyDescent="0.25">
      <c r="A1057" t="s">
        <v>1038</v>
      </c>
      <c r="B1057" s="13">
        <f t="shared" si="19"/>
        <v>0</v>
      </c>
      <c r="C1057" s="18"/>
      <c r="D1057" s="20"/>
      <c r="E1057" s="22"/>
      <c r="F1057" s="6" t="s">
        <v>8</v>
      </c>
    </row>
    <row r="1058" spans="1:6" x14ac:dyDescent="0.25">
      <c r="A1058" t="s">
        <v>1038</v>
      </c>
      <c r="B1058" s="13">
        <f t="shared" si="19"/>
        <v>10</v>
      </c>
      <c r="C1058" s="3" t="s">
        <v>884</v>
      </c>
      <c r="D1058" s="7">
        <v>6.9444444444444441E-3</v>
      </c>
      <c r="E1058" s="4" t="s">
        <v>1</v>
      </c>
      <c r="F1058" s="8" t="s">
        <v>7</v>
      </c>
    </row>
    <row r="1059" spans="1:6" x14ac:dyDescent="0.25">
      <c r="A1059" t="s">
        <v>1038</v>
      </c>
      <c r="B1059" s="13">
        <f t="shared" si="19"/>
        <v>10</v>
      </c>
      <c r="C1059" s="3" t="s">
        <v>885</v>
      </c>
      <c r="D1059" s="7">
        <v>6.9444444444444441E-3</v>
      </c>
      <c r="E1059" s="4" t="s">
        <v>1</v>
      </c>
      <c r="F1059" s="8" t="s">
        <v>7</v>
      </c>
    </row>
    <row r="1060" spans="1:6" x14ac:dyDescent="0.25">
      <c r="A1060" t="s">
        <v>1038</v>
      </c>
      <c r="B1060" s="13">
        <f t="shared" si="19"/>
        <v>10</v>
      </c>
      <c r="C1060" s="3" t="s">
        <v>886</v>
      </c>
      <c r="D1060" s="7">
        <v>6.9444444444444441E-3</v>
      </c>
      <c r="E1060" s="4" t="s">
        <v>1</v>
      </c>
      <c r="F1060" s="8" t="s">
        <v>7</v>
      </c>
    </row>
    <row r="1061" spans="1:6" x14ac:dyDescent="0.25">
      <c r="A1061" t="s">
        <v>1038</v>
      </c>
      <c r="B1061" s="13">
        <f t="shared" si="19"/>
        <v>0</v>
      </c>
      <c r="C1061" s="3" t="s">
        <v>323</v>
      </c>
      <c r="D1061" s="3"/>
      <c r="E1061" s="4" t="s">
        <v>1</v>
      </c>
      <c r="F1061" s="4" t="s">
        <v>17</v>
      </c>
    </row>
    <row r="1062" spans="1:6" x14ac:dyDescent="0.25">
      <c r="A1062" t="s">
        <v>1038</v>
      </c>
      <c r="B1062" s="13">
        <f t="shared" si="19"/>
        <v>170.99999999999997</v>
      </c>
      <c r="C1062" s="17" t="s">
        <v>324</v>
      </c>
      <c r="D1062" s="19">
        <v>0.11874999999999999</v>
      </c>
      <c r="E1062" s="21" t="s">
        <v>1</v>
      </c>
      <c r="F1062" s="5" t="s">
        <v>887</v>
      </c>
    </row>
    <row r="1063" spans="1:6" x14ac:dyDescent="0.25">
      <c r="A1063" t="s">
        <v>1038</v>
      </c>
      <c r="B1063" s="13">
        <f t="shared" si="19"/>
        <v>0</v>
      </c>
      <c r="C1063" s="18"/>
      <c r="D1063" s="20"/>
      <c r="E1063" s="22"/>
      <c r="F1063" s="6" t="s">
        <v>888</v>
      </c>
    </row>
    <row r="1064" spans="1:6" x14ac:dyDescent="0.25">
      <c r="A1064" t="s">
        <v>1038</v>
      </c>
      <c r="B1064" s="13">
        <f t="shared" si="19"/>
        <v>10</v>
      </c>
      <c r="C1064" s="17" t="s">
        <v>325</v>
      </c>
      <c r="D1064" s="19">
        <v>6.9444444444444441E-3</v>
      </c>
      <c r="E1064" s="21" t="s">
        <v>1</v>
      </c>
      <c r="F1064" s="5" t="s">
        <v>7</v>
      </c>
    </row>
    <row r="1065" spans="1:6" x14ac:dyDescent="0.25">
      <c r="A1065" t="s">
        <v>1038</v>
      </c>
      <c r="B1065" s="13">
        <f t="shared" si="19"/>
        <v>0</v>
      </c>
      <c r="C1065" s="18"/>
      <c r="D1065" s="20"/>
      <c r="E1065" s="22"/>
      <c r="F1065" s="6" t="s">
        <v>43</v>
      </c>
    </row>
    <row r="1066" spans="1:6" x14ac:dyDescent="0.25">
      <c r="A1066" t="s">
        <v>1038</v>
      </c>
      <c r="B1066" s="13">
        <f t="shared" si="19"/>
        <v>10</v>
      </c>
      <c r="C1066" s="3" t="s">
        <v>889</v>
      </c>
      <c r="D1066" s="7">
        <v>6.9444444444444441E-3</v>
      </c>
      <c r="E1066" s="4" t="s">
        <v>1</v>
      </c>
      <c r="F1066" s="8" t="s">
        <v>7</v>
      </c>
    </row>
    <row r="1067" spans="1:6" x14ac:dyDescent="0.25">
      <c r="A1067" t="s">
        <v>1038</v>
      </c>
      <c r="B1067" s="13">
        <f t="shared" si="19"/>
        <v>10</v>
      </c>
      <c r="C1067" s="17" t="s">
        <v>328</v>
      </c>
      <c r="D1067" s="19">
        <v>6.9444444444444441E-3</v>
      </c>
      <c r="E1067" s="21" t="s">
        <v>1</v>
      </c>
      <c r="F1067" s="5" t="s">
        <v>7</v>
      </c>
    </row>
    <row r="1068" spans="1:6" x14ac:dyDescent="0.25">
      <c r="A1068" t="s">
        <v>1038</v>
      </c>
      <c r="B1068" s="13">
        <f t="shared" si="19"/>
        <v>0</v>
      </c>
      <c r="C1068" s="18"/>
      <c r="D1068" s="20"/>
      <c r="E1068" s="22"/>
      <c r="F1068" s="6" t="s">
        <v>8</v>
      </c>
    </row>
    <row r="1069" spans="1:6" x14ac:dyDescent="0.25">
      <c r="A1069" t="s">
        <v>1038</v>
      </c>
      <c r="B1069" s="13">
        <f t="shared" si="19"/>
        <v>12.999999999999998</v>
      </c>
      <c r="C1069" s="17" t="s">
        <v>330</v>
      </c>
      <c r="D1069" s="19">
        <v>9.0277777777777769E-3</v>
      </c>
      <c r="E1069" s="21" t="s">
        <v>1</v>
      </c>
      <c r="F1069" s="5" t="s">
        <v>830</v>
      </c>
    </row>
    <row r="1070" spans="1:6" x14ac:dyDescent="0.25">
      <c r="A1070" t="s">
        <v>1038</v>
      </c>
      <c r="B1070" s="13">
        <f t="shared" si="19"/>
        <v>0</v>
      </c>
      <c r="C1070" s="18"/>
      <c r="D1070" s="20"/>
      <c r="E1070" s="22"/>
      <c r="F1070" s="6" t="s">
        <v>890</v>
      </c>
    </row>
    <row r="1071" spans="1:6" x14ac:dyDescent="0.25">
      <c r="A1071" t="s">
        <v>1038</v>
      </c>
      <c r="B1071" s="13">
        <f t="shared" si="19"/>
        <v>10</v>
      </c>
      <c r="C1071" s="17" t="s">
        <v>334</v>
      </c>
      <c r="D1071" s="19">
        <v>6.9444444444444441E-3</v>
      </c>
      <c r="E1071" s="21" t="s">
        <v>1</v>
      </c>
      <c r="F1071" s="5" t="s">
        <v>7</v>
      </c>
    </row>
    <row r="1072" spans="1:6" x14ac:dyDescent="0.25">
      <c r="A1072" t="s">
        <v>1038</v>
      </c>
      <c r="B1072" s="13">
        <f t="shared" si="19"/>
        <v>0</v>
      </c>
      <c r="C1072" s="18"/>
      <c r="D1072" s="20"/>
      <c r="E1072" s="22"/>
      <c r="F1072" s="6" t="s">
        <v>43</v>
      </c>
    </row>
    <row r="1073" spans="1:6" x14ac:dyDescent="0.25">
      <c r="A1073" t="s">
        <v>1038</v>
      </c>
      <c r="B1073" s="13">
        <f t="shared" si="19"/>
        <v>12.999999999999998</v>
      </c>
      <c r="C1073" s="17" t="s">
        <v>337</v>
      </c>
      <c r="D1073" s="19">
        <v>9.0277777777777769E-3</v>
      </c>
      <c r="E1073" s="21" t="s">
        <v>1</v>
      </c>
      <c r="F1073" s="5" t="s">
        <v>830</v>
      </c>
    </row>
    <row r="1074" spans="1:6" x14ac:dyDescent="0.25">
      <c r="A1074" t="s">
        <v>1038</v>
      </c>
      <c r="B1074" s="13">
        <f t="shared" si="19"/>
        <v>0</v>
      </c>
      <c r="C1074" s="18"/>
      <c r="D1074" s="20"/>
      <c r="E1074" s="22"/>
      <c r="F1074" s="6" t="s">
        <v>891</v>
      </c>
    </row>
    <row r="1075" spans="1:6" x14ac:dyDescent="0.25">
      <c r="A1075" t="s">
        <v>1038</v>
      </c>
      <c r="B1075" s="13">
        <f t="shared" si="19"/>
        <v>10</v>
      </c>
      <c r="C1075" s="3" t="s">
        <v>892</v>
      </c>
      <c r="D1075" s="7">
        <v>6.9444444444444441E-3</v>
      </c>
      <c r="E1075" s="4" t="s">
        <v>1</v>
      </c>
      <c r="F1075" s="8" t="s">
        <v>7</v>
      </c>
    </row>
    <row r="1076" spans="1:6" x14ac:dyDescent="0.25">
      <c r="A1076" t="s">
        <v>1038</v>
      </c>
      <c r="B1076" s="13">
        <f t="shared" si="19"/>
        <v>10</v>
      </c>
      <c r="C1076" s="3" t="s">
        <v>340</v>
      </c>
      <c r="D1076" s="7">
        <v>6.9444444444444441E-3</v>
      </c>
      <c r="E1076" s="4" t="s">
        <v>1</v>
      </c>
      <c r="F1076" s="8" t="s">
        <v>7</v>
      </c>
    </row>
    <row r="1077" spans="1:6" x14ac:dyDescent="0.25">
      <c r="A1077" t="s">
        <v>1038</v>
      </c>
      <c r="B1077" s="13">
        <f t="shared" si="19"/>
        <v>10</v>
      </c>
      <c r="C1077" s="3" t="s">
        <v>893</v>
      </c>
      <c r="D1077" s="7">
        <v>6.9444444444444441E-3</v>
      </c>
      <c r="E1077" s="4" t="s">
        <v>1</v>
      </c>
      <c r="F1077" s="8" t="s">
        <v>7</v>
      </c>
    </row>
    <row r="1078" spans="1:6" x14ac:dyDescent="0.25">
      <c r="A1078" t="s">
        <v>1038</v>
      </c>
      <c r="B1078" s="13">
        <f t="shared" si="19"/>
        <v>0</v>
      </c>
      <c r="C1078" s="3" t="s">
        <v>894</v>
      </c>
      <c r="D1078" s="3"/>
      <c r="E1078" s="4" t="s">
        <v>1</v>
      </c>
      <c r="F1078" s="4" t="s">
        <v>17</v>
      </c>
    </row>
    <row r="1079" spans="1:6" x14ac:dyDescent="0.25">
      <c r="A1079" t="s">
        <v>1038</v>
      </c>
      <c r="B1079" s="13">
        <f t="shared" si="19"/>
        <v>10</v>
      </c>
      <c r="C1079" s="17" t="s">
        <v>895</v>
      </c>
      <c r="D1079" s="19">
        <v>6.9444444444444441E-3</v>
      </c>
      <c r="E1079" s="21" t="s">
        <v>1</v>
      </c>
      <c r="F1079" s="5" t="s">
        <v>7</v>
      </c>
    </row>
    <row r="1080" spans="1:6" x14ac:dyDescent="0.25">
      <c r="A1080" t="s">
        <v>1038</v>
      </c>
      <c r="B1080" s="13">
        <f t="shared" si="19"/>
        <v>0</v>
      </c>
      <c r="C1080" s="18"/>
      <c r="D1080" s="20"/>
      <c r="E1080" s="22"/>
      <c r="F1080" s="6" t="s">
        <v>10</v>
      </c>
    </row>
    <row r="1081" spans="1:6" x14ac:dyDescent="0.25">
      <c r="A1081" t="s">
        <v>1038</v>
      </c>
      <c r="B1081" s="13">
        <f t="shared" si="19"/>
        <v>25</v>
      </c>
      <c r="C1081" s="17" t="s">
        <v>344</v>
      </c>
      <c r="D1081" s="19">
        <v>1.7361111111111112E-2</v>
      </c>
      <c r="E1081" s="21" t="s">
        <v>1</v>
      </c>
      <c r="F1081" s="5" t="s">
        <v>12</v>
      </c>
    </row>
    <row r="1082" spans="1:6" x14ac:dyDescent="0.25">
      <c r="A1082" t="s">
        <v>1038</v>
      </c>
      <c r="B1082" s="13">
        <f t="shared" si="19"/>
        <v>0</v>
      </c>
      <c r="C1082" s="18"/>
      <c r="D1082" s="20"/>
      <c r="E1082" s="22"/>
      <c r="F1082" s="6" t="s">
        <v>768</v>
      </c>
    </row>
    <row r="1083" spans="1:6" x14ac:dyDescent="0.25">
      <c r="A1083" t="s">
        <v>1038</v>
      </c>
      <c r="B1083" s="13">
        <f t="shared" si="19"/>
        <v>15</v>
      </c>
      <c r="C1083" s="17" t="s">
        <v>347</v>
      </c>
      <c r="D1083" s="19">
        <v>1.0416666666666666E-2</v>
      </c>
      <c r="E1083" s="21" t="s">
        <v>1</v>
      </c>
      <c r="F1083" s="5" t="s">
        <v>115</v>
      </c>
    </row>
    <row r="1084" spans="1:6" x14ac:dyDescent="0.25">
      <c r="A1084" t="s">
        <v>1038</v>
      </c>
      <c r="B1084" s="13">
        <f t="shared" si="19"/>
        <v>0</v>
      </c>
      <c r="C1084" s="18"/>
      <c r="D1084" s="20"/>
      <c r="E1084" s="22"/>
      <c r="F1084" s="6" t="s">
        <v>70</v>
      </c>
    </row>
    <row r="1085" spans="1:6" x14ac:dyDescent="0.25">
      <c r="A1085" t="s">
        <v>1038</v>
      </c>
      <c r="B1085" s="13">
        <f t="shared" si="19"/>
        <v>10</v>
      </c>
      <c r="C1085" s="3" t="s">
        <v>348</v>
      </c>
      <c r="D1085" s="7">
        <v>6.9444444444444441E-3</v>
      </c>
      <c r="E1085" s="4" t="s">
        <v>1</v>
      </c>
      <c r="F1085" s="8" t="s">
        <v>7</v>
      </c>
    </row>
    <row r="1086" spans="1:6" x14ac:dyDescent="0.25">
      <c r="A1086" t="s">
        <v>1038</v>
      </c>
      <c r="B1086" s="13">
        <f t="shared" si="19"/>
        <v>10</v>
      </c>
      <c r="C1086" s="17" t="s">
        <v>896</v>
      </c>
      <c r="D1086" s="19">
        <v>6.9444444444444441E-3</v>
      </c>
      <c r="E1086" s="21" t="s">
        <v>1</v>
      </c>
      <c r="F1086" s="5" t="s">
        <v>7</v>
      </c>
    </row>
    <row r="1087" spans="1:6" x14ac:dyDescent="0.25">
      <c r="A1087" t="s">
        <v>1038</v>
      </c>
      <c r="B1087" s="13">
        <f t="shared" si="19"/>
        <v>0</v>
      </c>
      <c r="C1087" s="18"/>
      <c r="D1087" s="20"/>
      <c r="E1087" s="22"/>
      <c r="F1087" s="6" t="s">
        <v>85</v>
      </c>
    </row>
    <row r="1088" spans="1:6" x14ac:dyDescent="0.25">
      <c r="A1088" t="s">
        <v>1038</v>
      </c>
      <c r="B1088" s="13">
        <f t="shared" si="19"/>
        <v>0</v>
      </c>
      <c r="C1088" s="3" t="s">
        <v>897</v>
      </c>
      <c r="D1088" s="3"/>
      <c r="E1088" s="4" t="s">
        <v>1</v>
      </c>
      <c r="F1088" s="4" t="s">
        <v>17</v>
      </c>
    </row>
    <row r="1089" spans="1:6" x14ac:dyDescent="0.25">
      <c r="A1089" t="s">
        <v>1038</v>
      </c>
      <c r="B1089" s="13">
        <f t="shared" si="19"/>
        <v>20</v>
      </c>
      <c r="C1089" s="17" t="s">
        <v>898</v>
      </c>
      <c r="D1089" s="19">
        <v>1.3888888888888888E-2</v>
      </c>
      <c r="E1089" s="21" t="s">
        <v>1</v>
      </c>
      <c r="F1089" s="5" t="s">
        <v>136</v>
      </c>
    </row>
    <row r="1090" spans="1:6" x14ac:dyDescent="0.25">
      <c r="A1090" t="s">
        <v>1038</v>
      </c>
      <c r="B1090" s="13">
        <f t="shared" si="19"/>
        <v>0</v>
      </c>
      <c r="C1090" s="18"/>
      <c r="D1090" s="20"/>
      <c r="E1090" s="22"/>
      <c r="F1090" s="6" t="s">
        <v>137</v>
      </c>
    </row>
    <row r="1091" spans="1:6" x14ac:dyDescent="0.25">
      <c r="A1091" t="s">
        <v>1038</v>
      </c>
      <c r="B1091" s="13">
        <f t="shared" si="19"/>
        <v>10</v>
      </c>
      <c r="C1091" s="3" t="s">
        <v>351</v>
      </c>
      <c r="D1091" s="7">
        <v>6.9444444444444441E-3</v>
      </c>
      <c r="E1091" s="4" t="s">
        <v>1</v>
      </c>
      <c r="F1091" s="8" t="s">
        <v>7</v>
      </c>
    </row>
    <row r="1092" spans="1:6" x14ac:dyDescent="0.25">
      <c r="A1092" t="s">
        <v>1038</v>
      </c>
      <c r="B1092" s="13">
        <f t="shared" si="19"/>
        <v>10</v>
      </c>
      <c r="C1092" s="3" t="s">
        <v>899</v>
      </c>
      <c r="D1092" s="7">
        <v>6.9444444444444441E-3</v>
      </c>
      <c r="E1092" s="4" t="s">
        <v>1</v>
      </c>
      <c r="F1092" s="8" t="s">
        <v>7</v>
      </c>
    </row>
    <row r="1093" spans="1:6" x14ac:dyDescent="0.25">
      <c r="A1093" t="s">
        <v>1038</v>
      </c>
      <c r="B1093" s="13">
        <f t="shared" si="19"/>
        <v>10</v>
      </c>
      <c r="C1093" s="3" t="s">
        <v>900</v>
      </c>
      <c r="D1093" s="7">
        <v>6.9444444444444441E-3</v>
      </c>
      <c r="E1093" s="4" t="s">
        <v>1</v>
      </c>
      <c r="F1093" s="8" t="s">
        <v>7</v>
      </c>
    </row>
    <row r="1094" spans="1:6" x14ac:dyDescent="0.25">
      <c r="A1094" t="s">
        <v>1038</v>
      </c>
      <c r="B1094" s="13">
        <f t="shared" si="19"/>
        <v>20</v>
      </c>
      <c r="C1094" s="17" t="s">
        <v>353</v>
      </c>
      <c r="D1094" s="19">
        <v>1.3888888888888888E-2</v>
      </c>
      <c r="E1094" s="21" t="s">
        <v>1</v>
      </c>
      <c r="F1094" s="5" t="s">
        <v>136</v>
      </c>
    </row>
    <row r="1095" spans="1:6" x14ac:dyDescent="0.25">
      <c r="A1095" t="s">
        <v>1038</v>
      </c>
      <c r="B1095" s="13">
        <f t="shared" si="19"/>
        <v>0</v>
      </c>
      <c r="C1095" s="18"/>
      <c r="D1095" s="20"/>
      <c r="E1095" s="22"/>
      <c r="F1095" s="6" t="s">
        <v>64</v>
      </c>
    </row>
    <row r="1096" spans="1:6" x14ac:dyDescent="0.25">
      <c r="A1096" t="s">
        <v>1038</v>
      </c>
      <c r="B1096" s="13">
        <f t="shared" si="19"/>
        <v>0</v>
      </c>
      <c r="C1096" s="3" t="s">
        <v>356</v>
      </c>
      <c r="D1096" s="3"/>
      <c r="E1096" s="4" t="s">
        <v>1</v>
      </c>
      <c r="F1096" s="4" t="s">
        <v>17</v>
      </c>
    </row>
    <row r="1097" spans="1:6" x14ac:dyDescent="0.25">
      <c r="A1097" t="s">
        <v>1038</v>
      </c>
      <c r="B1097" s="13">
        <f t="shared" si="19"/>
        <v>10</v>
      </c>
      <c r="C1097" s="3" t="s">
        <v>359</v>
      </c>
      <c r="D1097" s="7">
        <v>6.9444444444444441E-3</v>
      </c>
      <c r="E1097" s="4" t="s">
        <v>1</v>
      </c>
      <c r="F1097" s="8" t="s">
        <v>7</v>
      </c>
    </row>
    <row r="1098" spans="1:6" x14ac:dyDescent="0.25">
      <c r="A1098" t="s">
        <v>1038</v>
      </c>
      <c r="B1098" s="13">
        <f t="shared" si="19"/>
        <v>10</v>
      </c>
      <c r="C1098" s="3" t="s">
        <v>361</v>
      </c>
      <c r="D1098" s="7">
        <v>6.9444444444444441E-3</v>
      </c>
      <c r="E1098" s="4" t="s">
        <v>1</v>
      </c>
      <c r="F1098" s="8" t="s">
        <v>7</v>
      </c>
    </row>
    <row r="1099" spans="1:6" x14ac:dyDescent="0.25">
      <c r="A1099" t="s">
        <v>1038</v>
      </c>
      <c r="B1099" s="13">
        <f t="shared" si="19"/>
        <v>20</v>
      </c>
      <c r="C1099" s="17" t="s">
        <v>363</v>
      </c>
      <c r="D1099" s="19">
        <v>1.3888888888888888E-2</v>
      </c>
      <c r="E1099" s="21" t="s">
        <v>1</v>
      </c>
      <c r="F1099" s="5" t="s">
        <v>136</v>
      </c>
    </row>
    <row r="1100" spans="1:6" x14ac:dyDescent="0.25">
      <c r="A1100" t="s">
        <v>1038</v>
      </c>
      <c r="B1100" s="13">
        <f t="shared" si="19"/>
        <v>0</v>
      </c>
      <c r="C1100" s="18"/>
      <c r="D1100" s="20"/>
      <c r="E1100" s="22"/>
      <c r="F1100" s="6" t="s">
        <v>504</v>
      </c>
    </row>
    <row r="1101" spans="1:6" x14ac:dyDescent="0.25">
      <c r="A1101" t="s">
        <v>1038</v>
      </c>
      <c r="B1101" s="13">
        <f t="shared" si="19"/>
        <v>0</v>
      </c>
      <c r="C1101" s="3" t="s">
        <v>901</v>
      </c>
      <c r="D1101" s="3"/>
      <c r="E1101" s="4" t="s">
        <v>1</v>
      </c>
      <c r="F1101" s="4" t="s">
        <v>17</v>
      </c>
    </row>
    <row r="1102" spans="1:6" x14ac:dyDescent="0.25">
      <c r="A1102" t="s">
        <v>1038</v>
      </c>
      <c r="B1102" s="13">
        <f t="shared" si="19"/>
        <v>10</v>
      </c>
      <c r="C1102" s="3" t="s">
        <v>902</v>
      </c>
      <c r="D1102" s="7">
        <v>6.9444444444444441E-3</v>
      </c>
      <c r="E1102" s="4" t="s">
        <v>1</v>
      </c>
      <c r="F1102" s="8" t="s">
        <v>7</v>
      </c>
    </row>
    <row r="1103" spans="1:6" x14ac:dyDescent="0.25">
      <c r="A1103" t="s">
        <v>1038</v>
      </c>
      <c r="B1103" s="13">
        <f t="shared" si="19"/>
        <v>11</v>
      </c>
      <c r="C1103" s="17" t="s">
        <v>366</v>
      </c>
      <c r="D1103" s="19">
        <v>7.6388888888888886E-3</v>
      </c>
      <c r="E1103" s="21" t="s">
        <v>1</v>
      </c>
      <c r="F1103" s="5" t="s">
        <v>442</v>
      </c>
    </row>
    <row r="1104" spans="1:6" x14ac:dyDescent="0.25">
      <c r="A1104" t="s">
        <v>1038</v>
      </c>
      <c r="B1104" s="13">
        <f t="shared" si="19"/>
        <v>0</v>
      </c>
      <c r="C1104" s="18"/>
      <c r="D1104" s="20"/>
      <c r="E1104" s="22"/>
      <c r="F1104" s="6" t="s">
        <v>740</v>
      </c>
    </row>
    <row r="1105" spans="1:6" x14ac:dyDescent="0.25">
      <c r="A1105" t="s">
        <v>1038</v>
      </c>
      <c r="B1105" s="13">
        <f t="shared" si="19"/>
        <v>11</v>
      </c>
      <c r="C1105" s="17" t="s">
        <v>369</v>
      </c>
      <c r="D1105" s="19">
        <v>7.6388888888888886E-3</v>
      </c>
      <c r="E1105" s="21" t="s">
        <v>1</v>
      </c>
      <c r="F1105" s="5" t="s">
        <v>442</v>
      </c>
    </row>
    <row r="1106" spans="1:6" x14ac:dyDescent="0.25">
      <c r="A1106" t="s">
        <v>1038</v>
      </c>
      <c r="B1106" s="13">
        <f t="shared" si="19"/>
        <v>0</v>
      </c>
      <c r="C1106" s="18"/>
      <c r="D1106" s="20"/>
      <c r="E1106" s="22"/>
      <c r="F1106" s="6" t="s">
        <v>498</v>
      </c>
    </row>
    <row r="1107" spans="1:6" x14ac:dyDescent="0.25">
      <c r="A1107" t="s">
        <v>1038</v>
      </c>
      <c r="B1107" s="13">
        <f t="shared" si="19"/>
        <v>0</v>
      </c>
      <c r="C1107" s="3" t="s">
        <v>372</v>
      </c>
      <c r="D1107" s="3"/>
      <c r="E1107" s="4" t="s">
        <v>1</v>
      </c>
      <c r="F1107" s="4" t="s">
        <v>17</v>
      </c>
    </row>
    <row r="1108" spans="1:6" x14ac:dyDescent="0.25">
      <c r="A1108" t="s">
        <v>1038</v>
      </c>
      <c r="B1108" s="13">
        <f t="shared" si="19"/>
        <v>0</v>
      </c>
      <c r="C1108" s="3" t="s">
        <v>378</v>
      </c>
      <c r="D1108" s="3"/>
      <c r="E1108" s="4" t="s">
        <v>1</v>
      </c>
      <c r="F1108" s="4" t="s">
        <v>17</v>
      </c>
    </row>
    <row r="1109" spans="1:6" x14ac:dyDescent="0.25">
      <c r="A1109" t="s">
        <v>1038</v>
      </c>
      <c r="B1109" s="13">
        <f t="shared" si="19"/>
        <v>10</v>
      </c>
      <c r="C1109" s="3" t="s">
        <v>903</v>
      </c>
      <c r="D1109" s="7">
        <v>6.9444444444444441E-3</v>
      </c>
      <c r="E1109" s="4" t="s">
        <v>1</v>
      </c>
      <c r="F1109" s="8" t="s">
        <v>7</v>
      </c>
    </row>
    <row r="1110" spans="1:6" x14ac:dyDescent="0.25">
      <c r="A1110" t="s">
        <v>1038</v>
      </c>
      <c r="B1110" s="13">
        <f t="shared" si="19"/>
        <v>0</v>
      </c>
      <c r="C1110" s="3" t="s">
        <v>381</v>
      </c>
      <c r="D1110" s="3"/>
      <c r="E1110" s="4" t="s">
        <v>1</v>
      </c>
      <c r="F1110" s="4" t="s">
        <v>17</v>
      </c>
    </row>
    <row r="1111" spans="1:6" x14ac:dyDescent="0.25">
      <c r="A1111" t="s">
        <v>1038</v>
      </c>
      <c r="B1111" s="13">
        <f t="shared" si="19"/>
        <v>37</v>
      </c>
      <c r="C1111" s="17" t="s">
        <v>904</v>
      </c>
      <c r="D1111" s="19">
        <v>2.5694444444444443E-2</v>
      </c>
      <c r="E1111" s="21" t="s">
        <v>1</v>
      </c>
      <c r="F1111" s="5" t="s">
        <v>397</v>
      </c>
    </row>
    <row r="1112" spans="1:6" x14ac:dyDescent="0.25">
      <c r="A1112" t="s">
        <v>1038</v>
      </c>
      <c r="B1112" s="13">
        <f t="shared" si="19"/>
        <v>0</v>
      </c>
      <c r="C1112" s="18"/>
      <c r="D1112" s="20"/>
      <c r="E1112" s="22"/>
      <c r="F1112" s="6" t="s">
        <v>905</v>
      </c>
    </row>
    <row r="1113" spans="1:6" x14ac:dyDescent="0.25">
      <c r="A1113" t="s">
        <v>1038</v>
      </c>
      <c r="B1113" s="13">
        <f t="shared" si="19"/>
        <v>15</v>
      </c>
      <c r="C1113" s="17" t="s">
        <v>906</v>
      </c>
      <c r="D1113" s="19">
        <v>1.0416666666666666E-2</v>
      </c>
      <c r="E1113" s="21" t="s">
        <v>1</v>
      </c>
      <c r="F1113" s="5" t="s">
        <v>115</v>
      </c>
    </row>
    <row r="1114" spans="1:6" x14ac:dyDescent="0.25">
      <c r="A1114" t="s">
        <v>1038</v>
      </c>
      <c r="B1114" s="13">
        <f t="shared" si="19"/>
        <v>0</v>
      </c>
      <c r="C1114" s="18"/>
      <c r="D1114" s="20"/>
      <c r="E1114" s="22"/>
      <c r="F1114" s="6" t="s">
        <v>70</v>
      </c>
    </row>
    <row r="1115" spans="1:6" x14ac:dyDescent="0.25">
      <c r="A1115" t="s">
        <v>1038</v>
      </c>
      <c r="B1115" s="13">
        <f t="shared" si="19"/>
        <v>0</v>
      </c>
      <c r="C1115" s="3" t="s">
        <v>907</v>
      </c>
      <c r="D1115" s="3"/>
      <c r="E1115" s="4" t="s">
        <v>1</v>
      </c>
      <c r="F1115" s="4" t="s">
        <v>17</v>
      </c>
    </row>
    <row r="1116" spans="1:6" x14ac:dyDescent="0.25">
      <c r="A1116" t="s">
        <v>1038</v>
      </c>
      <c r="B1116" s="13">
        <f t="shared" si="19"/>
        <v>0</v>
      </c>
      <c r="C1116" s="3" t="s">
        <v>908</v>
      </c>
      <c r="D1116" s="3"/>
      <c r="E1116" s="4" t="s">
        <v>1</v>
      </c>
      <c r="F1116" s="3" t="s">
        <v>909</v>
      </c>
    </row>
    <row r="1117" spans="1:6" x14ac:dyDescent="0.25">
      <c r="A1117" t="s">
        <v>1038</v>
      </c>
      <c r="B1117" s="13">
        <f t="shared" si="19"/>
        <v>0</v>
      </c>
      <c r="C1117" s="3" t="s">
        <v>384</v>
      </c>
      <c r="D1117" s="3"/>
      <c r="E1117" s="4" t="s">
        <v>1</v>
      </c>
      <c r="F1117" s="4" t="s">
        <v>17</v>
      </c>
    </row>
    <row r="1118" spans="1:6" x14ac:dyDescent="0.25">
      <c r="A1118" t="s">
        <v>1038</v>
      </c>
      <c r="B1118" s="13">
        <f t="shared" ref="B1118:B1181" si="20">D1118*24*60</f>
        <v>10</v>
      </c>
      <c r="C1118" s="3" t="s">
        <v>910</v>
      </c>
      <c r="D1118" s="7">
        <v>6.9444444444444441E-3</v>
      </c>
      <c r="E1118" s="4" t="s">
        <v>1</v>
      </c>
      <c r="F1118" s="8" t="s">
        <v>7</v>
      </c>
    </row>
    <row r="1119" spans="1:6" x14ac:dyDescent="0.25">
      <c r="A1119" t="s">
        <v>1038</v>
      </c>
      <c r="B1119" s="13">
        <f t="shared" si="20"/>
        <v>0</v>
      </c>
      <c r="C1119" s="3" t="s">
        <v>387</v>
      </c>
      <c r="D1119" s="3"/>
      <c r="E1119" s="4" t="s">
        <v>1</v>
      </c>
      <c r="F1119" s="4" t="s">
        <v>17</v>
      </c>
    </row>
    <row r="1120" spans="1:6" x14ac:dyDescent="0.25">
      <c r="A1120" t="s">
        <v>1038</v>
      </c>
      <c r="B1120" s="13">
        <f t="shared" si="20"/>
        <v>45</v>
      </c>
      <c r="C1120" s="17" t="s">
        <v>390</v>
      </c>
      <c r="D1120" s="19">
        <v>3.125E-2</v>
      </c>
      <c r="E1120" s="21" t="s">
        <v>1</v>
      </c>
      <c r="F1120" s="5" t="s">
        <v>191</v>
      </c>
    </row>
    <row r="1121" spans="1:6" x14ac:dyDescent="0.25">
      <c r="A1121" t="s">
        <v>1038</v>
      </c>
      <c r="B1121" s="13">
        <f t="shared" si="20"/>
        <v>0</v>
      </c>
      <c r="C1121" s="18"/>
      <c r="D1121" s="20"/>
      <c r="E1121" s="22"/>
      <c r="F1121" s="6" t="s">
        <v>911</v>
      </c>
    </row>
    <row r="1122" spans="1:6" x14ac:dyDescent="0.25">
      <c r="A1122" t="s">
        <v>1038</v>
      </c>
      <c r="B1122" s="13">
        <f t="shared" si="20"/>
        <v>10</v>
      </c>
      <c r="C1122" s="3" t="s">
        <v>391</v>
      </c>
      <c r="D1122" s="7">
        <v>6.9444444444444441E-3</v>
      </c>
      <c r="E1122" s="4" t="s">
        <v>1</v>
      </c>
      <c r="F1122" s="8" t="s">
        <v>7</v>
      </c>
    </row>
    <row r="1123" spans="1:6" x14ac:dyDescent="0.25">
      <c r="A1123" t="s">
        <v>1038</v>
      </c>
      <c r="B1123" s="13">
        <f t="shared" si="20"/>
        <v>10</v>
      </c>
      <c r="C1123" s="3" t="s">
        <v>392</v>
      </c>
      <c r="D1123" s="7">
        <v>6.9444444444444441E-3</v>
      </c>
      <c r="E1123" s="4" t="s">
        <v>1</v>
      </c>
      <c r="F1123" s="8" t="s">
        <v>7</v>
      </c>
    </row>
    <row r="1124" spans="1:6" x14ac:dyDescent="0.25">
      <c r="A1124" t="s">
        <v>1038</v>
      </c>
      <c r="B1124" s="13">
        <f t="shared" si="20"/>
        <v>0</v>
      </c>
      <c r="C1124" s="3" t="s">
        <v>393</v>
      </c>
      <c r="D1124" s="3"/>
      <c r="E1124" s="4" t="s">
        <v>1</v>
      </c>
      <c r="F1124" s="4" t="s">
        <v>17</v>
      </c>
    </row>
    <row r="1125" spans="1:6" x14ac:dyDescent="0.25">
      <c r="A1125" t="s">
        <v>1038</v>
      </c>
      <c r="B1125" s="13">
        <f t="shared" si="20"/>
        <v>0</v>
      </c>
      <c r="C1125" s="3" t="s">
        <v>396</v>
      </c>
      <c r="D1125" s="3"/>
      <c r="E1125" s="4" t="s">
        <v>1</v>
      </c>
      <c r="F1125" s="4" t="s">
        <v>17</v>
      </c>
    </row>
    <row r="1126" spans="1:6" x14ac:dyDescent="0.25">
      <c r="A1126" t="s">
        <v>1038</v>
      </c>
      <c r="B1126" s="13">
        <f t="shared" si="20"/>
        <v>20</v>
      </c>
      <c r="C1126" s="17" t="s">
        <v>912</v>
      </c>
      <c r="D1126" s="19">
        <v>1.3888888888888888E-2</v>
      </c>
      <c r="E1126" s="21" t="s">
        <v>1</v>
      </c>
      <c r="F1126" s="5" t="s">
        <v>136</v>
      </c>
    </row>
    <row r="1127" spans="1:6" x14ac:dyDescent="0.25">
      <c r="A1127" t="s">
        <v>1038</v>
      </c>
      <c r="B1127" s="13">
        <f t="shared" si="20"/>
        <v>0</v>
      </c>
      <c r="C1127" s="18"/>
      <c r="D1127" s="20"/>
      <c r="E1127" s="22"/>
      <c r="F1127" s="6" t="s">
        <v>64</v>
      </c>
    </row>
    <row r="1128" spans="1:6" x14ac:dyDescent="0.25">
      <c r="A1128" t="s">
        <v>1038</v>
      </c>
      <c r="B1128" s="13">
        <f t="shared" si="20"/>
        <v>10</v>
      </c>
      <c r="C1128" s="3" t="s">
        <v>399</v>
      </c>
      <c r="D1128" s="7">
        <v>6.9444444444444441E-3</v>
      </c>
      <c r="E1128" s="4" t="s">
        <v>1</v>
      </c>
      <c r="F1128" s="8" t="s">
        <v>7</v>
      </c>
    </row>
    <row r="1129" spans="1:6" x14ac:dyDescent="0.25">
      <c r="A1129" t="s">
        <v>1038</v>
      </c>
      <c r="B1129" s="13">
        <f t="shared" si="20"/>
        <v>10</v>
      </c>
      <c r="C1129" s="17" t="s">
        <v>402</v>
      </c>
      <c r="D1129" s="19">
        <v>6.9444444444444441E-3</v>
      </c>
      <c r="E1129" s="21" t="s">
        <v>1</v>
      </c>
      <c r="F1129" s="5" t="s">
        <v>7</v>
      </c>
    </row>
    <row r="1130" spans="1:6" x14ac:dyDescent="0.25">
      <c r="A1130" t="s">
        <v>1038</v>
      </c>
      <c r="B1130" s="13">
        <f t="shared" si="20"/>
        <v>0</v>
      </c>
      <c r="C1130" s="18"/>
      <c r="D1130" s="20"/>
      <c r="E1130" s="22"/>
      <c r="F1130" s="6" t="s">
        <v>584</v>
      </c>
    </row>
    <row r="1131" spans="1:6" x14ac:dyDescent="0.25">
      <c r="A1131" t="s">
        <v>1038</v>
      </c>
      <c r="B1131" s="13">
        <f t="shared" si="20"/>
        <v>10</v>
      </c>
      <c r="C1131" s="3" t="s">
        <v>913</v>
      </c>
      <c r="D1131" s="7">
        <v>6.9444444444444441E-3</v>
      </c>
      <c r="E1131" s="4" t="s">
        <v>1</v>
      </c>
      <c r="F1131" s="8" t="s">
        <v>7</v>
      </c>
    </row>
    <row r="1132" spans="1:6" x14ac:dyDescent="0.25">
      <c r="A1132" t="s">
        <v>1038</v>
      </c>
      <c r="B1132" s="13">
        <f t="shared" si="20"/>
        <v>10</v>
      </c>
      <c r="C1132" s="3" t="s">
        <v>405</v>
      </c>
      <c r="D1132" s="7">
        <v>6.9444444444444441E-3</v>
      </c>
      <c r="E1132" s="4" t="s">
        <v>1</v>
      </c>
      <c r="F1132" s="8" t="s">
        <v>7</v>
      </c>
    </row>
    <row r="1133" spans="1:6" x14ac:dyDescent="0.25">
      <c r="A1133" t="s">
        <v>1038</v>
      </c>
      <c r="B1133" s="13">
        <f t="shared" si="20"/>
        <v>10</v>
      </c>
      <c r="C1133" s="3" t="s">
        <v>914</v>
      </c>
      <c r="D1133" s="7">
        <v>6.9444444444444441E-3</v>
      </c>
      <c r="E1133" s="4" t="s">
        <v>1</v>
      </c>
      <c r="F1133" s="8" t="s">
        <v>7</v>
      </c>
    </row>
    <row r="1134" spans="1:6" x14ac:dyDescent="0.25">
      <c r="A1134" t="s">
        <v>1038</v>
      </c>
      <c r="B1134" s="13">
        <f t="shared" si="20"/>
        <v>10</v>
      </c>
      <c r="C1134" s="3" t="s">
        <v>915</v>
      </c>
      <c r="D1134" s="7">
        <v>6.9444444444444441E-3</v>
      </c>
      <c r="E1134" s="4" t="s">
        <v>1</v>
      </c>
      <c r="F1134" s="8" t="s">
        <v>7</v>
      </c>
    </row>
    <row r="1135" spans="1:6" x14ac:dyDescent="0.25">
      <c r="A1135" t="s">
        <v>1038</v>
      </c>
      <c r="B1135" s="13">
        <f t="shared" si="20"/>
        <v>0</v>
      </c>
      <c r="C1135" s="3" t="s">
        <v>408</v>
      </c>
      <c r="D1135" s="3"/>
      <c r="E1135" s="4" t="s">
        <v>1</v>
      </c>
      <c r="F1135" s="4" t="s">
        <v>17</v>
      </c>
    </row>
    <row r="1136" spans="1:6" x14ac:dyDescent="0.25">
      <c r="A1136" t="s">
        <v>1038</v>
      </c>
      <c r="B1136" s="13">
        <f t="shared" si="20"/>
        <v>10</v>
      </c>
      <c r="C1136" s="3" t="s">
        <v>916</v>
      </c>
      <c r="D1136" s="7">
        <v>6.9444444444444441E-3</v>
      </c>
      <c r="E1136" s="4" t="s">
        <v>1</v>
      </c>
      <c r="F1136" s="8" t="s">
        <v>7</v>
      </c>
    </row>
    <row r="1137" spans="1:6" x14ac:dyDescent="0.25">
      <c r="A1137" t="s">
        <v>1038</v>
      </c>
      <c r="B1137" s="13">
        <f t="shared" si="20"/>
        <v>20</v>
      </c>
      <c r="C1137" s="17" t="s">
        <v>410</v>
      </c>
      <c r="D1137" s="19">
        <v>1.3888888888888888E-2</v>
      </c>
      <c r="E1137" s="21" t="s">
        <v>1</v>
      </c>
      <c r="F1137" s="5" t="s">
        <v>136</v>
      </c>
    </row>
    <row r="1138" spans="1:6" x14ac:dyDescent="0.25">
      <c r="A1138" t="s">
        <v>1038</v>
      </c>
      <c r="B1138" s="13">
        <f t="shared" si="20"/>
        <v>0</v>
      </c>
      <c r="C1138" s="18"/>
      <c r="D1138" s="20"/>
      <c r="E1138" s="22"/>
      <c r="F1138" s="6" t="s">
        <v>64</v>
      </c>
    </row>
    <row r="1139" spans="1:6" x14ac:dyDescent="0.25">
      <c r="A1139" t="s">
        <v>1038</v>
      </c>
      <c r="B1139" s="13">
        <f t="shared" si="20"/>
        <v>20</v>
      </c>
      <c r="C1139" s="17" t="s">
        <v>917</v>
      </c>
      <c r="D1139" s="19">
        <v>1.3888888888888888E-2</v>
      </c>
      <c r="E1139" s="21" t="s">
        <v>1</v>
      </c>
      <c r="F1139" s="5" t="s">
        <v>136</v>
      </c>
    </row>
    <row r="1140" spans="1:6" x14ac:dyDescent="0.25">
      <c r="A1140" t="s">
        <v>1038</v>
      </c>
      <c r="B1140" s="13">
        <f t="shared" si="20"/>
        <v>0</v>
      </c>
      <c r="C1140" s="18"/>
      <c r="D1140" s="20"/>
      <c r="E1140" s="22"/>
      <c r="F1140" s="6" t="s">
        <v>64</v>
      </c>
    </row>
    <row r="1141" spans="1:6" x14ac:dyDescent="0.25">
      <c r="A1141" t="s">
        <v>1038</v>
      </c>
      <c r="B1141" s="13">
        <f t="shared" si="20"/>
        <v>10</v>
      </c>
      <c r="C1141" s="17" t="s">
        <v>918</v>
      </c>
      <c r="D1141" s="19">
        <v>6.9444444444444441E-3</v>
      </c>
      <c r="E1141" s="21" t="s">
        <v>1</v>
      </c>
      <c r="F1141" s="5" t="s">
        <v>7</v>
      </c>
    </row>
    <row r="1142" spans="1:6" x14ac:dyDescent="0.25">
      <c r="A1142" t="s">
        <v>1038</v>
      </c>
      <c r="B1142" s="13">
        <f t="shared" si="20"/>
        <v>0</v>
      </c>
      <c r="C1142" s="18"/>
      <c r="D1142" s="20"/>
      <c r="E1142" s="22"/>
      <c r="F1142" s="6" t="s">
        <v>8</v>
      </c>
    </row>
    <row r="1143" spans="1:6" x14ac:dyDescent="0.25">
      <c r="A1143" t="s">
        <v>1038</v>
      </c>
      <c r="B1143" s="13">
        <f t="shared" si="20"/>
        <v>10</v>
      </c>
      <c r="C1143" s="3" t="s">
        <v>413</v>
      </c>
      <c r="D1143" s="7">
        <v>6.9444444444444441E-3</v>
      </c>
      <c r="E1143" s="4" t="s">
        <v>1</v>
      </c>
      <c r="F1143" s="8" t="s">
        <v>7</v>
      </c>
    </row>
    <row r="1144" spans="1:6" x14ac:dyDescent="0.25">
      <c r="A1144" t="s">
        <v>1038</v>
      </c>
      <c r="B1144" s="13">
        <f t="shared" si="20"/>
        <v>10</v>
      </c>
      <c r="C1144" s="3" t="s">
        <v>919</v>
      </c>
      <c r="D1144" s="7">
        <v>6.9444444444444441E-3</v>
      </c>
      <c r="E1144" s="4" t="s">
        <v>1</v>
      </c>
      <c r="F1144" s="8" t="s">
        <v>7</v>
      </c>
    </row>
    <row r="1145" spans="1:6" x14ac:dyDescent="0.25">
      <c r="A1145" t="s">
        <v>1038</v>
      </c>
      <c r="B1145" s="13">
        <f t="shared" si="20"/>
        <v>10</v>
      </c>
      <c r="C1145" s="3" t="s">
        <v>415</v>
      </c>
      <c r="D1145" s="7">
        <v>6.9444444444444441E-3</v>
      </c>
      <c r="E1145" s="4" t="s">
        <v>1</v>
      </c>
      <c r="F1145" s="8" t="s">
        <v>7</v>
      </c>
    </row>
    <row r="1146" spans="1:6" x14ac:dyDescent="0.25">
      <c r="A1146" t="s">
        <v>1038</v>
      </c>
      <c r="B1146" s="13">
        <f t="shared" si="20"/>
        <v>11</v>
      </c>
      <c r="C1146" s="17" t="s">
        <v>920</v>
      </c>
      <c r="D1146" s="19">
        <v>7.6388888888888886E-3</v>
      </c>
      <c r="E1146" s="21" t="s">
        <v>1</v>
      </c>
      <c r="F1146" s="5" t="s">
        <v>442</v>
      </c>
    </row>
    <row r="1147" spans="1:6" x14ac:dyDescent="0.25">
      <c r="A1147" t="s">
        <v>1038</v>
      </c>
      <c r="B1147" s="13">
        <f t="shared" si="20"/>
        <v>0</v>
      </c>
      <c r="C1147" s="18"/>
      <c r="D1147" s="20"/>
      <c r="E1147" s="22"/>
      <c r="F1147" s="6" t="s">
        <v>443</v>
      </c>
    </row>
    <row r="1148" spans="1:6" x14ac:dyDescent="0.25">
      <c r="A1148" t="s">
        <v>1038</v>
      </c>
      <c r="B1148" s="13">
        <f t="shared" si="20"/>
        <v>10</v>
      </c>
      <c r="C1148" s="3" t="s">
        <v>417</v>
      </c>
      <c r="D1148" s="7">
        <v>6.9444444444444441E-3</v>
      </c>
      <c r="E1148" s="4" t="s">
        <v>1</v>
      </c>
      <c r="F1148" s="8" t="s">
        <v>7</v>
      </c>
    </row>
    <row r="1149" spans="1:6" x14ac:dyDescent="0.25">
      <c r="A1149" t="s">
        <v>1038</v>
      </c>
      <c r="B1149" s="13">
        <f t="shared" si="20"/>
        <v>0</v>
      </c>
      <c r="C1149" s="3" t="s">
        <v>419</v>
      </c>
      <c r="D1149" s="3"/>
      <c r="E1149" s="4" t="s">
        <v>1</v>
      </c>
      <c r="F1149" s="4" t="s">
        <v>17</v>
      </c>
    </row>
    <row r="1150" spans="1:6" x14ac:dyDescent="0.25">
      <c r="A1150" t="s">
        <v>1038</v>
      </c>
      <c r="B1150" s="13">
        <f t="shared" si="20"/>
        <v>0</v>
      </c>
      <c r="C1150" s="3" t="s">
        <v>420</v>
      </c>
      <c r="D1150" s="3"/>
      <c r="E1150" s="4" t="s">
        <v>1</v>
      </c>
      <c r="F1150" s="4" t="s">
        <v>17</v>
      </c>
    </row>
    <row r="1151" spans="1:6" x14ac:dyDescent="0.25">
      <c r="A1151" t="s">
        <v>1038</v>
      </c>
      <c r="B1151" s="13">
        <f t="shared" si="20"/>
        <v>10</v>
      </c>
      <c r="C1151" s="3" t="s">
        <v>423</v>
      </c>
      <c r="D1151" s="7">
        <v>6.9444444444444441E-3</v>
      </c>
      <c r="E1151" s="4" t="s">
        <v>1</v>
      </c>
      <c r="F1151" s="8" t="s">
        <v>7</v>
      </c>
    </row>
    <row r="1152" spans="1:6" x14ac:dyDescent="0.25">
      <c r="A1152" t="s">
        <v>1038</v>
      </c>
      <c r="B1152" s="13">
        <f t="shared" si="20"/>
        <v>19</v>
      </c>
      <c r="C1152" s="17" t="s">
        <v>426</v>
      </c>
      <c r="D1152" s="19">
        <v>1.3194444444444444E-2</v>
      </c>
      <c r="E1152" s="21" t="s">
        <v>1</v>
      </c>
      <c r="F1152" s="5" t="s">
        <v>194</v>
      </c>
    </row>
    <row r="1153" spans="1:6" x14ac:dyDescent="0.25">
      <c r="A1153" t="s">
        <v>1038</v>
      </c>
      <c r="B1153" s="13">
        <f t="shared" si="20"/>
        <v>0</v>
      </c>
      <c r="C1153" s="18"/>
      <c r="D1153" s="20"/>
      <c r="E1153" s="22"/>
      <c r="F1153" s="6" t="s">
        <v>921</v>
      </c>
    </row>
    <row r="1154" spans="1:6" x14ac:dyDescent="0.25">
      <c r="A1154" t="s">
        <v>1038</v>
      </c>
      <c r="B1154" s="13">
        <f t="shared" si="20"/>
        <v>20</v>
      </c>
      <c r="C1154" s="17" t="s">
        <v>922</v>
      </c>
      <c r="D1154" s="19">
        <v>1.3888888888888888E-2</v>
      </c>
      <c r="E1154" s="21" t="s">
        <v>1</v>
      </c>
      <c r="F1154" s="5" t="s">
        <v>136</v>
      </c>
    </row>
    <row r="1155" spans="1:6" x14ac:dyDescent="0.25">
      <c r="A1155" t="s">
        <v>1038</v>
      </c>
      <c r="B1155" s="13">
        <f t="shared" si="20"/>
        <v>0</v>
      </c>
      <c r="C1155" s="18"/>
      <c r="D1155" s="20"/>
      <c r="E1155" s="22"/>
      <c r="F1155" s="6" t="s">
        <v>504</v>
      </c>
    </row>
    <row r="1156" spans="1:6" x14ac:dyDescent="0.25">
      <c r="A1156" t="s">
        <v>1038</v>
      </c>
      <c r="B1156" s="13">
        <f t="shared" si="20"/>
        <v>10</v>
      </c>
      <c r="C1156" s="3" t="s">
        <v>429</v>
      </c>
      <c r="D1156" s="7">
        <v>6.9444444444444441E-3</v>
      </c>
      <c r="E1156" s="4" t="s">
        <v>1</v>
      </c>
      <c r="F1156" s="8" t="s">
        <v>7</v>
      </c>
    </row>
    <row r="1157" spans="1:6" x14ac:dyDescent="0.25">
      <c r="A1157" t="s">
        <v>1038</v>
      </c>
      <c r="B1157" s="13">
        <f t="shared" si="20"/>
        <v>10</v>
      </c>
      <c r="C1157" s="3" t="s">
        <v>923</v>
      </c>
      <c r="D1157" s="7">
        <v>6.9444444444444441E-3</v>
      </c>
      <c r="E1157" s="4" t="s">
        <v>1</v>
      </c>
      <c r="F1157" s="8" t="s">
        <v>7</v>
      </c>
    </row>
    <row r="1158" spans="1:6" x14ac:dyDescent="0.25">
      <c r="A1158" t="s">
        <v>1038</v>
      </c>
      <c r="B1158" s="13">
        <f t="shared" si="20"/>
        <v>0</v>
      </c>
      <c r="C1158" s="3" t="s">
        <v>430</v>
      </c>
      <c r="D1158" s="3"/>
      <c r="E1158" s="4" t="s">
        <v>1</v>
      </c>
      <c r="F1158" s="4" t="s">
        <v>17</v>
      </c>
    </row>
    <row r="1159" spans="1:6" x14ac:dyDescent="0.25">
      <c r="A1159" t="s">
        <v>1038</v>
      </c>
      <c r="B1159" s="13">
        <f t="shared" si="20"/>
        <v>91</v>
      </c>
      <c r="C1159" s="17" t="s">
        <v>431</v>
      </c>
      <c r="D1159" s="19">
        <v>6.3194444444444442E-2</v>
      </c>
      <c r="E1159" s="21" t="s">
        <v>1</v>
      </c>
      <c r="F1159" s="5" t="s">
        <v>591</v>
      </c>
    </row>
    <row r="1160" spans="1:6" x14ac:dyDescent="0.25">
      <c r="A1160" t="s">
        <v>1038</v>
      </c>
      <c r="B1160" s="13">
        <f t="shared" si="20"/>
        <v>0</v>
      </c>
      <c r="C1160" s="18"/>
      <c r="D1160" s="20"/>
      <c r="E1160" s="22"/>
      <c r="F1160" s="6" t="s">
        <v>924</v>
      </c>
    </row>
    <row r="1161" spans="1:6" x14ac:dyDescent="0.25">
      <c r="A1161" t="s">
        <v>1038</v>
      </c>
      <c r="B1161" s="13">
        <f t="shared" si="20"/>
        <v>20</v>
      </c>
      <c r="C1161" s="17" t="s">
        <v>435</v>
      </c>
      <c r="D1161" s="19">
        <v>1.3888888888888888E-2</v>
      </c>
      <c r="E1161" s="21" t="s">
        <v>1</v>
      </c>
      <c r="F1161" s="5" t="s">
        <v>136</v>
      </c>
    </row>
    <row r="1162" spans="1:6" x14ac:dyDescent="0.25">
      <c r="A1162" t="s">
        <v>1038</v>
      </c>
      <c r="B1162" s="13">
        <f t="shared" si="20"/>
        <v>0</v>
      </c>
      <c r="C1162" s="18"/>
      <c r="D1162" s="20"/>
      <c r="E1162" s="22"/>
      <c r="F1162" s="6" t="s">
        <v>64</v>
      </c>
    </row>
    <row r="1163" spans="1:6" x14ac:dyDescent="0.25">
      <c r="A1163" t="s">
        <v>1038</v>
      </c>
      <c r="B1163" s="13">
        <f t="shared" si="20"/>
        <v>0</v>
      </c>
      <c r="C1163" s="17" t="s">
        <v>437</v>
      </c>
      <c r="D1163" s="17"/>
      <c r="E1163" s="21" t="s">
        <v>1</v>
      </c>
      <c r="F1163" s="1" t="s">
        <v>2</v>
      </c>
    </row>
    <row r="1164" spans="1:6" x14ac:dyDescent="0.25">
      <c r="A1164" t="s">
        <v>1038</v>
      </c>
      <c r="B1164" s="13">
        <f t="shared" si="20"/>
        <v>0</v>
      </c>
      <c r="C1164" s="18"/>
      <c r="D1164" s="18"/>
      <c r="E1164" s="22"/>
      <c r="F1164" s="2" t="s">
        <v>925</v>
      </c>
    </row>
    <row r="1165" spans="1:6" x14ac:dyDescent="0.25">
      <c r="A1165" t="s">
        <v>1038</v>
      </c>
      <c r="B1165" s="13">
        <f t="shared" si="20"/>
        <v>20</v>
      </c>
      <c r="C1165" s="17" t="s">
        <v>439</v>
      </c>
      <c r="D1165" s="19">
        <v>1.3888888888888888E-2</v>
      </c>
      <c r="E1165" s="21" t="s">
        <v>1</v>
      </c>
      <c r="F1165" s="5" t="s">
        <v>136</v>
      </c>
    </row>
    <row r="1166" spans="1:6" x14ac:dyDescent="0.25">
      <c r="A1166" t="s">
        <v>1038</v>
      </c>
      <c r="B1166" s="13">
        <f t="shared" si="20"/>
        <v>0</v>
      </c>
      <c r="C1166" s="18"/>
      <c r="D1166" s="20"/>
      <c r="E1166" s="22"/>
      <c r="F1166" s="6" t="s">
        <v>64</v>
      </c>
    </row>
    <row r="1167" spans="1:6" x14ac:dyDescent="0.25">
      <c r="A1167" t="s">
        <v>1038</v>
      </c>
      <c r="B1167" s="13">
        <f t="shared" si="20"/>
        <v>10</v>
      </c>
      <c r="C1167" s="3" t="s">
        <v>440</v>
      </c>
      <c r="D1167" s="7">
        <v>6.9444444444444441E-3</v>
      </c>
      <c r="E1167" s="4" t="s">
        <v>1</v>
      </c>
      <c r="F1167" s="8" t="s">
        <v>7</v>
      </c>
    </row>
    <row r="1168" spans="1:6" x14ac:dyDescent="0.25">
      <c r="A1168" t="s">
        <v>1038</v>
      </c>
      <c r="B1168" s="13">
        <f t="shared" si="20"/>
        <v>0</v>
      </c>
      <c r="C1168" s="3" t="s">
        <v>441</v>
      </c>
      <c r="D1168" s="3"/>
      <c r="E1168" s="4" t="s">
        <v>1</v>
      </c>
      <c r="F1168" s="4" t="s">
        <v>17</v>
      </c>
    </row>
    <row r="1169" spans="1:6" x14ac:dyDescent="0.25">
      <c r="A1169" t="s">
        <v>1038</v>
      </c>
      <c r="B1169" s="13">
        <f t="shared" si="20"/>
        <v>0</v>
      </c>
      <c r="C1169" s="3" t="s">
        <v>444</v>
      </c>
      <c r="D1169" s="3"/>
      <c r="E1169" s="4" t="s">
        <v>1</v>
      </c>
      <c r="F1169" s="4" t="s">
        <v>17</v>
      </c>
    </row>
    <row r="1170" spans="1:6" x14ac:dyDescent="0.25">
      <c r="A1170" t="s">
        <v>1038</v>
      </c>
      <c r="B1170" s="13">
        <f t="shared" si="20"/>
        <v>20</v>
      </c>
      <c r="C1170" s="17" t="s">
        <v>445</v>
      </c>
      <c r="D1170" s="19">
        <v>1.3888888888888888E-2</v>
      </c>
      <c r="E1170" s="21" t="s">
        <v>1</v>
      </c>
      <c r="F1170" s="5" t="s">
        <v>136</v>
      </c>
    </row>
    <row r="1171" spans="1:6" x14ac:dyDescent="0.25">
      <c r="A1171" t="s">
        <v>1038</v>
      </c>
      <c r="B1171" s="13">
        <f t="shared" si="20"/>
        <v>0</v>
      </c>
      <c r="C1171" s="18"/>
      <c r="D1171" s="20"/>
      <c r="E1171" s="22"/>
      <c r="F1171" s="6" t="s">
        <v>64</v>
      </c>
    </row>
    <row r="1172" spans="1:6" x14ac:dyDescent="0.25">
      <c r="A1172" t="s">
        <v>1038</v>
      </c>
      <c r="B1172" s="13">
        <f t="shared" si="20"/>
        <v>21</v>
      </c>
      <c r="C1172" s="17" t="s">
        <v>447</v>
      </c>
      <c r="D1172" s="19">
        <v>1.4583333333333334E-2</v>
      </c>
      <c r="E1172" s="21" t="s">
        <v>1</v>
      </c>
      <c r="F1172" s="5" t="s">
        <v>349</v>
      </c>
    </row>
    <row r="1173" spans="1:6" x14ac:dyDescent="0.25">
      <c r="A1173" t="s">
        <v>1038</v>
      </c>
      <c r="B1173" s="13">
        <f t="shared" si="20"/>
        <v>0</v>
      </c>
      <c r="C1173" s="18"/>
      <c r="D1173" s="20"/>
      <c r="E1173" s="22"/>
      <c r="F1173" s="6" t="s">
        <v>926</v>
      </c>
    </row>
    <row r="1174" spans="1:6" x14ac:dyDescent="0.25">
      <c r="A1174" t="s">
        <v>1038</v>
      </c>
      <c r="B1174" s="13">
        <f t="shared" si="20"/>
        <v>0</v>
      </c>
      <c r="C1174" s="3" t="s">
        <v>450</v>
      </c>
      <c r="D1174" s="3"/>
      <c r="E1174" s="4" t="s">
        <v>1</v>
      </c>
      <c r="F1174" s="4" t="s">
        <v>17</v>
      </c>
    </row>
    <row r="1175" spans="1:6" x14ac:dyDescent="0.25">
      <c r="A1175" t="s">
        <v>1038</v>
      </c>
      <c r="B1175" s="13">
        <f t="shared" si="20"/>
        <v>0</v>
      </c>
      <c r="C1175" s="3" t="s">
        <v>451</v>
      </c>
      <c r="D1175" s="3"/>
      <c r="E1175" s="4" t="s">
        <v>1</v>
      </c>
      <c r="F1175" s="4" t="s">
        <v>17</v>
      </c>
    </row>
    <row r="1176" spans="1:6" x14ac:dyDescent="0.25">
      <c r="A1176" t="s">
        <v>1038</v>
      </c>
      <c r="B1176" s="13">
        <f t="shared" si="20"/>
        <v>10</v>
      </c>
      <c r="C1176" s="3" t="s">
        <v>452</v>
      </c>
      <c r="D1176" s="7">
        <v>6.9444444444444441E-3</v>
      </c>
      <c r="E1176" s="4" t="s">
        <v>1</v>
      </c>
      <c r="F1176" s="8" t="s">
        <v>7</v>
      </c>
    </row>
    <row r="1177" spans="1:6" x14ac:dyDescent="0.25">
      <c r="A1177" t="s">
        <v>1038</v>
      </c>
      <c r="B1177" s="13">
        <f t="shared" si="20"/>
        <v>10</v>
      </c>
      <c r="C1177" s="3" t="s">
        <v>453</v>
      </c>
      <c r="D1177" s="7">
        <v>6.9444444444444441E-3</v>
      </c>
      <c r="E1177" s="4" t="s">
        <v>1</v>
      </c>
      <c r="F1177" s="8" t="s">
        <v>7</v>
      </c>
    </row>
    <row r="1178" spans="1:6" x14ac:dyDescent="0.25">
      <c r="A1178" t="s">
        <v>1038</v>
      </c>
      <c r="B1178" s="13">
        <f t="shared" si="20"/>
        <v>10</v>
      </c>
      <c r="C1178" s="3" t="s">
        <v>454</v>
      </c>
      <c r="D1178" s="7">
        <v>6.9444444444444441E-3</v>
      </c>
      <c r="E1178" s="4" t="s">
        <v>1</v>
      </c>
      <c r="F1178" s="8" t="s">
        <v>7</v>
      </c>
    </row>
    <row r="1179" spans="1:6" x14ac:dyDescent="0.25">
      <c r="A1179" t="s">
        <v>1038</v>
      </c>
      <c r="B1179" s="13">
        <f t="shared" si="20"/>
        <v>10</v>
      </c>
      <c r="C1179" s="3" t="s">
        <v>455</v>
      </c>
      <c r="D1179" s="7">
        <v>6.9444444444444441E-3</v>
      </c>
      <c r="E1179" s="4" t="s">
        <v>1</v>
      </c>
      <c r="F1179" s="8" t="s">
        <v>7</v>
      </c>
    </row>
    <row r="1180" spans="1:6" x14ac:dyDescent="0.25">
      <c r="A1180" t="s">
        <v>1038</v>
      </c>
      <c r="B1180" s="13">
        <f t="shared" si="20"/>
        <v>0</v>
      </c>
      <c r="C1180" s="3" t="s">
        <v>456</v>
      </c>
      <c r="D1180" s="3"/>
      <c r="E1180" s="4" t="s">
        <v>1</v>
      </c>
      <c r="F1180" s="4" t="s">
        <v>17</v>
      </c>
    </row>
    <row r="1181" spans="1:6" x14ac:dyDescent="0.25">
      <c r="A1181" t="s">
        <v>1038</v>
      </c>
      <c r="B1181" s="13">
        <f t="shared" si="20"/>
        <v>0</v>
      </c>
      <c r="C1181" s="3" t="s">
        <v>457</v>
      </c>
      <c r="D1181" s="3"/>
      <c r="E1181" s="4" t="s">
        <v>1</v>
      </c>
      <c r="F1181" s="4" t="s">
        <v>17</v>
      </c>
    </row>
    <row r="1182" spans="1:6" x14ac:dyDescent="0.25">
      <c r="A1182" t="s">
        <v>1038</v>
      </c>
      <c r="B1182" s="13">
        <f t="shared" ref="B1182:B1245" si="21">D1182*24*60</f>
        <v>10</v>
      </c>
      <c r="C1182" s="3" t="s">
        <v>458</v>
      </c>
      <c r="D1182" s="7">
        <v>6.9444444444444441E-3</v>
      </c>
      <c r="E1182" s="4" t="s">
        <v>1</v>
      </c>
      <c r="F1182" s="8" t="s">
        <v>7</v>
      </c>
    </row>
    <row r="1183" spans="1:6" x14ac:dyDescent="0.25">
      <c r="A1183" t="s">
        <v>1038</v>
      </c>
      <c r="B1183" s="13">
        <f t="shared" si="21"/>
        <v>0</v>
      </c>
      <c r="C1183" s="3" t="s">
        <v>459</v>
      </c>
      <c r="D1183" s="3"/>
      <c r="E1183" s="4" t="s">
        <v>1</v>
      </c>
      <c r="F1183" s="4" t="s">
        <v>17</v>
      </c>
    </row>
    <row r="1184" spans="1:6" x14ac:dyDescent="0.25">
      <c r="A1184" t="s">
        <v>1038</v>
      </c>
      <c r="B1184" s="13">
        <f t="shared" si="21"/>
        <v>10</v>
      </c>
      <c r="C1184" s="17" t="s">
        <v>462</v>
      </c>
      <c r="D1184" s="19">
        <v>6.9444444444444441E-3</v>
      </c>
      <c r="E1184" s="21" t="s">
        <v>1</v>
      </c>
      <c r="F1184" s="5" t="s">
        <v>7</v>
      </c>
    </row>
    <row r="1185" spans="1:6" x14ac:dyDescent="0.25">
      <c r="A1185" t="s">
        <v>1038</v>
      </c>
      <c r="B1185" s="13">
        <f t="shared" si="21"/>
        <v>0</v>
      </c>
      <c r="C1185" s="18"/>
      <c r="D1185" s="20"/>
      <c r="E1185" s="22"/>
      <c r="F1185" s="6" t="s">
        <v>10</v>
      </c>
    </row>
    <row r="1186" spans="1:6" x14ac:dyDescent="0.25">
      <c r="A1186" t="s">
        <v>1038</v>
      </c>
      <c r="B1186" s="13">
        <f t="shared" si="21"/>
        <v>10</v>
      </c>
      <c r="C1186" s="17" t="s">
        <v>465</v>
      </c>
      <c r="D1186" s="19">
        <v>6.9444444444444441E-3</v>
      </c>
      <c r="E1186" s="21" t="s">
        <v>1</v>
      </c>
      <c r="F1186" s="5" t="s">
        <v>7</v>
      </c>
    </row>
    <row r="1187" spans="1:6" x14ac:dyDescent="0.25">
      <c r="A1187" t="s">
        <v>1038</v>
      </c>
      <c r="B1187" s="13">
        <f t="shared" si="21"/>
        <v>0</v>
      </c>
      <c r="C1187" s="18"/>
      <c r="D1187" s="20"/>
      <c r="E1187" s="22"/>
      <c r="F1187" s="6" t="s">
        <v>8</v>
      </c>
    </row>
    <row r="1188" spans="1:6" x14ac:dyDescent="0.25">
      <c r="A1188" t="s">
        <v>1038</v>
      </c>
      <c r="B1188" s="13">
        <f t="shared" si="21"/>
        <v>0</v>
      </c>
      <c r="C1188" s="3" t="s">
        <v>466</v>
      </c>
      <c r="D1188" s="3"/>
      <c r="E1188" s="4" t="s">
        <v>1</v>
      </c>
      <c r="F1188" s="4" t="s">
        <v>17</v>
      </c>
    </row>
    <row r="1189" spans="1:6" x14ac:dyDescent="0.25">
      <c r="A1189" t="s">
        <v>1038</v>
      </c>
      <c r="B1189" s="13">
        <f t="shared" si="21"/>
        <v>81</v>
      </c>
      <c r="C1189" s="17" t="s">
        <v>467</v>
      </c>
      <c r="D1189" s="19">
        <v>5.6250000000000001E-2</v>
      </c>
      <c r="E1189" s="21" t="s">
        <v>1</v>
      </c>
      <c r="F1189" s="5" t="s">
        <v>400</v>
      </c>
    </row>
    <row r="1190" spans="1:6" x14ac:dyDescent="0.25">
      <c r="A1190" t="s">
        <v>1038</v>
      </c>
      <c r="B1190" s="13">
        <f t="shared" si="21"/>
        <v>0</v>
      </c>
      <c r="C1190" s="18"/>
      <c r="D1190" s="20"/>
      <c r="E1190" s="22"/>
      <c r="F1190" s="6" t="s">
        <v>927</v>
      </c>
    </row>
    <row r="1191" spans="1:6" x14ac:dyDescent="0.25">
      <c r="A1191" t="s">
        <v>1038</v>
      </c>
      <c r="B1191" s="13">
        <f t="shared" si="21"/>
        <v>0</v>
      </c>
      <c r="C1191" s="3" t="s">
        <v>469</v>
      </c>
      <c r="D1191" s="3"/>
      <c r="E1191" s="4" t="s">
        <v>1</v>
      </c>
      <c r="F1191" s="4" t="s">
        <v>17</v>
      </c>
    </row>
    <row r="1192" spans="1:6" x14ac:dyDescent="0.25">
      <c r="A1192" t="s">
        <v>1038</v>
      </c>
      <c r="B1192" s="13">
        <f t="shared" si="21"/>
        <v>158</v>
      </c>
      <c r="C1192" s="17" t="s">
        <v>470</v>
      </c>
      <c r="D1192" s="19">
        <v>0.10972222222222222</v>
      </c>
      <c r="E1192" s="21" t="s">
        <v>1</v>
      </c>
      <c r="F1192" s="5" t="s">
        <v>928</v>
      </c>
    </row>
    <row r="1193" spans="1:6" x14ac:dyDescent="0.25">
      <c r="A1193" t="s">
        <v>1038</v>
      </c>
      <c r="B1193" s="13">
        <f t="shared" si="21"/>
        <v>0</v>
      </c>
      <c r="C1193" s="18"/>
      <c r="D1193" s="20"/>
      <c r="E1193" s="22"/>
      <c r="F1193" s="6" t="s">
        <v>929</v>
      </c>
    </row>
    <row r="1194" spans="1:6" x14ac:dyDescent="0.25">
      <c r="A1194" t="s">
        <v>1038</v>
      </c>
      <c r="B1194" s="13">
        <f t="shared" si="21"/>
        <v>96</v>
      </c>
      <c r="C1194" s="17" t="s">
        <v>472</v>
      </c>
      <c r="D1194" s="19">
        <v>6.6666666666666666E-2</v>
      </c>
      <c r="E1194" s="21" t="s">
        <v>1</v>
      </c>
      <c r="F1194" s="5" t="s">
        <v>204</v>
      </c>
    </row>
    <row r="1195" spans="1:6" x14ac:dyDescent="0.25">
      <c r="A1195" t="s">
        <v>1038</v>
      </c>
      <c r="B1195" s="13">
        <f t="shared" si="21"/>
        <v>0</v>
      </c>
      <c r="C1195" s="18"/>
      <c r="D1195" s="20"/>
      <c r="E1195" s="22"/>
      <c r="F1195" s="6" t="s">
        <v>930</v>
      </c>
    </row>
    <row r="1196" spans="1:6" x14ac:dyDescent="0.25">
      <c r="A1196" t="s">
        <v>1038</v>
      </c>
      <c r="B1196" s="13">
        <f t="shared" si="21"/>
        <v>0</v>
      </c>
      <c r="C1196" s="3" t="s">
        <v>474</v>
      </c>
      <c r="D1196" s="3"/>
      <c r="E1196" s="4" t="s">
        <v>1</v>
      </c>
      <c r="F1196" s="4" t="s">
        <v>17</v>
      </c>
    </row>
    <row r="1197" spans="1:6" x14ac:dyDescent="0.25">
      <c r="A1197" t="s">
        <v>1038</v>
      </c>
      <c r="B1197" s="13">
        <f t="shared" si="21"/>
        <v>10</v>
      </c>
      <c r="C1197" s="3" t="s">
        <v>475</v>
      </c>
      <c r="D1197" s="7">
        <v>6.9444444444444441E-3</v>
      </c>
      <c r="E1197" s="4" t="s">
        <v>1</v>
      </c>
      <c r="F1197" s="8" t="s">
        <v>7</v>
      </c>
    </row>
    <row r="1198" spans="1:6" x14ac:dyDescent="0.25">
      <c r="A1198" t="s">
        <v>1038</v>
      </c>
      <c r="B1198" s="13">
        <f t="shared" si="21"/>
        <v>10</v>
      </c>
      <c r="C1198" s="17" t="s">
        <v>476</v>
      </c>
      <c r="D1198" s="19">
        <v>6.9444444444444441E-3</v>
      </c>
      <c r="E1198" s="21" t="s">
        <v>1</v>
      </c>
      <c r="F1198" s="5" t="s">
        <v>7</v>
      </c>
    </row>
    <row r="1199" spans="1:6" x14ac:dyDescent="0.25">
      <c r="A1199" t="s">
        <v>1038</v>
      </c>
      <c r="B1199" s="13">
        <f t="shared" si="21"/>
        <v>0</v>
      </c>
      <c r="C1199" s="18"/>
      <c r="D1199" s="20"/>
      <c r="E1199" s="22"/>
      <c r="F1199" s="6" t="s">
        <v>10</v>
      </c>
    </row>
    <row r="1200" spans="1:6" x14ac:dyDescent="0.25">
      <c r="A1200" t="s">
        <v>1038</v>
      </c>
      <c r="B1200" s="13">
        <f t="shared" si="21"/>
        <v>15</v>
      </c>
      <c r="C1200" s="17" t="s">
        <v>477</v>
      </c>
      <c r="D1200" s="19">
        <v>1.0416666666666666E-2</v>
      </c>
      <c r="E1200" s="21" t="s">
        <v>1</v>
      </c>
      <c r="F1200" s="5" t="s">
        <v>115</v>
      </c>
    </row>
    <row r="1201" spans="1:6" x14ac:dyDescent="0.25">
      <c r="A1201" t="s">
        <v>1038</v>
      </c>
      <c r="B1201" s="13">
        <f t="shared" si="21"/>
        <v>0</v>
      </c>
      <c r="C1201" s="18"/>
      <c r="D1201" s="20"/>
      <c r="E1201" s="22"/>
      <c r="F1201" s="6" t="s">
        <v>121</v>
      </c>
    </row>
    <row r="1202" spans="1:6" x14ac:dyDescent="0.25">
      <c r="A1202" t="s">
        <v>1038</v>
      </c>
      <c r="B1202" s="13">
        <f t="shared" si="21"/>
        <v>10</v>
      </c>
      <c r="C1202" s="3" t="s">
        <v>478</v>
      </c>
      <c r="D1202" s="7">
        <v>6.9444444444444441E-3</v>
      </c>
      <c r="E1202" s="4" t="s">
        <v>1</v>
      </c>
      <c r="F1202" s="8" t="s">
        <v>7</v>
      </c>
    </row>
    <row r="1203" spans="1:6" x14ac:dyDescent="0.25">
      <c r="A1203" t="s">
        <v>1038</v>
      </c>
      <c r="B1203" s="13">
        <f t="shared" si="21"/>
        <v>0</v>
      </c>
      <c r="C1203" s="3" t="s">
        <v>479</v>
      </c>
      <c r="D1203" s="3"/>
      <c r="E1203" s="4" t="s">
        <v>1</v>
      </c>
      <c r="F1203" s="4" t="s">
        <v>17</v>
      </c>
    </row>
    <row r="1204" spans="1:6" x14ac:dyDescent="0.25">
      <c r="A1204" t="s">
        <v>1038</v>
      </c>
      <c r="B1204" s="13">
        <f t="shared" si="21"/>
        <v>10</v>
      </c>
      <c r="C1204" s="17" t="s">
        <v>931</v>
      </c>
      <c r="D1204" s="19">
        <v>6.9444444444444441E-3</v>
      </c>
      <c r="E1204" s="23"/>
      <c r="F1204" s="5" t="s">
        <v>932</v>
      </c>
    </row>
    <row r="1205" spans="1:6" x14ac:dyDescent="0.25">
      <c r="A1205" t="s">
        <v>1038</v>
      </c>
      <c r="B1205" s="13">
        <f t="shared" si="21"/>
        <v>0</v>
      </c>
      <c r="C1205" s="18"/>
      <c r="D1205" s="20"/>
      <c r="E1205" s="24"/>
      <c r="F1205" s="6" t="s">
        <v>10</v>
      </c>
    </row>
    <row r="1206" spans="1:6" x14ac:dyDescent="0.25">
      <c r="A1206" t="s">
        <v>1038</v>
      </c>
      <c r="B1206" s="13">
        <f t="shared" si="21"/>
        <v>0</v>
      </c>
      <c r="C1206" s="3" t="s">
        <v>480</v>
      </c>
      <c r="D1206" s="3"/>
      <c r="E1206" s="4" t="s">
        <v>1</v>
      </c>
      <c r="F1206" s="4" t="s">
        <v>17</v>
      </c>
    </row>
    <row r="1207" spans="1:6" x14ac:dyDescent="0.25">
      <c r="A1207" t="s">
        <v>1038</v>
      </c>
      <c r="B1207" s="13">
        <f t="shared" si="21"/>
        <v>10</v>
      </c>
      <c r="C1207" s="3" t="s">
        <v>481</v>
      </c>
      <c r="D1207" s="7">
        <v>6.9444444444444441E-3</v>
      </c>
      <c r="E1207" s="4" t="s">
        <v>1</v>
      </c>
      <c r="F1207" s="8" t="s">
        <v>7</v>
      </c>
    </row>
    <row r="1208" spans="1:6" x14ac:dyDescent="0.25">
      <c r="A1208" t="s">
        <v>1038</v>
      </c>
      <c r="B1208" s="13">
        <f t="shared" si="21"/>
        <v>0</v>
      </c>
      <c r="C1208" s="3" t="s">
        <v>482</v>
      </c>
      <c r="D1208" s="3"/>
      <c r="E1208" s="4" t="s">
        <v>1</v>
      </c>
      <c r="F1208" s="3" t="s">
        <v>933</v>
      </c>
    </row>
    <row r="1209" spans="1:6" x14ac:dyDescent="0.25">
      <c r="A1209" t="s">
        <v>1038</v>
      </c>
      <c r="B1209" s="13">
        <f t="shared" si="21"/>
        <v>0</v>
      </c>
      <c r="C1209" s="3" t="s">
        <v>485</v>
      </c>
      <c r="D1209" s="3"/>
      <c r="E1209" s="4" t="s">
        <v>1</v>
      </c>
      <c r="F1209" s="4" t="s">
        <v>5</v>
      </c>
    </row>
    <row r="1210" spans="1:6" x14ac:dyDescent="0.25">
      <c r="A1210" t="s">
        <v>1038</v>
      </c>
      <c r="B1210" s="13">
        <f t="shared" si="21"/>
        <v>10</v>
      </c>
      <c r="C1210" s="17" t="s">
        <v>487</v>
      </c>
      <c r="D1210" s="19">
        <v>6.9444444444444441E-3</v>
      </c>
      <c r="E1210" s="21" t="s">
        <v>1</v>
      </c>
      <c r="F1210" s="5" t="s">
        <v>7</v>
      </c>
    </row>
    <row r="1211" spans="1:6" x14ac:dyDescent="0.25">
      <c r="A1211" t="s">
        <v>1038</v>
      </c>
      <c r="B1211" s="13">
        <f t="shared" si="21"/>
        <v>0</v>
      </c>
      <c r="C1211" s="18"/>
      <c r="D1211" s="20"/>
      <c r="E1211" s="22"/>
      <c r="F1211" s="6" t="s">
        <v>8</v>
      </c>
    </row>
    <row r="1212" spans="1:6" x14ac:dyDescent="0.25">
      <c r="A1212" t="s">
        <v>1038</v>
      </c>
      <c r="B1212" s="13">
        <f t="shared" si="21"/>
        <v>62.999999999999986</v>
      </c>
      <c r="C1212" s="17" t="s">
        <v>488</v>
      </c>
      <c r="D1212" s="19">
        <v>4.3749999999999997E-2</v>
      </c>
      <c r="E1212" s="21" t="s">
        <v>1</v>
      </c>
      <c r="F1212" s="5" t="s">
        <v>385</v>
      </c>
    </row>
    <row r="1213" spans="1:6" x14ac:dyDescent="0.25">
      <c r="A1213" t="s">
        <v>1038</v>
      </c>
      <c r="B1213" s="13">
        <f t="shared" si="21"/>
        <v>0</v>
      </c>
      <c r="C1213" s="18"/>
      <c r="D1213" s="20"/>
      <c r="E1213" s="22"/>
      <c r="F1213" s="6" t="s">
        <v>934</v>
      </c>
    </row>
    <row r="1214" spans="1:6" x14ac:dyDescent="0.25">
      <c r="A1214" t="s">
        <v>1038</v>
      </c>
      <c r="B1214" s="13">
        <f t="shared" si="21"/>
        <v>0</v>
      </c>
      <c r="C1214" s="3" t="s">
        <v>490</v>
      </c>
      <c r="D1214" s="3"/>
      <c r="E1214" s="4" t="s">
        <v>1</v>
      </c>
      <c r="F1214" s="4" t="s">
        <v>17</v>
      </c>
    </row>
    <row r="1215" spans="1:6" x14ac:dyDescent="0.25">
      <c r="A1215" t="s">
        <v>1038</v>
      </c>
      <c r="B1215" s="13">
        <f t="shared" si="21"/>
        <v>60</v>
      </c>
      <c r="C1215" s="3" t="s">
        <v>491</v>
      </c>
      <c r="D1215" s="7">
        <v>4.1666666666666664E-2</v>
      </c>
      <c r="E1215" s="4" t="s">
        <v>1</v>
      </c>
      <c r="F1215" s="9" t="s">
        <v>160</v>
      </c>
    </row>
    <row r="1216" spans="1:6" x14ac:dyDescent="0.25">
      <c r="A1216" t="s">
        <v>1038</v>
      </c>
      <c r="B1216" s="13">
        <f t="shared" si="21"/>
        <v>0</v>
      </c>
      <c r="C1216" s="3" t="s">
        <v>492</v>
      </c>
      <c r="D1216" s="3"/>
      <c r="E1216" s="4" t="s">
        <v>1</v>
      </c>
      <c r="F1216" s="4" t="s">
        <v>17</v>
      </c>
    </row>
    <row r="1217" spans="1:6" x14ac:dyDescent="0.25">
      <c r="A1217" t="s">
        <v>1038</v>
      </c>
      <c r="B1217" s="13">
        <f t="shared" si="21"/>
        <v>0</v>
      </c>
      <c r="C1217" s="3" t="s">
        <v>493</v>
      </c>
      <c r="D1217" s="3"/>
      <c r="E1217" s="4" t="s">
        <v>1</v>
      </c>
      <c r="F1217" s="4" t="s">
        <v>17</v>
      </c>
    </row>
    <row r="1218" spans="1:6" x14ac:dyDescent="0.25">
      <c r="A1218" t="s">
        <v>1038</v>
      </c>
      <c r="B1218" s="13">
        <f t="shared" si="21"/>
        <v>0</v>
      </c>
      <c r="C1218" s="3" t="s">
        <v>494</v>
      </c>
      <c r="D1218" s="3"/>
      <c r="E1218" s="4" t="s">
        <v>1</v>
      </c>
      <c r="F1218" s="4" t="s">
        <v>17</v>
      </c>
    </row>
    <row r="1219" spans="1:6" x14ac:dyDescent="0.25">
      <c r="A1219" t="s">
        <v>1038</v>
      </c>
      <c r="B1219" s="13">
        <f t="shared" si="21"/>
        <v>0</v>
      </c>
      <c r="C1219" s="3" t="s">
        <v>495</v>
      </c>
      <c r="D1219" s="3"/>
      <c r="E1219" s="4" t="s">
        <v>1</v>
      </c>
      <c r="F1219" s="4" t="s">
        <v>17</v>
      </c>
    </row>
    <row r="1220" spans="1:6" x14ac:dyDescent="0.25">
      <c r="A1220" t="s">
        <v>1038</v>
      </c>
      <c r="B1220" s="13">
        <f t="shared" si="21"/>
        <v>10</v>
      </c>
      <c r="C1220" s="17" t="s">
        <v>496</v>
      </c>
      <c r="D1220" s="19">
        <v>6.9444444444444441E-3</v>
      </c>
      <c r="E1220" s="21" t="s">
        <v>1</v>
      </c>
      <c r="F1220" s="5" t="s">
        <v>7</v>
      </c>
    </row>
    <row r="1221" spans="1:6" x14ac:dyDescent="0.25">
      <c r="A1221" t="s">
        <v>1038</v>
      </c>
      <c r="B1221" s="13">
        <f t="shared" si="21"/>
        <v>0</v>
      </c>
      <c r="C1221" s="18"/>
      <c r="D1221" s="20"/>
      <c r="E1221" s="22"/>
      <c r="F1221" s="6" t="s">
        <v>10</v>
      </c>
    </row>
    <row r="1222" spans="1:6" x14ac:dyDescent="0.25">
      <c r="A1222" t="s">
        <v>1038</v>
      </c>
      <c r="B1222" s="13">
        <f t="shared" si="21"/>
        <v>10</v>
      </c>
      <c r="C1222" s="17" t="s">
        <v>497</v>
      </c>
      <c r="D1222" s="19">
        <v>6.9444444444444441E-3</v>
      </c>
      <c r="E1222" s="21" t="s">
        <v>1</v>
      </c>
      <c r="F1222" s="5" t="s">
        <v>7</v>
      </c>
    </row>
    <row r="1223" spans="1:6" x14ac:dyDescent="0.25">
      <c r="A1223" t="s">
        <v>1038</v>
      </c>
      <c r="B1223" s="13">
        <f t="shared" si="21"/>
        <v>0</v>
      </c>
      <c r="C1223" s="18"/>
      <c r="D1223" s="20"/>
      <c r="E1223" s="22"/>
      <c r="F1223" s="6" t="s">
        <v>43</v>
      </c>
    </row>
    <row r="1224" spans="1:6" x14ac:dyDescent="0.25">
      <c r="A1224" t="s">
        <v>1038</v>
      </c>
      <c r="B1224" s="13">
        <f t="shared" si="21"/>
        <v>0</v>
      </c>
      <c r="C1224" s="3" t="s">
        <v>499</v>
      </c>
      <c r="D1224" s="3"/>
      <c r="E1224" s="4" t="s">
        <v>1</v>
      </c>
      <c r="F1224" s="4" t="s">
        <v>17</v>
      </c>
    </row>
    <row r="1225" spans="1:6" x14ac:dyDescent="0.25">
      <c r="A1225" t="s">
        <v>1038</v>
      </c>
      <c r="B1225" s="13">
        <f t="shared" si="21"/>
        <v>0</v>
      </c>
      <c r="C1225" s="3" t="s">
        <v>500</v>
      </c>
      <c r="D1225" s="3"/>
      <c r="E1225" s="4" t="s">
        <v>1</v>
      </c>
      <c r="F1225" s="4" t="s">
        <v>17</v>
      </c>
    </row>
    <row r="1226" spans="1:6" x14ac:dyDescent="0.25">
      <c r="A1226" t="s">
        <v>1038</v>
      </c>
      <c r="B1226" s="13">
        <f t="shared" si="21"/>
        <v>0</v>
      </c>
      <c r="C1226" s="3" t="s">
        <v>501</v>
      </c>
      <c r="D1226" s="3"/>
      <c r="E1226" s="4" t="s">
        <v>1</v>
      </c>
      <c r="F1226" s="4" t="s">
        <v>17</v>
      </c>
    </row>
    <row r="1227" spans="1:6" x14ac:dyDescent="0.25">
      <c r="A1227" t="s">
        <v>1038</v>
      </c>
      <c r="B1227" s="13">
        <f t="shared" si="21"/>
        <v>0</v>
      </c>
      <c r="C1227" s="3" t="s">
        <v>502</v>
      </c>
      <c r="D1227" s="3"/>
      <c r="E1227" s="4" t="s">
        <v>1</v>
      </c>
      <c r="F1227" s="3" t="s">
        <v>935</v>
      </c>
    </row>
    <row r="1228" spans="1:6" x14ac:dyDescent="0.25">
      <c r="A1228" t="s">
        <v>1038</v>
      </c>
      <c r="B1228" s="13">
        <f t="shared" si="21"/>
        <v>45</v>
      </c>
      <c r="C1228" s="17" t="s">
        <v>503</v>
      </c>
      <c r="D1228" s="19">
        <v>3.125E-2</v>
      </c>
      <c r="E1228" s="21" t="s">
        <v>1</v>
      </c>
      <c r="F1228" s="5" t="s">
        <v>191</v>
      </c>
    </row>
    <row r="1229" spans="1:6" x14ac:dyDescent="0.25">
      <c r="A1229" t="s">
        <v>1038</v>
      </c>
      <c r="B1229" s="13">
        <f t="shared" si="21"/>
        <v>0</v>
      </c>
      <c r="C1229" s="18"/>
      <c r="D1229" s="20"/>
      <c r="E1229" s="22"/>
      <c r="F1229" s="6" t="s">
        <v>936</v>
      </c>
    </row>
    <row r="1230" spans="1:6" x14ac:dyDescent="0.25">
      <c r="A1230" t="s">
        <v>1038</v>
      </c>
      <c r="B1230" s="13">
        <f t="shared" si="21"/>
        <v>60</v>
      </c>
      <c r="C1230" s="3" t="s">
        <v>505</v>
      </c>
      <c r="D1230" s="7">
        <v>4.1666666666666664E-2</v>
      </c>
      <c r="E1230" s="4" t="s">
        <v>1</v>
      </c>
      <c r="F1230" s="9" t="s">
        <v>160</v>
      </c>
    </row>
    <row r="1231" spans="1:6" x14ac:dyDescent="0.25">
      <c r="A1231" t="s">
        <v>1038</v>
      </c>
      <c r="B1231" s="13">
        <f t="shared" si="21"/>
        <v>60</v>
      </c>
      <c r="C1231" s="3" t="s">
        <v>506</v>
      </c>
      <c r="D1231" s="7">
        <v>4.1666666666666664E-2</v>
      </c>
      <c r="E1231" s="4" t="s">
        <v>1</v>
      </c>
      <c r="F1231" s="9" t="s">
        <v>160</v>
      </c>
    </row>
    <row r="1232" spans="1:6" x14ac:dyDescent="0.25">
      <c r="A1232" t="s">
        <v>1038</v>
      </c>
      <c r="B1232" s="13">
        <f t="shared" si="21"/>
        <v>15</v>
      </c>
      <c r="C1232" s="17" t="s">
        <v>507</v>
      </c>
      <c r="D1232" s="19">
        <v>1.0416666666666666E-2</v>
      </c>
      <c r="E1232" s="21" t="s">
        <v>1</v>
      </c>
      <c r="F1232" s="5" t="s">
        <v>115</v>
      </c>
    </row>
    <row r="1233" spans="1:6" x14ac:dyDescent="0.25">
      <c r="A1233" t="s">
        <v>1038</v>
      </c>
      <c r="B1233" s="13">
        <f t="shared" si="21"/>
        <v>0</v>
      </c>
      <c r="C1233" s="18"/>
      <c r="D1233" s="20"/>
      <c r="E1233" s="22"/>
      <c r="F1233" s="6" t="s">
        <v>121</v>
      </c>
    </row>
    <row r="1234" spans="1:6" x14ac:dyDescent="0.25">
      <c r="A1234" t="s">
        <v>1038</v>
      </c>
      <c r="B1234" s="13">
        <f t="shared" si="21"/>
        <v>0</v>
      </c>
      <c r="C1234" s="3" t="s">
        <v>937</v>
      </c>
      <c r="D1234" s="3"/>
      <c r="E1234" s="4" t="s">
        <v>1</v>
      </c>
      <c r="F1234" s="4" t="s">
        <v>17</v>
      </c>
    </row>
    <row r="1235" spans="1:6" x14ac:dyDescent="0.25">
      <c r="A1235" t="s">
        <v>1038</v>
      </c>
      <c r="B1235" s="13">
        <f t="shared" si="21"/>
        <v>0</v>
      </c>
      <c r="C1235" s="3" t="s">
        <v>508</v>
      </c>
      <c r="D1235" s="3"/>
      <c r="E1235" s="4" t="s">
        <v>1</v>
      </c>
      <c r="F1235" s="3" t="s">
        <v>935</v>
      </c>
    </row>
    <row r="1236" spans="1:6" x14ac:dyDescent="0.25">
      <c r="A1236" t="s">
        <v>1038</v>
      </c>
      <c r="B1236" s="13">
        <f t="shared" si="21"/>
        <v>15</v>
      </c>
      <c r="C1236" s="17" t="s">
        <v>509</v>
      </c>
      <c r="D1236" s="19">
        <v>1.0416666666666666E-2</v>
      </c>
      <c r="E1236" s="21" t="s">
        <v>1</v>
      </c>
      <c r="F1236" s="5" t="s">
        <v>115</v>
      </c>
    </row>
    <row r="1237" spans="1:6" x14ac:dyDescent="0.25">
      <c r="A1237" t="s">
        <v>1038</v>
      </c>
      <c r="B1237" s="13">
        <f t="shared" si="21"/>
        <v>0</v>
      </c>
      <c r="C1237" s="18"/>
      <c r="D1237" s="20"/>
      <c r="E1237" s="22"/>
      <c r="F1237" s="6" t="s">
        <v>116</v>
      </c>
    </row>
    <row r="1238" spans="1:6" x14ac:dyDescent="0.25">
      <c r="A1238" t="s">
        <v>1038</v>
      </c>
      <c r="B1238" s="13">
        <f t="shared" si="21"/>
        <v>70</v>
      </c>
      <c r="C1238" s="17" t="s">
        <v>938</v>
      </c>
      <c r="D1238" s="19">
        <v>4.8611111111111112E-2</v>
      </c>
      <c r="E1238" s="23"/>
      <c r="F1238" s="5" t="s">
        <v>162</v>
      </c>
    </row>
    <row r="1239" spans="1:6" x14ac:dyDescent="0.25">
      <c r="A1239" t="s">
        <v>1038</v>
      </c>
      <c r="B1239" s="13">
        <f t="shared" si="21"/>
        <v>0</v>
      </c>
      <c r="C1239" s="18"/>
      <c r="D1239" s="20"/>
      <c r="E1239" s="24"/>
      <c r="F1239" s="6" t="s">
        <v>939</v>
      </c>
    </row>
    <row r="1240" spans="1:6" x14ac:dyDescent="0.25">
      <c r="A1240" t="s">
        <v>1038</v>
      </c>
      <c r="B1240" s="13">
        <f t="shared" si="21"/>
        <v>20</v>
      </c>
      <c r="C1240" s="17" t="s">
        <v>940</v>
      </c>
      <c r="D1240" s="19">
        <v>1.3888888888888888E-2</v>
      </c>
      <c r="E1240" s="21" t="s">
        <v>1</v>
      </c>
      <c r="F1240" s="5" t="s">
        <v>136</v>
      </c>
    </row>
    <row r="1241" spans="1:6" x14ac:dyDescent="0.25">
      <c r="A1241" t="s">
        <v>1038</v>
      </c>
      <c r="B1241" s="13">
        <f t="shared" si="21"/>
        <v>0</v>
      </c>
      <c r="C1241" s="18"/>
      <c r="D1241" s="20"/>
      <c r="E1241" s="22"/>
      <c r="F1241" s="6" t="s">
        <v>504</v>
      </c>
    </row>
    <row r="1242" spans="1:6" x14ac:dyDescent="0.25">
      <c r="A1242" t="s">
        <v>1038</v>
      </c>
      <c r="B1242" s="13">
        <f t="shared" si="21"/>
        <v>0</v>
      </c>
      <c r="C1242" s="3" t="s">
        <v>510</v>
      </c>
      <c r="D1242" s="3"/>
      <c r="E1242" s="4" t="s">
        <v>1</v>
      </c>
      <c r="F1242" s="4" t="s">
        <v>17</v>
      </c>
    </row>
    <row r="1243" spans="1:6" x14ac:dyDescent="0.25">
      <c r="A1243" t="s">
        <v>1038</v>
      </c>
      <c r="B1243" s="13">
        <f t="shared" si="21"/>
        <v>454</v>
      </c>
      <c r="C1243" s="17" t="s">
        <v>511</v>
      </c>
      <c r="D1243" s="19">
        <v>0.31527777777777777</v>
      </c>
      <c r="E1243" s="21" t="s">
        <v>1</v>
      </c>
      <c r="F1243" s="5" t="s">
        <v>941</v>
      </c>
    </row>
    <row r="1244" spans="1:6" x14ac:dyDescent="0.25">
      <c r="A1244" t="s">
        <v>1038</v>
      </c>
      <c r="B1244" s="13">
        <f t="shared" si="21"/>
        <v>0</v>
      </c>
      <c r="C1244" s="18"/>
      <c r="D1244" s="20"/>
      <c r="E1244" s="22"/>
      <c r="F1244" s="6" t="s">
        <v>942</v>
      </c>
    </row>
    <row r="1245" spans="1:6" x14ac:dyDescent="0.25">
      <c r="A1245" t="s">
        <v>1038</v>
      </c>
      <c r="B1245" s="13">
        <f t="shared" si="21"/>
        <v>0</v>
      </c>
      <c r="C1245" s="17" t="s">
        <v>513</v>
      </c>
      <c r="D1245" s="17"/>
      <c r="E1245" s="21" t="s">
        <v>1</v>
      </c>
      <c r="F1245" s="1" t="s">
        <v>2</v>
      </c>
    </row>
    <row r="1246" spans="1:6" x14ac:dyDescent="0.25">
      <c r="A1246" t="s">
        <v>1038</v>
      </c>
      <c r="B1246" s="13">
        <f t="shared" ref="B1246:B1309" si="22">D1246*24*60</f>
        <v>0</v>
      </c>
      <c r="C1246" s="18"/>
      <c r="D1246" s="18"/>
      <c r="E1246" s="22"/>
      <c r="F1246" s="2" t="s">
        <v>936</v>
      </c>
    </row>
    <row r="1247" spans="1:6" x14ac:dyDescent="0.25">
      <c r="A1247" t="s">
        <v>1038</v>
      </c>
      <c r="B1247" s="13">
        <f t="shared" si="22"/>
        <v>0</v>
      </c>
      <c r="C1247" s="3" t="s">
        <v>515</v>
      </c>
      <c r="D1247" s="3"/>
      <c r="E1247" s="4" t="s">
        <v>1</v>
      </c>
      <c r="F1247" s="4" t="s">
        <v>17</v>
      </c>
    </row>
    <row r="1248" spans="1:6" x14ac:dyDescent="0.25">
      <c r="A1248" t="s">
        <v>1038</v>
      </c>
      <c r="B1248" s="13">
        <f t="shared" si="22"/>
        <v>20</v>
      </c>
      <c r="C1248" s="17" t="s">
        <v>516</v>
      </c>
      <c r="D1248" s="19">
        <v>1.3888888888888888E-2</v>
      </c>
      <c r="E1248" s="21" t="s">
        <v>1</v>
      </c>
      <c r="F1248" s="5" t="s">
        <v>136</v>
      </c>
    </row>
    <row r="1249" spans="1:6" x14ac:dyDescent="0.25">
      <c r="A1249" t="s">
        <v>1038</v>
      </c>
      <c r="B1249" s="13">
        <f t="shared" si="22"/>
        <v>0</v>
      </c>
      <c r="C1249" s="18"/>
      <c r="D1249" s="20"/>
      <c r="E1249" s="22"/>
      <c r="F1249" s="6" t="s">
        <v>64</v>
      </c>
    </row>
    <row r="1250" spans="1:6" x14ac:dyDescent="0.25">
      <c r="A1250" t="s">
        <v>1038</v>
      </c>
      <c r="B1250" s="13">
        <f t="shared" si="22"/>
        <v>10</v>
      </c>
      <c r="C1250" s="17" t="s">
        <v>520</v>
      </c>
      <c r="D1250" s="19">
        <v>6.9444444444444441E-3</v>
      </c>
      <c r="E1250" s="21" t="s">
        <v>1</v>
      </c>
      <c r="F1250" s="5" t="s">
        <v>7</v>
      </c>
    </row>
    <row r="1251" spans="1:6" x14ac:dyDescent="0.25">
      <c r="A1251" t="s">
        <v>1038</v>
      </c>
      <c r="B1251" s="13">
        <f t="shared" si="22"/>
        <v>0</v>
      </c>
      <c r="C1251" s="18"/>
      <c r="D1251" s="20"/>
      <c r="E1251" s="22"/>
      <c r="F1251" s="6" t="s">
        <v>8</v>
      </c>
    </row>
    <row r="1252" spans="1:6" x14ac:dyDescent="0.25">
      <c r="A1252" t="s">
        <v>1038</v>
      </c>
      <c r="B1252" s="13">
        <f t="shared" si="22"/>
        <v>0</v>
      </c>
      <c r="C1252" s="3" t="s">
        <v>521</v>
      </c>
      <c r="D1252" s="3"/>
      <c r="E1252" s="4" t="s">
        <v>1</v>
      </c>
      <c r="F1252" s="4" t="s">
        <v>17</v>
      </c>
    </row>
    <row r="1253" spans="1:6" x14ac:dyDescent="0.25">
      <c r="A1253" t="s">
        <v>1038</v>
      </c>
      <c r="B1253" s="13">
        <f t="shared" si="22"/>
        <v>46</v>
      </c>
      <c r="C1253" s="17" t="s">
        <v>523</v>
      </c>
      <c r="D1253" s="19">
        <v>3.1944444444444442E-2</v>
      </c>
      <c r="E1253" s="21" t="s">
        <v>1</v>
      </c>
      <c r="F1253" s="5" t="s">
        <v>335</v>
      </c>
    </row>
    <row r="1254" spans="1:6" x14ac:dyDescent="0.25">
      <c r="A1254" t="s">
        <v>1038</v>
      </c>
      <c r="B1254" s="13">
        <f t="shared" si="22"/>
        <v>0</v>
      </c>
      <c r="C1254" s="18"/>
      <c r="D1254" s="20"/>
      <c r="E1254" s="22"/>
      <c r="F1254" s="6" t="s">
        <v>943</v>
      </c>
    </row>
    <row r="1255" spans="1:6" x14ac:dyDescent="0.25">
      <c r="A1255" t="s">
        <v>1038</v>
      </c>
      <c r="B1255" s="13">
        <f t="shared" si="22"/>
        <v>10</v>
      </c>
      <c r="C1255" s="3" t="s">
        <v>524</v>
      </c>
      <c r="D1255" s="7">
        <v>6.9444444444444441E-3</v>
      </c>
      <c r="E1255" s="4" t="s">
        <v>1</v>
      </c>
      <c r="F1255" s="8" t="s">
        <v>7</v>
      </c>
    </row>
    <row r="1256" spans="1:6" x14ac:dyDescent="0.25">
      <c r="A1256" t="s">
        <v>1038</v>
      </c>
      <c r="B1256" s="13">
        <f t="shared" si="22"/>
        <v>15</v>
      </c>
      <c r="C1256" s="17" t="s">
        <v>525</v>
      </c>
      <c r="D1256" s="19">
        <v>1.0416666666666666E-2</v>
      </c>
      <c r="E1256" s="21" t="s">
        <v>1</v>
      </c>
      <c r="F1256" s="5" t="s">
        <v>115</v>
      </c>
    </row>
    <row r="1257" spans="1:6" x14ac:dyDescent="0.25">
      <c r="A1257" t="s">
        <v>1038</v>
      </c>
      <c r="B1257" s="13">
        <f t="shared" si="22"/>
        <v>0</v>
      </c>
      <c r="C1257" s="18"/>
      <c r="D1257" s="20"/>
      <c r="E1257" s="22"/>
      <c r="F1257" s="6" t="s">
        <v>121</v>
      </c>
    </row>
    <row r="1258" spans="1:6" x14ac:dyDescent="0.25">
      <c r="A1258" t="s">
        <v>1038</v>
      </c>
      <c r="B1258" s="13">
        <f t="shared" si="22"/>
        <v>0</v>
      </c>
      <c r="C1258" s="3" t="s">
        <v>944</v>
      </c>
      <c r="D1258" s="3"/>
      <c r="E1258" s="4" t="s">
        <v>1</v>
      </c>
      <c r="F1258" s="4" t="s">
        <v>17</v>
      </c>
    </row>
    <row r="1259" spans="1:6" x14ac:dyDescent="0.25">
      <c r="A1259" t="s">
        <v>1038</v>
      </c>
      <c r="B1259" s="13">
        <f t="shared" si="22"/>
        <v>60</v>
      </c>
      <c r="C1259" s="3" t="s">
        <v>526</v>
      </c>
      <c r="D1259" s="7">
        <v>4.1666666666666664E-2</v>
      </c>
      <c r="E1259" s="4" t="s">
        <v>1</v>
      </c>
      <c r="F1259" s="9" t="s">
        <v>160</v>
      </c>
    </row>
    <row r="1260" spans="1:6" x14ac:dyDescent="0.25">
      <c r="A1260" t="s">
        <v>1038</v>
      </c>
      <c r="B1260" s="13">
        <f t="shared" si="22"/>
        <v>10</v>
      </c>
      <c r="C1260" s="3" t="s">
        <v>527</v>
      </c>
      <c r="D1260" s="7">
        <v>6.9444444444444441E-3</v>
      </c>
      <c r="E1260" s="4" t="s">
        <v>1</v>
      </c>
      <c r="F1260" s="8" t="s">
        <v>7</v>
      </c>
    </row>
    <row r="1261" spans="1:6" x14ac:dyDescent="0.25">
      <c r="A1261" t="s">
        <v>1038</v>
      </c>
      <c r="B1261" s="13">
        <f t="shared" si="22"/>
        <v>0</v>
      </c>
      <c r="C1261" s="3" t="s">
        <v>945</v>
      </c>
      <c r="D1261" s="3"/>
      <c r="E1261" s="4" t="s">
        <v>1</v>
      </c>
      <c r="F1261" s="4" t="s">
        <v>17</v>
      </c>
    </row>
    <row r="1262" spans="1:6" x14ac:dyDescent="0.25">
      <c r="A1262" t="s">
        <v>1038</v>
      </c>
      <c r="B1262" s="13">
        <f t="shared" si="22"/>
        <v>0</v>
      </c>
      <c r="C1262" s="3" t="s">
        <v>946</v>
      </c>
      <c r="D1262" s="3"/>
      <c r="E1262" s="4" t="s">
        <v>1</v>
      </c>
      <c r="F1262" s="4" t="s">
        <v>17</v>
      </c>
    </row>
    <row r="1263" spans="1:6" x14ac:dyDescent="0.25">
      <c r="A1263" t="s">
        <v>1038</v>
      </c>
      <c r="B1263" s="13">
        <f t="shared" si="22"/>
        <v>40</v>
      </c>
      <c r="C1263" s="17" t="s">
        <v>947</v>
      </c>
      <c r="D1263" s="19">
        <v>2.7777777777777776E-2</v>
      </c>
      <c r="E1263" s="21" t="s">
        <v>1</v>
      </c>
      <c r="F1263" s="5" t="s">
        <v>460</v>
      </c>
    </row>
    <row r="1264" spans="1:6" x14ac:dyDescent="0.25">
      <c r="A1264" t="s">
        <v>1038</v>
      </c>
      <c r="B1264" s="13">
        <f t="shared" si="22"/>
        <v>0</v>
      </c>
      <c r="C1264" s="18"/>
      <c r="D1264" s="20"/>
      <c r="E1264" s="22"/>
      <c r="F1264" s="6" t="s">
        <v>461</v>
      </c>
    </row>
    <row r="1265" spans="1:6" x14ac:dyDescent="0.25">
      <c r="A1265" t="s">
        <v>1038</v>
      </c>
      <c r="B1265" s="13">
        <f t="shared" si="22"/>
        <v>45</v>
      </c>
      <c r="C1265" s="17" t="s">
        <v>948</v>
      </c>
      <c r="D1265" s="19">
        <v>3.125E-2</v>
      </c>
      <c r="E1265" s="21" t="s">
        <v>1</v>
      </c>
      <c r="F1265" s="5" t="s">
        <v>191</v>
      </c>
    </row>
    <row r="1266" spans="1:6" x14ac:dyDescent="0.25">
      <c r="A1266" t="s">
        <v>1038</v>
      </c>
      <c r="B1266" s="13">
        <f t="shared" si="22"/>
        <v>0</v>
      </c>
      <c r="C1266" s="18"/>
      <c r="D1266" s="20"/>
      <c r="E1266" s="22"/>
      <c r="F1266" s="6" t="s">
        <v>949</v>
      </c>
    </row>
    <row r="1267" spans="1:6" x14ac:dyDescent="0.25">
      <c r="A1267" t="s">
        <v>1038</v>
      </c>
      <c r="B1267" s="13">
        <f t="shared" si="22"/>
        <v>60</v>
      </c>
      <c r="C1267" s="17" t="s">
        <v>528</v>
      </c>
      <c r="D1267" s="19">
        <v>4.1666666666666664E-2</v>
      </c>
      <c r="E1267" s="21" t="s">
        <v>1</v>
      </c>
      <c r="F1267" s="5" t="s">
        <v>785</v>
      </c>
    </row>
    <row r="1268" spans="1:6" x14ac:dyDescent="0.25">
      <c r="A1268" t="s">
        <v>1038</v>
      </c>
      <c r="B1268" s="13">
        <f t="shared" si="22"/>
        <v>0</v>
      </c>
      <c r="C1268" s="18"/>
      <c r="D1268" s="20"/>
      <c r="E1268" s="22"/>
      <c r="F1268" s="6" t="s">
        <v>950</v>
      </c>
    </row>
    <row r="1269" spans="1:6" x14ac:dyDescent="0.25">
      <c r="A1269" t="s">
        <v>1038</v>
      </c>
      <c r="B1269" s="13">
        <f t="shared" si="22"/>
        <v>0</v>
      </c>
      <c r="C1269" s="3" t="s">
        <v>531</v>
      </c>
      <c r="D1269" s="3"/>
      <c r="E1269" s="4" t="s">
        <v>1</v>
      </c>
      <c r="F1269" s="4" t="s">
        <v>17</v>
      </c>
    </row>
    <row r="1270" spans="1:6" x14ac:dyDescent="0.25">
      <c r="A1270" t="s">
        <v>1038</v>
      </c>
      <c r="B1270" s="13">
        <f t="shared" si="22"/>
        <v>10</v>
      </c>
      <c r="C1270" s="3" t="s">
        <v>951</v>
      </c>
      <c r="D1270" s="7">
        <v>6.9444444444444441E-3</v>
      </c>
      <c r="E1270" s="4" t="s">
        <v>1</v>
      </c>
      <c r="F1270" s="8" t="s">
        <v>7</v>
      </c>
    </row>
    <row r="1271" spans="1:6" x14ac:dyDescent="0.25">
      <c r="A1271" t="s">
        <v>1038</v>
      </c>
      <c r="B1271" s="13">
        <f t="shared" si="22"/>
        <v>10</v>
      </c>
      <c r="C1271" s="3" t="s">
        <v>532</v>
      </c>
      <c r="D1271" s="7">
        <v>6.9444444444444441E-3</v>
      </c>
      <c r="E1271" s="4" t="s">
        <v>1</v>
      </c>
      <c r="F1271" s="8" t="s">
        <v>7</v>
      </c>
    </row>
    <row r="1272" spans="1:6" x14ac:dyDescent="0.25">
      <c r="A1272" t="s">
        <v>1038</v>
      </c>
      <c r="B1272" s="13">
        <f t="shared" si="22"/>
        <v>15</v>
      </c>
      <c r="C1272" s="17" t="s">
        <v>533</v>
      </c>
      <c r="D1272" s="19">
        <v>1.0416666666666666E-2</v>
      </c>
      <c r="E1272" s="21" t="s">
        <v>1</v>
      </c>
      <c r="F1272" s="5" t="s">
        <v>115</v>
      </c>
    </row>
    <row r="1273" spans="1:6" x14ac:dyDescent="0.25">
      <c r="A1273" t="s">
        <v>1038</v>
      </c>
      <c r="B1273" s="13">
        <f t="shared" si="22"/>
        <v>0</v>
      </c>
      <c r="C1273" s="18"/>
      <c r="D1273" s="20"/>
      <c r="E1273" s="22"/>
      <c r="F1273" s="6" t="s">
        <v>116</v>
      </c>
    </row>
    <row r="1274" spans="1:6" x14ac:dyDescent="0.25">
      <c r="A1274" t="s">
        <v>1038</v>
      </c>
      <c r="B1274" s="13">
        <f t="shared" si="22"/>
        <v>10</v>
      </c>
      <c r="C1274" s="3" t="s">
        <v>534</v>
      </c>
      <c r="D1274" s="7">
        <v>6.9444444444444441E-3</v>
      </c>
      <c r="E1274" s="4" t="s">
        <v>1</v>
      </c>
      <c r="F1274" s="8" t="s">
        <v>7</v>
      </c>
    </row>
    <row r="1275" spans="1:6" x14ac:dyDescent="0.25">
      <c r="A1275" t="s">
        <v>1038</v>
      </c>
      <c r="B1275" s="13">
        <f t="shared" si="22"/>
        <v>10</v>
      </c>
      <c r="C1275" s="3" t="s">
        <v>535</v>
      </c>
      <c r="D1275" s="7">
        <v>6.9444444444444441E-3</v>
      </c>
      <c r="E1275" s="4" t="s">
        <v>1</v>
      </c>
      <c r="F1275" s="8" t="s">
        <v>7</v>
      </c>
    </row>
    <row r="1276" spans="1:6" x14ac:dyDescent="0.25">
      <c r="A1276" t="s">
        <v>1038</v>
      </c>
      <c r="B1276" s="13">
        <f t="shared" si="22"/>
        <v>0</v>
      </c>
      <c r="C1276" s="3" t="s">
        <v>536</v>
      </c>
      <c r="D1276" s="3"/>
      <c r="E1276" s="4" t="s">
        <v>1</v>
      </c>
      <c r="F1276" s="3" t="s">
        <v>952</v>
      </c>
    </row>
    <row r="1277" spans="1:6" x14ac:dyDescent="0.25">
      <c r="A1277" t="s">
        <v>1038</v>
      </c>
      <c r="B1277" s="13">
        <f t="shared" si="22"/>
        <v>50</v>
      </c>
      <c r="C1277" s="17" t="s">
        <v>953</v>
      </c>
      <c r="D1277" s="19">
        <v>3.4722222222222224E-2</v>
      </c>
      <c r="E1277" s="21" t="s">
        <v>1</v>
      </c>
      <c r="F1277" s="5" t="s">
        <v>779</v>
      </c>
    </row>
    <row r="1278" spans="1:6" x14ac:dyDescent="0.25">
      <c r="A1278" t="s">
        <v>1038</v>
      </c>
      <c r="B1278" s="13">
        <f t="shared" si="22"/>
        <v>0</v>
      </c>
      <c r="C1278" s="18"/>
      <c r="D1278" s="20"/>
      <c r="E1278" s="22"/>
      <c r="F1278" s="6" t="s">
        <v>954</v>
      </c>
    </row>
    <row r="1279" spans="1:6" x14ac:dyDescent="0.25">
      <c r="A1279" t="s">
        <v>1038</v>
      </c>
      <c r="B1279" s="13">
        <f t="shared" si="22"/>
        <v>10</v>
      </c>
      <c r="C1279" s="3" t="s">
        <v>955</v>
      </c>
      <c r="D1279" s="7">
        <v>6.9444444444444441E-3</v>
      </c>
      <c r="E1279" s="4" t="s">
        <v>1</v>
      </c>
      <c r="F1279" s="8" t="s">
        <v>7</v>
      </c>
    </row>
    <row r="1280" spans="1:6" x14ac:dyDescent="0.25">
      <c r="A1280" t="s">
        <v>1038</v>
      </c>
      <c r="B1280" s="13">
        <f t="shared" si="22"/>
        <v>10</v>
      </c>
      <c r="C1280" s="3" t="s">
        <v>956</v>
      </c>
      <c r="D1280" s="7">
        <v>6.9444444444444441E-3</v>
      </c>
      <c r="E1280" s="4" t="s">
        <v>1</v>
      </c>
      <c r="F1280" s="8" t="s">
        <v>7</v>
      </c>
    </row>
    <row r="1281" spans="1:6" x14ac:dyDescent="0.25">
      <c r="A1281" t="s">
        <v>1038</v>
      </c>
      <c r="B1281" s="13">
        <f t="shared" si="22"/>
        <v>10</v>
      </c>
      <c r="C1281" s="3" t="s">
        <v>957</v>
      </c>
      <c r="D1281" s="7">
        <v>6.9444444444444441E-3</v>
      </c>
      <c r="E1281" s="4" t="s">
        <v>1</v>
      </c>
      <c r="F1281" s="8" t="s">
        <v>7</v>
      </c>
    </row>
    <row r="1282" spans="1:6" x14ac:dyDescent="0.25">
      <c r="A1282" t="s">
        <v>1038</v>
      </c>
      <c r="B1282" s="13">
        <f t="shared" si="22"/>
        <v>10</v>
      </c>
      <c r="C1282" s="3" t="s">
        <v>958</v>
      </c>
      <c r="D1282" s="7">
        <v>6.9444444444444441E-3</v>
      </c>
      <c r="E1282" s="4" t="s">
        <v>1</v>
      </c>
      <c r="F1282" s="8" t="s">
        <v>7</v>
      </c>
    </row>
    <row r="1283" spans="1:6" x14ac:dyDescent="0.25">
      <c r="A1283" t="s">
        <v>1038</v>
      </c>
      <c r="B1283" s="13">
        <f t="shared" si="22"/>
        <v>0</v>
      </c>
      <c r="C1283" s="3" t="s">
        <v>537</v>
      </c>
      <c r="D1283" s="3"/>
      <c r="E1283" s="4" t="s">
        <v>1</v>
      </c>
      <c r="F1283" s="4" t="s">
        <v>17</v>
      </c>
    </row>
    <row r="1284" spans="1:6" x14ac:dyDescent="0.25">
      <c r="A1284" t="s">
        <v>1038</v>
      </c>
      <c r="B1284" s="13">
        <f t="shared" si="22"/>
        <v>0</v>
      </c>
      <c r="C1284" s="3" t="s">
        <v>538</v>
      </c>
      <c r="D1284" s="3"/>
      <c r="E1284" s="4" t="s">
        <v>1</v>
      </c>
      <c r="F1284" s="4" t="s">
        <v>17</v>
      </c>
    </row>
    <row r="1285" spans="1:6" x14ac:dyDescent="0.25">
      <c r="A1285" t="s">
        <v>1038</v>
      </c>
      <c r="B1285" s="13">
        <f t="shared" si="22"/>
        <v>0</v>
      </c>
      <c r="C1285" s="3" t="s">
        <v>959</v>
      </c>
      <c r="D1285" s="3"/>
      <c r="E1285" s="4" t="s">
        <v>1</v>
      </c>
      <c r="F1285" s="4" t="s">
        <v>17</v>
      </c>
    </row>
    <row r="1286" spans="1:6" x14ac:dyDescent="0.25">
      <c r="A1286" t="s">
        <v>1038</v>
      </c>
      <c r="B1286" s="13">
        <f t="shared" si="22"/>
        <v>0</v>
      </c>
      <c r="C1286" s="3" t="s">
        <v>539</v>
      </c>
      <c r="D1286" s="3"/>
      <c r="E1286" s="4" t="s">
        <v>1</v>
      </c>
      <c r="F1286" s="4" t="s">
        <v>17</v>
      </c>
    </row>
    <row r="1287" spans="1:6" x14ac:dyDescent="0.25">
      <c r="A1287" t="s">
        <v>1038</v>
      </c>
      <c r="B1287" s="13">
        <f t="shared" si="22"/>
        <v>247.00000000000003</v>
      </c>
      <c r="C1287" s="17" t="s">
        <v>540</v>
      </c>
      <c r="D1287" s="19">
        <v>0.17152777777777778</v>
      </c>
      <c r="E1287" s="21" t="s">
        <v>1</v>
      </c>
      <c r="F1287" s="5" t="s">
        <v>960</v>
      </c>
    </row>
    <row r="1288" spans="1:6" x14ac:dyDescent="0.25">
      <c r="A1288" t="s">
        <v>1038</v>
      </c>
      <c r="B1288" s="13">
        <f t="shared" si="22"/>
        <v>0</v>
      </c>
      <c r="C1288" s="18"/>
      <c r="D1288" s="20"/>
      <c r="E1288" s="22"/>
      <c r="F1288" s="6" t="s">
        <v>961</v>
      </c>
    </row>
    <row r="1289" spans="1:6" x14ac:dyDescent="0.25">
      <c r="A1289" t="s">
        <v>1038</v>
      </c>
      <c r="B1289" s="13">
        <f t="shared" si="22"/>
        <v>0</v>
      </c>
      <c r="C1289" s="3" t="s">
        <v>542</v>
      </c>
      <c r="D1289" s="3"/>
      <c r="E1289" s="4" t="s">
        <v>1</v>
      </c>
      <c r="F1289" s="4" t="s">
        <v>17</v>
      </c>
    </row>
    <row r="1290" spans="1:6" x14ac:dyDescent="0.25">
      <c r="A1290" t="s">
        <v>1038</v>
      </c>
      <c r="B1290" s="13">
        <f t="shared" si="22"/>
        <v>10</v>
      </c>
      <c r="C1290" s="17" t="s">
        <v>543</v>
      </c>
      <c r="D1290" s="19">
        <v>6.9444444444444441E-3</v>
      </c>
      <c r="E1290" s="21" t="s">
        <v>1</v>
      </c>
      <c r="F1290" s="5" t="s">
        <v>7</v>
      </c>
    </row>
    <row r="1291" spans="1:6" x14ac:dyDescent="0.25">
      <c r="A1291" t="s">
        <v>1038</v>
      </c>
      <c r="B1291" s="13">
        <f t="shared" si="22"/>
        <v>0</v>
      </c>
      <c r="C1291" s="18"/>
      <c r="D1291" s="20"/>
      <c r="E1291" s="22"/>
      <c r="F1291" s="6" t="s">
        <v>8</v>
      </c>
    </row>
    <row r="1292" spans="1:6" x14ac:dyDescent="0.25">
      <c r="A1292" t="s">
        <v>1038</v>
      </c>
      <c r="B1292" s="13">
        <f t="shared" si="22"/>
        <v>0</v>
      </c>
      <c r="C1292" s="3" t="s">
        <v>544</v>
      </c>
      <c r="D1292" s="3"/>
      <c r="E1292" s="4" t="s">
        <v>1</v>
      </c>
      <c r="F1292" s="4" t="s">
        <v>17</v>
      </c>
    </row>
    <row r="1293" spans="1:6" x14ac:dyDescent="0.25">
      <c r="A1293" t="s">
        <v>1038</v>
      </c>
      <c r="B1293" s="13">
        <f t="shared" si="22"/>
        <v>0</v>
      </c>
      <c r="C1293" s="3" t="s">
        <v>545</v>
      </c>
      <c r="D1293" s="3"/>
      <c r="E1293" s="4" t="s">
        <v>1</v>
      </c>
      <c r="F1293" s="4" t="s">
        <v>17</v>
      </c>
    </row>
    <row r="1294" spans="1:6" x14ac:dyDescent="0.25">
      <c r="A1294" t="s">
        <v>1038</v>
      </c>
      <c r="B1294" s="13">
        <f t="shared" si="22"/>
        <v>10</v>
      </c>
      <c r="C1294" s="3" t="s">
        <v>546</v>
      </c>
      <c r="D1294" s="7">
        <v>6.9444444444444441E-3</v>
      </c>
      <c r="E1294" s="4" t="s">
        <v>1</v>
      </c>
      <c r="F1294" s="8" t="s">
        <v>7</v>
      </c>
    </row>
    <row r="1295" spans="1:6" x14ac:dyDescent="0.25">
      <c r="A1295" t="s">
        <v>1038</v>
      </c>
      <c r="B1295" s="13">
        <f t="shared" si="22"/>
        <v>59</v>
      </c>
      <c r="C1295" s="17" t="s">
        <v>547</v>
      </c>
      <c r="D1295" s="19">
        <v>4.0972222222222222E-2</v>
      </c>
      <c r="E1295" s="21" t="s">
        <v>1</v>
      </c>
      <c r="F1295" s="5" t="s">
        <v>962</v>
      </c>
    </row>
    <row r="1296" spans="1:6" x14ac:dyDescent="0.25">
      <c r="A1296" t="s">
        <v>1038</v>
      </c>
      <c r="B1296" s="13">
        <f t="shared" si="22"/>
        <v>0</v>
      </c>
      <c r="C1296" s="18"/>
      <c r="D1296" s="20"/>
      <c r="E1296" s="22"/>
      <c r="F1296" s="6" t="s">
        <v>963</v>
      </c>
    </row>
    <row r="1297" spans="1:6" x14ac:dyDescent="0.25">
      <c r="A1297" t="s">
        <v>1038</v>
      </c>
      <c r="B1297" s="13">
        <f t="shared" si="22"/>
        <v>10</v>
      </c>
      <c r="C1297" s="17" t="s">
        <v>964</v>
      </c>
      <c r="D1297" s="19">
        <v>6.9444444444444441E-3</v>
      </c>
      <c r="E1297" s="21" t="s">
        <v>1</v>
      </c>
      <c r="F1297" s="5" t="s">
        <v>7</v>
      </c>
    </row>
    <row r="1298" spans="1:6" x14ac:dyDescent="0.25">
      <c r="A1298" t="s">
        <v>1038</v>
      </c>
      <c r="B1298" s="13">
        <f t="shared" si="22"/>
        <v>0</v>
      </c>
      <c r="C1298" s="18"/>
      <c r="D1298" s="20"/>
      <c r="E1298" s="22"/>
      <c r="F1298" s="6" t="s">
        <v>8</v>
      </c>
    </row>
    <row r="1299" spans="1:6" x14ac:dyDescent="0.25">
      <c r="A1299" t="s">
        <v>1038</v>
      </c>
      <c r="B1299" s="13">
        <f t="shared" si="22"/>
        <v>10</v>
      </c>
      <c r="C1299" s="17" t="s">
        <v>549</v>
      </c>
      <c r="D1299" s="19">
        <v>6.9444444444444441E-3</v>
      </c>
      <c r="E1299" s="21" t="s">
        <v>1</v>
      </c>
      <c r="F1299" s="5" t="s">
        <v>7</v>
      </c>
    </row>
    <row r="1300" spans="1:6" x14ac:dyDescent="0.25">
      <c r="A1300" t="s">
        <v>1038</v>
      </c>
      <c r="B1300" s="13">
        <f t="shared" si="22"/>
        <v>0</v>
      </c>
      <c r="C1300" s="18"/>
      <c r="D1300" s="20"/>
      <c r="E1300" s="22"/>
      <c r="F1300" s="6" t="s">
        <v>8</v>
      </c>
    </row>
    <row r="1301" spans="1:6" x14ac:dyDescent="0.25">
      <c r="A1301" t="s">
        <v>1038</v>
      </c>
      <c r="B1301" s="13">
        <f t="shared" si="22"/>
        <v>10</v>
      </c>
      <c r="C1301" s="3" t="s">
        <v>550</v>
      </c>
      <c r="D1301" s="7">
        <v>6.9444444444444441E-3</v>
      </c>
      <c r="E1301" s="4" t="s">
        <v>1</v>
      </c>
      <c r="F1301" s="8" t="s">
        <v>7</v>
      </c>
    </row>
    <row r="1302" spans="1:6" x14ac:dyDescent="0.25">
      <c r="A1302" t="s">
        <v>1038</v>
      </c>
      <c r="B1302" s="13">
        <f t="shared" si="22"/>
        <v>40</v>
      </c>
      <c r="C1302" s="17" t="s">
        <v>551</v>
      </c>
      <c r="D1302" s="19">
        <v>2.7777777777777776E-2</v>
      </c>
      <c r="E1302" s="21" t="s">
        <v>1</v>
      </c>
      <c r="F1302" s="5" t="s">
        <v>460</v>
      </c>
    </row>
    <row r="1303" spans="1:6" x14ac:dyDescent="0.25">
      <c r="A1303" t="s">
        <v>1038</v>
      </c>
      <c r="B1303" s="13">
        <f t="shared" si="22"/>
        <v>0</v>
      </c>
      <c r="C1303" s="18"/>
      <c r="D1303" s="20"/>
      <c r="E1303" s="22"/>
      <c r="F1303" s="6" t="s">
        <v>560</v>
      </c>
    </row>
    <row r="1304" spans="1:6" x14ac:dyDescent="0.25">
      <c r="A1304" t="s">
        <v>1038</v>
      </c>
      <c r="B1304" s="13">
        <f t="shared" si="22"/>
        <v>15</v>
      </c>
      <c r="C1304" s="17" t="s">
        <v>552</v>
      </c>
      <c r="D1304" s="19">
        <v>1.0416666666666666E-2</v>
      </c>
      <c r="E1304" s="21" t="s">
        <v>1</v>
      </c>
      <c r="F1304" s="5" t="s">
        <v>115</v>
      </c>
    </row>
    <row r="1305" spans="1:6" x14ac:dyDescent="0.25">
      <c r="A1305" t="s">
        <v>1038</v>
      </c>
      <c r="B1305" s="13">
        <f t="shared" si="22"/>
        <v>0</v>
      </c>
      <c r="C1305" s="18"/>
      <c r="D1305" s="20"/>
      <c r="E1305" s="22"/>
      <c r="F1305" s="6" t="s">
        <v>121</v>
      </c>
    </row>
    <row r="1306" spans="1:6" x14ac:dyDescent="0.25">
      <c r="A1306" t="s">
        <v>1038</v>
      </c>
      <c r="B1306" s="13">
        <f t="shared" si="22"/>
        <v>10</v>
      </c>
      <c r="C1306" s="3" t="s">
        <v>553</v>
      </c>
      <c r="D1306" s="7">
        <v>6.9444444444444441E-3</v>
      </c>
      <c r="E1306" s="4" t="s">
        <v>1</v>
      </c>
      <c r="F1306" s="8" t="s">
        <v>7</v>
      </c>
    </row>
    <row r="1307" spans="1:6" x14ac:dyDescent="0.25">
      <c r="A1307" t="s">
        <v>1038</v>
      </c>
      <c r="B1307" s="13">
        <f t="shared" si="22"/>
        <v>0</v>
      </c>
      <c r="C1307" s="3" t="s">
        <v>554</v>
      </c>
      <c r="D1307" s="3"/>
      <c r="E1307" s="4" t="s">
        <v>1</v>
      </c>
      <c r="F1307" s="4" t="s">
        <v>17</v>
      </c>
    </row>
    <row r="1308" spans="1:6" x14ac:dyDescent="0.25">
      <c r="A1308" t="s">
        <v>1038</v>
      </c>
      <c r="B1308" s="13">
        <f t="shared" si="22"/>
        <v>0</v>
      </c>
      <c r="C1308" s="3" t="s">
        <v>555</v>
      </c>
      <c r="D1308" s="3"/>
      <c r="E1308" s="4" t="s">
        <v>1</v>
      </c>
      <c r="F1308" s="4" t="s">
        <v>17</v>
      </c>
    </row>
    <row r="1309" spans="1:6" x14ac:dyDescent="0.25">
      <c r="A1309" t="s">
        <v>1038</v>
      </c>
      <c r="B1309" s="13">
        <f t="shared" si="22"/>
        <v>15</v>
      </c>
      <c r="C1309" s="17" t="s">
        <v>556</v>
      </c>
      <c r="D1309" s="19">
        <v>1.0416666666666666E-2</v>
      </c>
      <c r="E1309" s="21" t="s">
        <v>1</v>
      </c>
      <c r="F1309" s="5" t="s">
        <v>115</v>
      </c>
    </row>
    <row r="1310" spans="1:6" x14ac:dyDescent="0.25">
      <c r="A1310" t="s">
        <v>1038</v>
      </c>
      <c r="B1310" s="13">
        <f t="shared" ref="B1310:B1373" si="23">D1310*24*60</f>
        <v>0</v>
      </c>
      <c r="C1310" s="18"/>
      <c r="D1310" s="20"/>
      <c r="E1310" s="22"/>
      <c r="F1310" s="6" t="s">
        <v>121</v>
      </c>
    </row>
    <row r="1311" spans="1:6" x14ac:dyDescent="0.25">
      <c r="A1311" t="s">
        <v>1038</v>
      </c>
      <c r="B1311" s="13">
        <f t="shared" si="23"/>
        <v>82</v>
      </c>
      <c r="C1311" s="17" t="s">
        <v>559</v>
      </c>
      <c r="D1311" s="19">
        <v>5.6944444444444443E-2</v>
      </c>
      <c r="E1311" s="21" t="s">
        <v>1</v>
      </c>
      <c r="F1311" s="5" t="s">
        <v>965</v>
      </c>
    </row>
    <row r="1312" spans="1:6" x14ac:dyDescent="0.25">
      <c r="A1312" t="s">
        <v>1038</v>
      </c>
      <c r="B1312" s="13">
        <f t="shared" si="23"/>
        <v>0</v>
      </c>
      <c r="C1312" s="18"/>
      <c r="D1312" s="20"/>
      <c r="E1312" s="22"/>
      <c r="F1312" s="6" t="s">
        <v>966</v>
      </c>
    </row>
    <row r="1313" spans="1:6" x14ac:dyDescent="0.25">
      <c r="A1313" t="s">
        <v>1038</v>
      </c>
      <c r="B1313" s="13">
        <f t="shared" si="23"/>
        <v>0</v>
      </c>
      <c r="C1313" s="3" t="s">
        <v>561</v>
      </c>
      <c r="D1313" s="3"/>
      <c r="E1313" s="4" t="s">
        <v>1</v>
      </c>
      <c r="F1313" s="4" t="s">
        <v>17</v>
      </c>
    </row>
    <row r="1314" spans="1:6" x14ac:dyDescent="0.25">
      <c r="A1314" t="s">
        <v>1038</v>
      </c>
      <c r="B1314" s="13">
        <f t="shared" si="23"/>
        <v>20</v>
      </c>
      <c r="C1314" s="17" t="s">
        <v>564</v>
      </c>
      <c r="D1314" s="19">
        <v>1.3888888888888888E-2</v>
      </c>
      <c r="E1314" s="21" t="s">
        <v>1</v>
      </c>
      <c r="F1314" s="5" t="s">
        <v>136</v>
      </c>
    </row>
    <row r="1315" spans="1:6" x14ac:dyDescent="0.25">
      <c r="A1315" t="s">
        <v>1038</v>
      </c>
      <c r="B1315" s="13">
        <f t="shared" si="23"/>
        <v>0</v>
      </c>
      <c r="C1315" s="18"/>
      <c r="D1315" s="20"/>
      <c r="E1315" s="22"/>
      <c r="F1315" s="6" t="s">
        <v>64</v>
      </c>
    </row>
    <row r="1316" spans="1:6" x14ac:dyDescent="0.25">
      <c r="A1316" t="s">
        <v>1038</v>
      </c>
      <c r="B1316" s="13">
        <f t="shared" si="23"/>
        <v>116.00000000000001</v>
      </c>
      <c r="C1316" s="17" t="s">
        <v>565</v>
      </c>
      <c r="D1316" s="19">
        <v>8.0555555555555561E-2</v>
      </c>
      <c r="E1316" s="21" t="s">
        <v>1</v>
      </c>
      <c r="F1316" s="5" t="s">
        <v>803</v>
      </c>
    </row>
    <row r="1317" spans="1:6" x14ac:dyDescent="0.25">
      <c r="A1317" t="s">
        <v>1038</v>
      </c>
      <c r="B1317" s="13">
        <f t="shared" si="23"/>
        <v>0</v>
      </c>
      <c r="C1317" s="18"/>
      <c r="D1317" s="20"/>
      <c r="E1317" s="22"/>
      <c r="F1317" s="6" t="s">
        <v>967</v>
      </c>
    </row>
    <row r="1318" spans="1:6" x14ac:dyDescent="0.25">
      <c r="A1318" t="s">
        <v>1038</v>
      </c>
      <c r="B1318" s="13">
        <f t="shared" si="23"/>
        <v>10</v>
      </c>
      <c r="C1318" s="3" t="s">
        <v>968</v>
      </c>
      <c r="D1318" s="7">
        <v>6.9444444444444441E-3</v>
      </c>
      <c r="E1318" s="4" t="s">
        <v>1</v>
      </c>
      <c r="F1318" s="8" t="s">
        <v>7</v>
      </c>
    </row>
    <row r="1319" spans="1:6" x14ac:dyDescent="0.25">
      <c r="A1319" t="s">
        <v>1038</v>
      </c>
      <c r="B1319" s="13">
        <f t="shared" si="23"/>
        <v>0</v>
      </c>
      <c r="C1319" s="3" t="s">
        <v>567</v>
      </c>
      <c r="D1319" s="3"/>
      <c r="E1319" s="4" t="s">
        <v>1</v>
      </c>
      <c r="F1319" s="4" t="s">
        <v>17</v>
      </c>
    </row>
    <row r="1320" spans="1:6" x14ac:dyDescent="0.25">
      <c r="A1320" t="s">
        <v>1038</v>
      </c>
      <c r="B1320" s="13">
        <f t="shared" si="23"/>
        <v>40</v>
      </c>
      <c r="C1320" s="17" t="s">
        <v>568</v>
      </c>
      <c r="D1320" s="19">
        <v>2.7777777777777776E-2</v>
      </c>
      <c r="E1320" s="21" t="s">
        <v>1</v>
      </c>
      <c r="F1320" s="5" t="s">
        <v>460</v>
      </c>
    </row>
    <row r="1321" spans="1:6" x14ac:dyDescent="0.25">
      <c r="A1321" t="s">
        <v>1038</v>
      </c>
      <c r="B1321" s="13">
        <f t="shared" si="23"/>
        <v>0</v>
      </c>
      <c r="C1321" s="18"/>
      <c r="D1321" s="20"/>
      <c r="E1321" s="22"/>
      <c r="F1321" s="6" t="s">
        <v>969</v>
      </c>
    </row>
    <row r="1322" spans="1:6" x14ac:dyDescent="0.25">
      <c r="A1322" t="s">
        <v>1038</v>
      </c>
      <c r="B1322" s="13">
        <f t="shared" si="23"/>
        <v>25</v>
      </c>
      <c r="C1322" s="17" t="s">
        <v>570</v>
      </c>
      <c r="D1322" s="19">
        <v>1.7361111111111112E-2</v>
      </c>
      <c r="E1322" s="21" t="s">
        <v>1</v>
      </c>
      <c r="F1322" s="5" t="s">
        <v>12</v>
      </c>
    </row>
    <row r="1323" spans="1:6" x14ac:dyDescent="0.25">
      <c r="A1323" t="s">
        <v>1038</v>
      </c>
      <c r="B1323" s="13">
        <f t="shared" si="23"/>
        <v>0</v>
      </c>
      <c r="C1323" s="18"/>
      <c r="D1323" s="20"/>
      <c r="E1323" s="22"/>
      <c r="F1323" s="6" t="s">
        <v>768</v>
      </c>
    </row>
    <row r="1324" spans="1:6" x14ac:dyDescent="0.25">
      <c r="A1324" t="s">
        <v>1038</v>
      </c>
      <c r="B1324" s="13">
        <f t="shared" si="23"/>
        <v>61</v>
      </c>
      <c r="C1324" s="17" t="s">
        <v>572</v>
      </c>
      <c r="D1324" s="19">
        <v>4.2361111111111113E-2</v>
      </c>
      <c r="E1324" s="21" t="s">
        <v>1</v>
      </c>
      <c r="F1324" s="5" t="s">
        <v>357</v>
      </c>
    </row>
    <row r="1325" spans="1:6" x14ac:dyDescent="0.25">
      <c r="A1325" t="s">
        <v>1038</v>
      </c>
      <c r="B1325" s="13">
        <f t="shared" si="23"/>
        <v>0</v>
      </c>
      <c r="C1325" s="18"/>
      <c r="D1325" s="20"/>
      <c r="E1325" s="22"/>
      <c r="F1325" s="6" t="s">
        <v>970</v>
      </c>
    </row>
    <row r="1326" spans="1:6" x14ac:dyDescent="0.25">
      <c r="A1326" t="s">
        <v>1038</v>
      </c>
      <c r="B1326" s="13">
        <f t="shared" si="23"/>
        <v>0</v>
      </c>
      <c r="C1326" s="17" t="s">
        <v>575</v>
      </c>
      <c r="D1326" s="17"/>
      <c r="E1326" s="21" t="s">
        <v>1</v>
      </c>
      <c r="F1326" s="1" t="s">
        <v>2</v>
      </c>
    </row>
    <row r="1327" spans="1:6" x14ac:dyDescent="0.25">
      <c r="A1327" t="s">
        <v>1038</v>
      </c>
      <c r="B1327" s="13">
        <f t="shared" si="23"/>
        <v>0</v>
      </c>
      <c r="C1327" s="18"/>
      <c r="D1327" s="18"/>
      <c r="E1327" s="22"/>
      <c r="F1327" s="2" t="s">
        <v>29</v>
      </c>
    </row>
    <row r="1328" spans="1:6" x14ac:dyDescent="0.25">
      <c r="A1328" t="s">
        <v>1038</v>
      </c>
      <c r="B1328" s="13">
        <f t="shared" si="23"/>
        <v>98</v>
      </c>
      <c r="C1328" s="17" t="s">
        <v>577</v>
      </c>
      <c r="D1328" s="19">
        <v>6.805555555555555E-2</v>
      </c>
      <c r="E1328" s="21" t="s">
        <v>1</v>
      </c>
      <c r="F1328" s="5" t="s">
        <v>971</v>
      </c>
    </row>
    <row r="1329" spans="1:6" x14ac:dyDescent="0.25">
      <c r="A1329" t="s">
        <v>1038</v>
      </c>
      <c r="B1329" s="13">
        <f t="shared" si="23"/>
        <v>0</v>
      </c>
      <c r="C1329" s="18"/>
      <c r="D1329" s="20"/>
      <c r="E1329" s="22"/>
      <c r="F1329" s="6" t="s">
        <v>972</v>
      </c>
    </row>
    <row r="1330" spans="1:6" x14ac:dyDescent="0.25">
      <c r="A1330" t="s">
        <v>1038</v>
      </c>
      <c r="B1330" s="13">
        <f t="shared" si="23"/>
        <v>0</v>
      </c>
      <c r="C1330" s="3" t="s">
        <v>973</v>
      </c>
      <c r="D1330" s="3"/>
      <c r="E1330" s="4" t="s">
        <v>1</v>
      </c>
      <c r="F1330" s="4" t="s">
        <v>17</v>
      </c>
    </row>
    <row r="1331" spans="1:6" x14ac:dyDescent="0.25">
      <c r="A1331" t="s">
        <v>1038</v>
      </c>
      <c r="B1331" s="13">
        <f t="shared" si="23"/>
        <v>0</v>
      </c>
      <c r="C1331" s="3" t="s">
        <v>579</v>
      </c>
      <c r="D1331" s="3"/>
      <c r="E1331" s="4" t="s">
        <v>1</v>
      </c>
      <c r="F1331" s="4" t="s">
        <v>17</v>
      </c>
    </row>
    <row r="1332" spans="1:6" x14ac:dyDescent="0.25">
      <c r="A1332" t="s">
        <v>1038</v>
      </c>
      <c r="B1332" s="13">
        <f t="shared" si="23"/>
        <v>0</v>
      </c>
      <c r="C1332" s="3" t="s">
        <v>580</v>
      </c>
      <c r="D1332" s="3"/>
      <c r="E1332" s="4" t="s">
        <v>1</v>
      </c>
      <c r="F1332" s="4" t="s">
        <v>17</v>
      </c>
    </row>
    <row r="1333" spans="1:6" x14ac:dyDescent="0.25">
      <c r="A1333" t="s">
        <v>1038</v>
      </c>
      <c r="B1333" s="13">
        <f t="shared" si="23"/>
        <v>0</v>
      </c>
      <c r="C1333" s="3" t="s">
        <v>581</v>
      </c>
      <c r="D1333" s="3"/>
      <c r="E1333" s="4" t="s">
        <v>1</v>
      </c>
      <c r="F1333" s="4" t="s">
        <v>17</v>
      </c>
    </row>
    <row r="1334" spans="1:6" x14ac:dyDescent="0.25">
      <c r="A1334" t="s">
        <v>1038</v>
      </c>
      <c r="B1334" s="13">
        <f t="shared" si="23"/>
        <v>10</v>
      </c>
      <c r="C1334" s="17" t="s">
        <v>582</v>
      </c>
      <c r="D1334" s="19">
        <v>6.9444444444444441E-3</v>
      </c>
      <c r="E1334" s="21" t="s">
        <v>1</v>
      </c>
      <c r="F1334" s="5" t="s">
        <v>7</v>
      </c>
    </row>
    <row r="1335" spans="1:6" x14ac:dyDescent="0.25">
      <c r="A1335" t="s">
        <v>1038</v>
      </c>
      <c r="B1335" s="13">
        <f t="shared" si="23"/>
        <v>0</v>
      </c>
      <c r="C1335" s="18"/>
      <c r="D1335" s="20"/>
      <c r="E1335" s="22"/>
      <c r="F1335" s="6" t="s">
        <v>43</v>
      </c>
    </row>
    <row r="1336" spans="1:6" x14ac:dyDescent="0.25">
      <c r="A1336" t="s">
        <v>1038</v>
      </c>
      <c r="B1336" s="13">
        <f t="shared" si="23"/>
        <v>0</v>
      </c>
      <c r="C1336" s="3" t="s">
        <v>583</v>
      </c>
      <c r="D1336" s="3"/>
      <c r="E1336" s="4" t="s">
        <v>1</v>
      </c>
      <c r="F1336" s="4" t="s">
        <v>17</v>
      </c>
    </row>
    <row r="1337" spans="1:6" x14ac:dyDescent="0.25">
      <c r="A1337" t="s">
        <v>1038</v>
      </c>
      <c r="B1337" s="13">
        <f t="shared" si="23"/>
        <v>25</v>
      </c>
      <c r="C1337" s="17" t="s">
        <v>585</v>
      </c>
      <c r="D1337" s="19">
        <v>1.7361111111111112E-2</v>
      </c>
      <c r="E1337" s="21" t="s">
        <v>1</v>
      </c>
      <c r="F1337" s="5" t="s">
        <v>12</v>
      </c>
    </row>
    <row r="1338" spans="1:6" x14ac:dyDescent="0.25">
      <c r="A1338" t="s">
        <v>1038</v>
      </c>
      <c r="B1338" s="13">
        <f t="shared" si="23"/>
        <v>0</v>
      </c>
      <c r="C1338" s="18"/>
      <c r="D1338" s="20"/>
      <c r="E1338" s="22"/>
      <c r="F1338" s="6" t="s">
        <v>29</v>
      </c>
    </row>
    <row r="1339" spans="1:6" x14ac:dyDescent="0.25">
      <c r="A1339" t="s">
        <v>1038</v>
      </c>
      <c r="B1339" s="13">
        <f t="shared" si="23"/>
        <v>0</v>
      </c>
      <c r="C1339" s="3" t="s">
        <v>587</v>
      </c>
      <c r="D1339" s="3"/>
      <c r="E1339" s="4" t="s">
        <v>1</v>
      </c>
      <c r="F1339" s="4" t="s">
        <v>17</v>
      </c>
    </row>
    <row r="1340" spans="1:6" x14ac:dyDescent="0.25">
      <c r="A1340" t="s">
        <v>1038</v>
      </c>
      <c r="B1340" s="13">
        <f t="shared" si="23"/>
        <v>15</v>
      </c>
      <c r="C1340" s="17" t="s">
        <v>588</v>
      </c>
      <c r="D1340" s="19">
        <v>1.0416666666666666E-2</v>
      </c>
      <c r="E1340" s="21" t="s">
        <v>1</v>
      </c>
      <c r="F1340" s="5" t="s">
        <v>115</v>
      </c>
    </row>
    <row r="1341" spans="1:6" x14ac:dyDescent="0.25">
      <c r="A1341" t="s">
        <v>1038</v>
      </c>
      <c r="B1341" s="13">
        <f t="shared" si="23"/>
        <v>0</v>
      </c>
      <c r="C1341" s="18"/>
      <c r="D1341" s="20"/>
      <c r="E1341" s="22"/>
      <c r="F1341" s="6" t="s">
        <v>70</v>
      </c>
    </row>
    <row r="1342" spans="1:6" x14ac:dyDescent="0.25">
      <c r="A1342" t="s">
        <v>1038</v>
      </c>
      <c r="B1342" s="13">
        <f t="shared" si="23"/>
        <v>10</v>
      </c>
      <c r="C1342" s="3" t="s">
        <v>589</v>
      </c>
      <c r="D1342" s="7">
        <v>6.9444444444444441E-3</v>
      </c>
      <c r="E1342" s="4" t="s">
        <v>1</v>
      </c>
      <c r="F1342" s="8" t="s">
        <v>7</v>
      </c>
    </row>
    <row r="1343" spans="1:6" x14ac:dyDescent="0.25">
      <c r="A1343" t="s">
        <v>1038</v>
      </c>
      <c r="B1343" s="13">
        <f t="shared" si="23"/>
        <v>167</v>
      </c>
      <c r="C1343" s="17" t="s">
        <v>590</v>
      </c>
      <c r="D1343" s="19">
        <v>0.11597222222222223</v>
      </c>
      <c r="E1343" s="21" t="s">
        <v>1</v>
      </c>
      <c r="F1343" s="5" t="s">
        <v>974</v>
      </c>
    </row>
    <row r="1344" spans="1:6" x14ac:dyDescent="0.25">
      <c r="A1344" t="s">
        <v>1038</v>
      </c>
      <c r="B1344" s="13">
        <f t="shared" si="23"/>
        <v>0</v>
      </c>
      <c r="C1344" s="18"/>
      <c r="D1344" s="20"/>
      <c r="E1344" s="22"/>
      <c r="F1344" s="6" t="s">
        <v>975</v>
      </c>
    </row>
    <row r="1345" spans="1:6" x14ac:dyDescent="0.25">
      <c r="A1345" t="s">
        <v>1038</v>
      </c>
      <c r="B1345" s="13">
        <f t="shared" si="23"/>
        <v>0</v>
      </c>
      <c r="C1345" s="3" t="s">
        <v>593</v>
      </c>
      <c r="D1345" s="3"/>
      <c r="E1345" s="4" t="s">
        <v>1</v>
      </c>
      <c r="F1345" s="3" t="s">
        <v>976</v>
      </c>
    </row>
    <row r="1346" spans="1:6" x14ac:dyDescent="0.25">
      <c r="A1346" t="s">
        <v>1038</v>
      </c>
      <c r="B1346" s="13">
        <f t="shared" si="23"/>
        <v>0</v>
      </c>
      <c r="C1346" s="3" t="s">
        <v>594</v>
      </c>
      <c r="D1346" s="3"/>
      <c r="E1346" s="4" t="s">
        <v>1</v>
      </c>
      <c r="F1346" s="4" t="s">
        <v>17</v>
      </c>
    </row>
    <row r="1347" spans="1:6" x14ac:dyDescent="0.25">
      <c r="A1347" t="s">
        <v>1038</v>
      </c>
      <c r="B1347" s="13">
        <f t="shared" si="23"/>
        <v>57</v>
      </c>
      <c r="C1347" s="17" t="s">
        <v>595</v>
      </c>
      <c r="D1347" s="19">
        <v>3.9583333333333331E-2</v>
      </c>
      <c r="E1347" s="21" t="s">
        <v>1</v>
      </c>
      <c r="F1347" s="5" t="s">
        <v>198</v>
      </c>
    </row>
    <row r="1348" spans="1:6" x14ac:dyDescent="0.25">
      <c r="A1348" t="s">
        <v>1038</v>
      </c>
      <c r="B1348" s="13">
        <f t="shared" si="23"/>
        <v>0</v>
      </c>
      <c r="C1348" s="18"/>
      <c r="D1348" s="20"/>
      <c r="E1348" s="22"/>
      <c r="F1348" s="6" t="s">
        <v>977</v>
      </c>
    </row>
    <row r="1349" spans="1:6" x14ac:dyDescent="0.25">
      <c r="A1349" t="s">
        <v>1038</v>
      </c>
      <c r="B1349" s="13">
        <f t="shared" si="23"/>
        <v>10</v>
      </c>
      <c r="C1349" s="3" t="s">
        <v>597</v>
      </c>
      <c r="D1349" s="7">
        <v>6.9444444444444441E-3</v>
      </c>
      <c r="E1349" s="4" t="s">
        <v>1</v>
      </c>
      <c r="F1349" s="8" t="s">
        <v>7</v>
      </c>
    </row>
    <row r="1350" spans="1:6" x14ac:dyDescent="0.25">
      <c r="A1350" t="s">
        <v>1038</v>
      </c>
      <c r="B1350" s="13">
        <f t="shared" si="23"/>
        <v>15</v>
      </c>
      <c r="C1350" s="17" t="s">
        <v>598</v>
      </c>
      <c r="D1350" s="19">
        <v>1.0416666666666666E-2</v>
      </c>
      <c r="E1350" s="21" t="s">
        <v>1</v>
      </c>
      <c r="F1350" s="5" t="s">
        <v>115</v>
      </c>
    </row>
    <row r="1351" spans="1:6" x14ac:dyDescent="0.25">
      <c r="A1351" t="s">
        <v>1038</v>
      </c>
      <c r="B1351" s="13">
        <f t="shared" si="23"/>
        <v>0</v>
      </c>
      <c r="C1351" s="18"/>
      <c r="D1351" s="20"/>
      <c r="E1351" s="22"/>
      <c r="F1351" s="6" t="s">
        <v>70</v>
      </c>
    </row>
    <row r="1352" spans="1:6" x14ac:dyDescent="0.25">
      <c r="A1352" t="s">
        <v>1038</v>
      </c>
      <c r="B1352" s="13">
        <f t="shared" si="23"/>
        <v>10</v>
      </c>
      <c r="C1352" s="3" t="s">
        <v>599</v>
      </c>
      <c r="D1352" s="7">
        <v>6.9444444444444441E-3</v>
      </c>
      <c r="E1352" s="4" t="s">
        <v>1</v>
      </c>
      <c r="F1352" s="8" t="s">
        <v>7</v>
      </c>
    </row>
    <row r="1353" spans="1:6" x14ac:dyDescent="0.25">
      <c r="A1353" t="s">
        <v>1038</v>
      </c>
      <c r="B1353" s="13">
        <f t="shared" si="23"/>
        <v>0</v>
      </c>
      <c r="C1353" s="3" t="s">
        <v>978</v>
      </c>
      <c r="D1353" s="3"/>
      <c r="E1353" s="4" t="s">
        <v>1</v>
      </c>
      <c r="F1353" s="4" t="s">
        <v>17</v>
      </c>
    </row>
    <row r="1354" spans="1:6" x14ac:dyDescent="0.25">
      <c r="A1354" t="s">
        <v>1038</v>
      </c>
      <c r="B1354" s="13">
        <f t="shared" si="23"/>
        <v>10</v>
      </c>
      <c r="C1354" s="3" t="s">
        <v>602</v>
      </c>
      <c r="D1354" s="7">
        <v>6.9444444444444441E-3</v>
      </c>
      <c r="E1354" s="4" t="s">
        <v>1</v>
      </c>
      <c r="F1354" s="8" t="s">
        <v>7</v>
      </c>
    </row>
    <row r="1355" spans="1:6" x14ac:dyDescent="0.25">
      <c r="A1355" t="s">
        <v>1038</v>
      </c>
      <c r="B1355" s="13">
        <f t="shared" si="23"/>
        <v>40</v>
      </c>
      <c r="C1355" s="17" t="s">
        <v>603</v>
      </c>
      <c r="D1355" s="19">
        <v>2.7777777777777776E-2</v>
      </c>
      <c r="E1355" s="21" t="s">
        <v>1</v>
      </c>
      <c r="F1355" s="5" t="s">
        <v>460</v>
      </c>
    </row>
    <row r="1356" spans="1:6" x14ac:dyDescent="0.25">
      <c r="A1356" t="s">
        <v>1038</v>
      </c>
      <c r="B1356" s="13">
        <f t="shared" si="23"/>
        <v>0</v>
      </c>
      <c r="C1356" s="18"/>
      <c r="D1356" s="20"/>
      <c r="E1356" s="22"/>
      <c r="F1356" s="6" t="s">
        <v>969</v>
      </c>
    </row>
    <row r="1357" spans="1:6" x14ac:dyDescent="0.25">
      <c r="A1357" t="s">
        <v>1038</v>
      </c>
      <c r="B1357" s="13">
        <f t="shared" si="23"/>
        <v>10</v>
      </c>
      <c r="C1357" s="3" t="s">
        <v>604</v>
      </c>
      <c r="D1357" s="7">
        <v>6.9444444444444441E-3</v>
      </c>
      <c r="E1357" s="4" t="s">
        <v>1</v>
      </c>
      <c r="F1357" s="8" t="s">
        <v>7</v>
      </c>
    </row>
    <row r="1358" spans="1:6" x14ac:dyDescent="0.25">
      <c r="A1358" t="s">
        <v>1038</v>
      </c>
      <c r="B1358" s="13">
        <f t="shared" si="23"/>
        <v>32</v>
      </c>
      <c r="C1358" s="17" t="s">
        <v>605</v>
      </c>
      <c r="D1358" s="19">
        <v>2.2222222222222223E-2</v>
      </c>
      <c r="E1358" s="21" t="s">
        <v>1</v>
      </c>
      <c r="F1358" s="5" t="s">
        <v>169</v>
      </c>
    </row>
    <row r="1359" spans="1:6" x14ac:dyDescent="0.25">
      <c r="A1359" t="s">
        <v>1038</v>
      </c>
      <c r="B1359" s="13">
        <f t="shared" si="23"/>
        <v>0</v>
      </c>
      <c r="C1359" s="18"/>
      <c r="D1359" s="20"/>
      <c r="E1359" s="22"/>
      <c r="F1359" s="6" t="s">
        <v>979</v>
      </c>
    </row>
    <row r="1360" spans="1:6" x14ac:dyDescent="0.25">
      <c r="A1360" t="s">
        <v>1038</v>
      </c>
      <c r="B1360" s="13">
        <f t="shared" si="23"/>
        <v>10</v>
      </c>
      <c r="C1360" s="3" t="s">
        <v>607</v>
      </c>
      <c r="D1360" s="7">
        <v>6.9444444444444441E-3</v>
      </c>
      <c r="E1360" s="4" t="s">
        <v>1</v>
      </c>
      <c r="F1360" s="8" t="s">
        <v>7</v>
      </c>
    </row>
    <row r="1361" spans="1:6" x14ac:dyDescent="0.25">
      <c r="A1361" t="s">
        <v>1038</v>
      </c>
      <c r="B1361" s="13">
        <f t="shared" si="23"/>
        <v>15</v>
      </c>
      <c r="C1361" s="17" t="s">
        <v>608</v>
      </c>
      <c r="D1361" s="19">
        <v>1.0416666666666666E-2</v>
      </c>
      <c r="E1361" s="21" t="s">
        <v>1</v>
      </c>
      <c r="F1361" s="5" t="s">
        <v>115</v>
      </c>
    </row>
    <row r="1362" spans="1:6" x14ac:dyDescent="0.25">
      <c r="A1362" t="s">
        <v>1038</v>
      </c>
      <c r="B1362" s="13">
        <f t="shared" si="23"/>
        <v>0</v>
      </c>
      <c r="C1362" s="18"/>
      <c r="D1362" s="20"/>
      <c r="E1362" s="22"/>
      <c r="F1362" s="6" t="s">
        <v>121</v>
      </c>
    </row>
    <row r="1363" spans="1:6" x14ac:dyDescent="0.25">
      <c r="A1363" t="s">
        <v>1038</v>
      </c>
      <c r="B1363" s="13">
        <f t="shared" si="23"/>
        <v>65.999999999999986</v>
      </c>
      <c r="C1363" s="17" t="s">
        <v>609</v>
      </c>
      <c r="D1363" s="19">
        <v>4.583333333333333E-2</v>
      </c>
      <c r="E1363" s="21" t="s">
        <v>1</v>
      </c>
      <c r="F1363" s="5" t="s">
        <v>187</v>
      </c>
    </row>
    <row r="1364" spans="1:6" x14ac:dyDescent="0.25">
      <c r="A1364" t="s">
        <v>1038</v>
      </c>
      <c r="B1364" s="13">
        <f t="shared" si="23"/>
        <v>0</v>
      </c>
      <c r="C1364" s="18"/>
      <c r="D1364" s="20"/>
      <c r="E1364" s="22"/>
      <c r="F1364" s="6" t="s">
        <v>980</v>
      </c>
    </row>
    <row r="1365" spans="1:6" x14ac:dyDescent="0.25">
      <c r="A1365" t="s">
        <v>1038</v>
      </c>
      <c r="B1365" s="13">
        <f t="shared" si="23"/>
        <v>10</v>
      </c>
      <c r="C1365" s="17" t="s">
        <v>611</v>
      </c>
      <c r="D1365" s="19">
        <v>6.9444444444444441E-3</v>
      </c>
      <c r="E1365" s="21" t="s">
        <v>1</v>
      </c>
      <c r="F1365" s="5" t="s">
        <v>7</v>
      </c>
    </row>
    <row r="1366" spans="1:6" x14ac:dyDescent="0.25">
      <c r="A1366" t="s">
        <v>1038</v>
      </c>
      <c r="B1366" s="13">
        <f t="shared" si="23"/>
        <v>0</v>
      </c>
      <c r="C1366" s="18"/>
      <c r="D1366" s="20"/>
      <c r="E1366" s="22"/>
      <c r="F1366" s="6" t="s">
        <v>8</v>
      </c>
    </row>
    <row r="1367" spans="1:6" x14ac:dyDescent="0.25">
      <c r="A1367" t="s">
        <v>1038</v>
      </c>
      <c r="B1367" s="13">
        <f t="shared" si="23"/>
        <v>20</v>
      </c>
      <c r="C1367" s="17" t="s">
        <v>613</v>
      </c>
      <c r="D1367" s="19">
        <v>1.3888888888888888E-2</v>
      </c>
      <c r="E1367" s="21" t="s">
        <v>1</v>
      </c>
      <c r="F1367" s="5" t="s">
        <v>136</v>
      </c>
    </row>
    <row r="1368" spans="1:6" x14ac:dyDescent="0.25">
      <c r="A1368" t="s">
        <v>1038</v>
      </c>
      <c r="B1368" s="13">
        <f t="shared" si="23"/>
        <v>0</v>
      </c>
      <c r="C1368" s="18"/>
      <c r="D1368" s="20"/>
      <c r="E1368" s="22"/>
      <c r="F1368" s="6" t="s">
        <v>504</v>
      </c>
    </row>
    <row r="1369" spans="1:6" x14ac:dyDescent="0.25">
      <c r="A1369" t="s">
        <v>1038</v>
      </c>
      <c r="B1369" s="13">
        <f t="shared" si="23"/>
        <v>0</v>
      </c>
      <c r="C1369" s="3" t="s">
        <v>615</v>
      </c>
      <c r="D1369" s="3"/>
      <c r="E1369" s="4" t="s">
        <v>1</v>
      </c>
      <c r="F1369" s="4" t="s">
        <v>17</v>
      </c>
    </row>
    <row r="1370" spans="1:6" x14ac:dyDescent="0.25">
      <c r="A1370" t="s">
        <v>1038</v>
      </c>
      <c r="B1370" s="13">
        <f t="shared" si="23"/>
        <v>0</v>
      </c>
      <c r="C1370" s="3" t="s">
        <v>616</v>
      </c>
      <c r="D1370" s="3"/>
      <c r="E1370" s="4" t="s">
        <v>1</v>
      </c>
      <c r="F1370" s="4" t="s">
        <v>17</v>
      </c>
    </row>
    <row r="1371" spans="1:6" x14ac:dyDescent="0.25">
      <c r="A1371" t="s">
        <v>1038</v>
      </c>
      <c r="B1371" s="13">
        <f t="shared" si="23"/>
        <v>10</v>
      </c>
      <c r="C1371" s="3" t="s">
        <v>618</v>
      </c>
      <c r="D1371" s="7">
        <v>6.9444444444444441E-3</v>
      </c>
      <c r="E1371" s="4" t="s">
        <v>1</v>
      </c>
      <c r="F1371" s="8" t="s">
        <v>7</v>
      </c>
    </row>
    <row r="1372" spans="1:6" x14ac:dyDescent="0.25">
      <c r="A1372" t="s">
        <v>1038</v>
      </c>
      <c r="B1372" s="13">
        <f t="shared" si="23"/>
        <v>35</v>
      </c>
      <c r="C1372" s="17" t="s">
        <v>619</v>
      </c>
      <c r="D1372" s="19">
        <v>2.4305555555555556E-2</v>
      </c>
      <c r="E1372" s="21" t="s">
        <v>1</v>
      </c>
      <c r="F1372" s="5" t="s">
        <v>89</v>
      </c>
    </row>
    <row r="1373" spans="1:6" x14ac:dyDescent="0.25">
      <c r="A1373" t="s">
        <v>1038</v>
      </c>
      <c r="B1373" s="13">
        <f t="shared" si="23"/>
        <v>0</v>
      </c>
      <c r="C1373" s="18"/>
      <c r="D1373" s="20"/>
      <c r="E1373" s="22"/>
      <c r="F1373" s="6" t="s">
        <v>514</v>
      </c>
    </row>
    <row r="1374" spans="1:6" x14ac:dyDescent="0.25">
      <c r="A1374" t="s">
        <v>1038</v>
      </c>
      <c r="B1374" s="13">
        <f t="shared" ref="B1374:B1437" si="24">D1374*24*60</f>
        <v>10</v>
      </c>
      <c r="C1374" s="3" t="s">
        <v>621</v>
      </c>
      <c r="D1374" s="7">
        <v>6.9444444444444441E-3</v>
      </c>
      <c r="E1374" s="4" t="s">
        <v>1</v>
      </c>
      <c r="F1374" s="8" t="s">
        <v>7</v>
      </c>
    </row>
    <row r="1375" spans="1:6" x14ac:dyDescent="0.25">
      <c r="A1375" t="s">
        <v>1038</v>
      </c>
      <c r="B1375" s="13">
        <f t="shared" si="24"/>
        <v>10</v>
      </c>
      <c r="C1375" s="3" t="s">
        <v>622</v>
      </c>
      <c r="D1375" s="7">
        <v>6.9444444444444441E-3</v>
      </c>
      <c r="E1375" s="4" t="s">
        <v>1</v>
      </c>
      <c r="F1375" s="8" t="s">
        <v>7</v>
      </c>
    </row>
    <row r="1376" spans="1:6" x14ac:dyDescent="0.25">
      <c r="A1376" t="s">
        <v>1038</v>
      </c>
      <c r="B1376" s="13">
        <f t="shared" si="24"/>
        <v>10</v>
      </c>
      <c r="C1376" s="3" t="s">
        <v>623</v>
      </c>
      <c r="D1376" s="7">
        <v>6.9444444444444441E-3</v>
      </c>
      <c r="E1376" s="4" t="s">
        <v>1</v>
      </c>
      <c r="F1376" s="8" t="s">
        <v>7</v>
      </c>
    </row>
    <row r="1377" spans="1:6" x14ac:dyDescent="0.25">
      <c r="A1377" t="s">
        <v>1038</v>
      </c>
      <c r="B1377" s="13">
        <f t="shared" si="24"/>
        <v>10</v>
      </c>
      <c r="C1377" s="3" t="s">
        <v>624</v>
      </c>
      <c r="D1377" s="7">
        <v>6.9444444444444441E-3</v>
      </c>
      <c r="E1377" s="4" t="s">
        <v>1</v>
      </c>
      <c r="F1377" s="8" t="s">
        <v>7</v>
      </c>
    </row>
    <row r="1378" spans="1:6" x14ac:dyDescent="0.25">
      <c r="A1378" t="s">
        <v>1038</v>
      </c>
      <c r="B1378" s="13">
        <f t="shared" si="24"/>
        <v>10</v>
      </c>
      <c r="C1378" s="3" t="s">
        <v>625</v>
      </c>
      <c r="D1378" s="7">
        <v>6.9444444444444441E-3</v>
      </c>
      <c r="E1378" s="4" t="s">
        <v>1</v>
      </c>
      <c r="F1378" s="8" t="s">
        <v>7</v>
      </c>
    </row>
    <row r="1379" spans="1:6" x14ac:dyDescent="0.25">
      <c r="A1379" t="s">
        <v>1038</v>
      </c>
      <c r="B1379" s="13">
        <f t="shared" si="24"/>
        <v>10</v>
      </c>
      <c r="C1379" s="3" t="s">
        <v>626</v>
      </c>
      <c r="D1379" s="7">
        <v>6.9444444444444441E-3</v>
      </c>
      <c r="E1379" s="4" t="s">
        <v>1</v>
      </c>
      <c r="F1379" s="8" t="s">
        <v>7</v>
      </c>
    </row>
    <row r="1380" spans="1:6" x14ac:dyDescent="0.25">
      <c r="A1380" t="s">
        <v>1038</v>
      </c>
      <c r="B1380" s="13">
        <f t="shared" si="24"/>
        <v>60</v>
      </c>
      <c r="C1380" s="3" t="s">
        <v>627</v>
      </c>
      <c r="D1380" s="7">
        <v>4.1666666666666664E-2</v>
      </c>
      <c r="E1380" s="4" t="s">
        <v>1</v>
      </c>
      <c r="F1380" s="9" t="s">
        <v>160</v>
      </c>
    </row>
    <row r="1381" spans="1:6" x14ac:dyDescent="0.25">
      <c r="A1381" t="s">
        <v>1038</v>
      </c>
      <c r="B1381" s="13">
        <f t="shared" si="24"/>
        <v>60</v>
      </c>
      <c r="C1381" s="3" t="s">
        <v>628</v>
      </c>
      <c r="D1381" s="7">
        <v>4.1666666666666664E-2</v>
      </c>
      <c r="E1381" s="4" t="s">
        <v>1</v>
      </c>
      <c r="F1381" s="9" t="s">
        <v>160</v>
      </c>
    </row>
    <row r="1382" spans="1:6" x14ac:dyDescent="0.25">
      <c r="A1382" t="s">
        <v>1038</v>
      </c>
      <c r="B1382" s="13">
        <f t="shared" si="24"/>
        <v>10</v>
      </c>
      <c r="C1382" s="3" t="s">
        <v>629</v>
      </c>
      <c r="D1382" s="7">
        <v>6.9444444444444441E-3</v>
      </c>
      <c r="E1382" s="4" t="s">
        <v>1</v>
      </c>
      <c r="F1382" s="8" t="s">
        <v>7</v>
      </c>
    </row>
    <row r="1383" spans="1:6" x14ac:dyDescent="0.25">
      <c r="A1383" t="s">
        <v>1038</v>
      </c>
      <c r="B1383" s="13">
        <f t="shared" si="24"/>
        <v>10</v>
      </c>
      <c r="C1383" s="3" t="s">
        <v>632</v>
      </c>
      <c r="D1383" s="7">
        <v>6.9444444444444441E-3</v>
      </c>
      <c r="E1383" s="4" t="s">
        <v>1</v>
      </c>
      <c r="F1383" s="8" t="s">
        <v>7</v>
      </c>
    </row>
    <row r="1384" spans="1:6" x14ac:dyDescent="0.25">
      <c r="A1384" t="s">
        <v>1038</v>
      </c>
      <c r="B1384" s="13">
        <f t="shared" si="24"/>
        <v>10</v>
      </c>
      <c r="C1384" s="17" t="s">
        <v>633</v>
      </c>
      <c r="D1384" s="19">
        <v>6.9444444444444441E-3</v>
      </c>
      <c r="E1384" s="21" t="s">
        <v>1</v>
      </c>
      <c r="F1384" s="5" t="s">
        <v>7</v>
      </c>
    </row>
    <row r="1385" spans="1:6" x14ac:dyDescent="0.25">
      <c r="A1385" t="s">
        <v>1038</v>
      </c>
      <c r="B1385" s="13">
        <f t="shared" si="24"/>
        <v>0</v>
      </c>
      <c r="C1385" s="18"/>
      <c r="D1385" s="20"/>
      <c r="E1385" s="22"/>
      <c r="F1385" s="6" t="s">
        <v>10</v>
      </c>
    </row>
    <row r="1386" spans="1:6" x14ac:dyDescent="0.25">
      <c r="A1386" t="s">
        <v>1038</v>
      </c>
      <c r="B1386" s="13">
        <f t="shared" si="24"/>
        <v>10</v>
      </c>
      <c r="C1386" s="3" t="s">
        <v>981</v>
      </c>
      <c r="D1386" s="7">
        <v>6.9444444444444441E-3</v>
      </c>
      <c r="E1386" s="4" t="s">
        <v>1</v>
      </c>
      <c r="F1386" s="8" t="s">
        <v>7</v>
      </c>
    </row>
    <row r="1387" spans="1:6" x14ac:dyDescent="0.25">
      <c r="A1387" t="s">
        <v>1038</v>
      </c>
      <c r="B1387" s="13">
        <f t="shared" si="24"/>
        <v>10</v>
      </c>
      <c r="C1387" s="3" t="s">
        <v>634</v>
      </c>
      <c r="D1387" s="7">
        <v>6.9444444444444441E-3</v>
      </c>
      <c r="E1387" s="4" t="s">
        <v>1</v>
      </c>
      <c r="F1387" s="8" t="s">
        <v>7</v>
      </c>
    </row>
    <row r="1388" spans="1:6" x14ac:dyDescent="0.25">
      <c r="A1388" t="s">
        <v>1038</v>
      </c>
      <c r="B1388" s="13">
        <f t="shared" si="24"/>
        <v>259</v>
      </c>
      <c r="C1388" s="17" t="s">
        <v>635</v>
      </c>
      <c r="D1388" s="19">
        <v>0.17986111111111111</v>
      </c>
      <c r="E1388" s="21" t="s">
        <v>1</v>
      </c>
      <c r="F1388" s="5" t="s">
        <v>982</v>
      </c>
    </row>
    <row r="1389" spans="1:6" x14ac:dyDescent="0.25">
      <c r="A1389" t="s">
        <v>1038</v>
      </c>
      <c r="B1389" s="13">
        <f t="shared" si="24"/>
        <v>0</v>
      </c>
      <c r="C1389" s="18"/>
      <c r="D1389" s="20"/>
      <c r="E1389" s="22"/>
      <c r="F1389" s="6" t="s">
        <v>983</v>
      </c>
    </row>
    <row r="1390" spans="1:6" x14ac:dyDescent="0.25">
      <c r="A1390" t="s">
        <v>1038</v>
      </c>
      <c r="B1390" s="13">
        <f t="shared" si="24"/>
        <v>71</v>
      </c>
      <c r="C1390" s="17" t="s">
        <v>637</v>
      </c>
      <c r="D1390" s="19">
        <v>4.9305555555555554E-2</v>
      </c>
      <c r="E1390" s="21" t="s">
        <v>1</v>
      </c>
      <c r="F1390" s="5" t="s">
        <v>984</v>
      </c>
    </row>
    <row r="1391" spans="1:6" x14ac:dyDescent="0.25">
      <c r="A1391" t="s">
        <v>1038</v>
      </c>
      <c r="B1391" s="13">
        <f t="shared" si="24"/>
        <v>0</v>
      </c>
      <c r="C1391" s="18"/>
      <c r="D1391" s="20"/>
      <c r="E1391" s="22"/>
      <c r="F1391" s="6" t="s">
        <v>985</v>
      </c>
    </row>
    <row r="1392" spans="1:6" x14ac:dyDescent="0.25">
      <c r="A1392" t="s">
        <v>1038</v>
      </c>
      <c r="B1392" s="13">
        <f t="shared" si="24"/>
        <v>30</v>
      </c>
      <c r="C1392" s="17" t="s">
        <v>986</v>
      </c>
      <c r="D1392" s="19">
        <v>2.0833333333333332E-2</v>
      </c>
      <c r="E1392" s="21" t="s">
        <v>1</v>
      </c>
      <c r="F1392" s="5" t="s">
        <v>157</v>
      </c>
    </row>
    <row r="1393" spans="1:6" x14ac:dyDescent="0.25">
      <c r="A1393" t="s">
        <v>1038</v>
      </c>
      <c r="B1393" s="13">
        <f t="shared" si="24"/>
        <v>0</v>
      </c>
      <c r="C1393" s="18"/>
      <c r="D1393" s="20"/>
      <c r="E1393" s="22"/>
      <c r="F1393" s="6" t="s">
        <v>436</v>
      </c>
    </row>
    <row r="1394" spans="1:6" x14ac:dyDescent="0.25">
      <c r="A1394" t="s">
        <v>1038</v>
      </c>
      <c r="B1394" s="13">
        <f t="shared" si="24"/>
        <v>10</v>
      </c>
      <c r="C1394" s="17" t="s">
        <v>639</v>
      </c>
      <c r="D1394" s="19">
        <v>6.9444444444444441E-3</v>
      </c>
      <c r="E1394" s="21" t="s">
        <v>1</v>
      </c>
      <c r="F1394" s="5" t="s">
        <v>7</v>
      </c>
    </row>
    <row r="1395" spans="1:6" x14ac:dyDescent="0.25">
      <c r="A1395" t="s">
        <v>1038</v>
      </c>
      <c r="B1395" s="13">
        <f t="shared" si="24"/>
        <v>0</v>
      </c>
      <c r="C1395" s="18"/>
      <c r="D1395" s="20"/>
      <c r="E1395" s="22"/>
      <c r="F1395" s="6" t="s">
        <v>8</v>
      </c>
    </row>
    <row r="1396" spans="1:6" x14ac:dyDescent="0.25">
      <c r="A1396" t="s">
        <v>1038</v>
      </c>
      <c r="B1396" s="13">
        <f t="shared" si="24"/>
        <v>30</v>
      </c>
      <c r="C1396" s="17" t="s">
        <v>641</v>
      </c>
      <c r="D1396" s="19">
        <v>2.0833333333333332E-2</v>
      </c>
      <c r="E1396" s="21" t="s">
        <v>1</v>
      </c>
      <c r="F1396" s="5" t="s">
        <v>157</v>
      </c>
    </row>
    <row r="1397" spans="1:6" x14ac:dyDescent="0.25">
      <c r="A1397" t="s">
        <v>1038</v>
      </c>
      <c r="B1397" s="13">
        <f t="shared" si="24"/>
        <v>0</v>
      </c>
      <c r="C1397" s="18"/>
      <c r="D1397" s="20"/>
      <c r="E1397" s="22"/>
      <c r="F1397" s="6" t="s">
        <v>436</v>
      </c>
    </row>
    <row r="1398" spans="1:6" x14ac:dyDescent="0.25">
      <c r="A1398" t="s">
        <v>1038</v>
      </c>
      <c r="B1398" s="13">
        <f t="shared" si="24"/>
        <v>0</v>
      </c>
      <c r="C1398" s="3" t="s">
        <v>987</v>
      </c>
      <c r="D1398" s="3"/>
      <c r="E1398" s="4" t="s">
        <v>1</v>
      </c>
      <c r="F1398" s="3" t="s">
        <v>988</v>
      </c>
    </row>
    <row r="1399" spans="1:6" x14ac:dyDescent="0.25">
      <c r="A1399" t="s">
        <v>1038</v>
      </c>
      <c r="B1399" s="13">
        <f t="shared" si="24"/>
        <v>56</v>
      </c>
      <c r="C1399" s="17" t="s">
        <v>642</v>
      </c>
      <c r="D1399" s="19">
        <v>3.888888888888889E-2</v>
      </c>
      <c r="E1399" s="21" t="s">
        <v>1</v>
      </c>
      <c r="F1399" s="5" t="s">
        <v>854</v>
      </c>
    </row>
    <row r="1400" spans="1:6" x14ac:dyDescent="0.25">
      <c r="A1400" t="s">
        <v>1038</v>
      </c>
      <c r="B1400" s="13">
        <f t="shared" si="24"/>
        <v>0</v>
      </c>
      <c r="C1400" s="18"/>
      <c r="D1400" s="20"/>
      <c r="E1400" s="22"/>
      <c r="F1400" s="6" t="s">
        <v>989</v>
      </c>
    </row>
    <row r="1401" spans="1:6" x14ac:dyDescent="0.25">
      <c r="A1401" t="s">
        <v>1038</v>
      </c>
      <c r="B1401" s="13">
        <f t="shared" si="24"/>
        <v>0</v>
      </c>
      <c r="C1401" s="3" t="s">
        <v>644</v>
      </c>
      <c r="D1401" s="3"/>
      <c r="E1401" s="4" t="s">
        <v>1</v>
      </c>
      <c r="F1401" s="4" t="s">
        <v>17</v>
      </c>
    </row>
    <row r="1402" spans="1:6" x14ac:dyDescent="0.25">
      <c r="A1402" t="s">
        <v>1038</v>
      </c>
      <c r="B1402" s="13">
        <f t="shared" si="24"/>
        <v>67</v>
      </c>
      <c r="C1402" s="17" t="s">
        <v>645</v>
      </c>
      <c r="D1402" s="19">
        <v>4.6527777777777779E-2</v>
      </c>
      <c r="E1402" s="21" t="s">
        <v>1</v>
      </c>
      <c r="F1402" s="5" t="s">
        <v>218</v>
      </c>
    </row>
    <row r="1403" spans="1:6" x14ac:dyDescent="0.25">
      <c r="A1403" t="s">
        <v>1038</v>
      </c>
      <c r="B1403" s="13">
        <f t="shared" si="24"/>
        <v>0</v>
      </c>
      <c r="C1403" s="18"/>
      <c r="D1403" s="20"/>
      <c r="E1403" s="22"/>
      <c r="F1403" s="6" t="s">
        <v>990</v>
      </c>
    </row>
    <row r="1404" spans="1:6" x14ac:dyDescent="0.25">
      <c r="A1404" t="s">
        <v>1038</v>
      </c>
      <c r="B1404" s="13">
        <f t="shared" si="24"/>
        <v>10</v>
      </c>
      <c r="C1404" s="3" t="s">
        <v>991</v>
      </c>
      <c r="D1404" s="7">
        <v>6.9444444444444441E-3</v>
      </c>
      <c r="E1404" s="4" t="s">
        <v>1</v>
      </c>
      <c r="F1404" s="8" t="s">
        <v>7</v>
      </c>
    </row>
    <row r="1405" spans="1:6" x14ac:dyDescent="0.25">
      <c r="A1405" t="s">
        <v>1038</v>
      </c>
      <c r="B1405" s="13">
        <f t="shared" si="24"/>
        <v>10</v>
      </c>
      <c r="C1405" s="3" t="s">
        <v>992</v>
      </c>
      <c r="D1405" s="7">
        <v>6.9444444444444441E-3</v>
      </c>
      <c r="E1405" s="4" t="s">
        <v>1</v>
      </c>
      <c r="F1405" s="8" t="s">
        <v>7</v>
      </c>
    </row>
    <row r="1406" spans="1:6" x14ac:dyDescent="0.25">
      <c r="A1406" t="s">
        <v>1038</v>
      </c>
      <c r="B1406" s="13">
        <f t="shared" si="24"/>
        <v>10</v>
      </c>
      <c r="C1406" s="3" t="s">
        <v>993</v>
      </c>
      <c r="D1406" s="7">
        <v>6.9444444444444441E-3</v>
      </c>
      <c r="E1406" s="4" t="s">
        <v>1</v>
      </c>
      <c r="F1406" s="8" t="s">
        <v>7</v>
      </c>
    </row>
    <row r="1407" spans="1:6" x14ac:dyDescent="0.25">
      <c r="A1407" t="s">
        <v>1038</v>
      </c>
      <c r="B1407" s="13">
        <f t="shared" si="24"/>
        <v>10</v>
      </c>
      <c r="C1407" s="3" t="s">
        <v>994</v>
      </c>
      <c r="D1407" s="7">
        <v>6.9444444444444441E-3</v>
      </c>
      <c r="E1407" s="4" t="s">
        <v>1</v>
      </c>
      <c r="F1407" s="8" t="s">
        <v>7</v>
      </c>
    </row>
    <row r="1408" spans="1:6" x14ac:dyDescent="0.25">
      <c r="A1408" t="s">
        <v>1038</v>
      </c>
      <c r="B1408" s="13">
        <f t="shared" si="24"/>
        <v>10</v>
      </c>
      <c r="C1408" s="3" t="s">
        <v>995</v>
      </c>
      <c r="D1408" s="7">
        <v>6.9444444444444441E-3</v>
      </c>
      <c r="E1408" s="4" t="s">
        <v>1</v>
      </c>
      <c r="F1408" s="8" t="s">
        <v>7</v>
      </c>
    </row>
    <row r="1409" spans="1:6" x14ac:dyDescent="0.25">
      <c r="A1409" t="s">
        <v>1038</v>
      </c>
      <c r="B1409" s="13">
        <f t="shared" si="24"/>
        <v>10</v>
      </c>
      <c r="C1409" s="3" t="s">
        <v>647</v>
      </c>
      <c r="D1409" s="7">
        <v>6.9444444444444441E-3</v>
      </c>
      <c r="E1409" s="4" t="s">
        <v>1</v>
      </c>
      <c r="F1409" s="8" t="s">
        <v>7</v>
      </c>
    </row>
    <row r="1410" spans="1:6" x14ac:dyDescent="0.25">
      <c r="A1410" t="s">
        <v>1038</v>
      </c>
      <c r="B1410" s="13">
        <f t="shared" si="24"/>
        <v>60</v>
      </c>
      <c r="C1410" s="3" t="s">
        <v>996</v>
      </c>
      <c r="D1410" s="7">
        <v>4.1666666666666664E-2</v>
      </c>
      <c r="E1410" s="4" t="s">
        <v>1</v>
      </c>
      <c r="F1410" s="9" t="s">
        <v>160</v>
      </c>
    </row>
    <row r="1411" spans="1:6" x14ac:dyDescent="0.25">
      <c r="A1411" t="s">
        <v>1038</v>
      </c>
      <c r="B1411" s="13">
        <f t="shared" si="24"/>
        <v>10</v>
      </c>
      <c r="C1411" s="3" t="s">
        <v>997</v>
      </c>
      <c r="D1411" s="7">
        <v>6.9444444444444441E-3</v>
      </c>
      <c r="E1411" s="4" t="s">
        <v>1</v>
      </c>
      <c r="F1411" s="8" t="s">
        <v>7</v>
      </c>
    </row>
    <row r="1412" spans="1:6" x14ac:dyDescent="0.25">
      <c r="A1412" t="s">
        <v>1038</v>
      </c>
      <c r="B1412" s="13">
        <f t="shared" si="24"/>
        <v>10</v>
      </c>
      <c r="C1412" s="3" t="s">
        <v>998</v>
      </c>
      <c r="D1412" s="7">
        <v>6.9444444444444441E-3</v>
      </c>
      <c r="E1412" s="4" t="s">
        <v>1</v>
      </c>
      <c r="F1412" s="8" t="s">
        <v>7</v>
      </c>
    </row>
    <row r="1413" spans="1:6" x14ac:dyDescent="0.25">
      <c r="A1413" t="s">
        <v>1038</v>
      </c>
      <c r="B1413" s="13">
        <f t="shared" si="24"/>
        <v>10</v>
      </c>
      <c r="C1413" s="3" t="s">
        <v>648</v>
      </c>
      <c r="D1413" s="7">
        <v>6.9444444444444441E-3</v>
      </c>
      <c r="E1413" s="4" t="s">
        <v>1</v>
      </c>
      <c r="F1413" s="8" t="s">
        <v>7</v>
      </c>
    </row>
    <row r="1414" spans="1:6" x14ac:dyDescent="0.25">
      <c r="A1414" t="s">
        <v>1038</v>
      </c>
      <c r="B1414" s="13">
        <f t="shared" si="24"/>
        <v>10</v>
      </c>
      <c r="C1414" s="3" t="s">
        <v>999</v>
      </c>
      <c r="D1414" s="7">
        <v>6.9444444444444441E-3</v>
      </c>
      <c r="E1414" s="4" t="s">
        <v>1</v>
      </c>
      <c r="F1414" s="8" t="s">
        <v>7</v>
      </c>
    </row>
    <row r="1415" spans="1:6" x14ac:dyDescent="0.25">
      <c r="A1415" t="s">
        <v>1038</v>
      </c>
      <c r="B1415" s="13">
        <f t="shared" si="24"/>
        <v>10</v>
      </c>
      <c r="C1415" s="3" t="s">
        <v>1000</v>
      </c>
      <c r="D1415" s="7">
        <v>6.9444444444444441E-3</v>
      </c>
      <c r="E1415" s="4" t="s">
        <v>1</v>
      </c>
      <c r="F1415" s="8" t="s">
        <v>7</v>
      </c>
    </row>
    <row r="1416" spans="1:6" x14ac:dyDescent="0.25">
      <c r="A1416" t="s">
        <v>1038</v>
      </c>
      <c r="B1416" s="13">
        <f t="shared" si="24"/>
        <v>10</v>
      </c>
      <c r="C1416" s="3" t="s">
        <v>649</v>
      </c>
      <c r="D1416" s="7">
        <v>6.9444444444444441E-3</v>
      </c>
      <c r="E1416" s="4" t="s">
        <v>1</v>
      </c>
      <c r="F1416" s="8" t="s">
        <v>7</v>
      </c>
    </row>
    <row r="1417" spans="1:6" x14ac:dyDescent="0.25">
      <c r="A1417" t="s">
        <v>1038</v>
      </c>
      <c r="B1417" s="13">
        <f t="shared" si="24"/>
        <v>10</v>
      </c>
      <c r="C1417" s="3" t="s">
        <v>650</v>
      </c>
      <c r="D1417" s="7">
        <v>6.9444444444444441E-3</v>
      </c>
      <c r="E1417" s="4" t="s">
        <v>1</v>
      </c>
      <c r="F1417" s="8" t="s">
        <v>7</v>
      </c>
    </row>
    <row r="1418" spans="1:6" x14ac:dyDescent="0.25">
      <c r="A1418" t="s">
        <v>1038</v>
      </c>
      <c r="B1418" s="13">
        <f t="shared" si="24"/>
        <v>10</v>
      </c>
      <c r="C1418" s="3" t="s">
        <v>1001</v>
      </c>
      <c r="D1418" s="7">
        <v>6.9444444444444441E-3</v>
      </c>
      <c r="E1418" s="4" t="s">
        <v>1</v>
      </c>
      <c r="F1418" s="8" t="s">
        <v>7</v>
      </c>
    </row>
    <row r="1419" spans="1:6" x14ac:dyDescent="0.25">
      <c r="A1419" t="s">
        <v>1038</v>
      </c>
      <c r="B1419" s="13">
        <f t="shared" si="24"/>
        <v>10</v>
      </c>
      <c r="C1419" s="3" t="s">
        <v>1002</v>
      </c>
      <c r="D1419" s="7">
        <v>6.9444444444444441E-3</v>
      </c>
      <c r="E1419" s="4" t="s">
        <v>1</v>
      </c>
      <c r="F1419" s="8" t="s">
        <v>7</v>
      </c>
    </row>
    <row r="1420" spans="1:6" x14ac:dyDescent="0.25">
      <c r="A1420" t="s">
        <v>1038</v>
      </c>
      <c r="B1420" s="13">
        <f t="shared" si="24"/>
        <v>10</v>
      </c>
      <c r="C1420" s="3" t="s">
        <v>1003</v>
      </c>
      <c r="D1420" s="7">
        <v>6.9444444444444441E-3</v>
      </c>
      <c r="E1420" s="4" t="s">
        <v>1</v>
      </c>
      <c r="F1420" s="8" t="s">
        <v>7</v>
      </c>
    </row>
    <row r="1421" spans="1:6" x14ac:dyDescent="0.25">
      <c r="A1421" t="s">
        <v>1038</v>
      </c>
      <c r="B1421" s="13">
        <f t="shared" si="24"/>
        <v>60</v>
      </c>
      <c r="C1421" s="3" t="s">
        <v>1004</v>
      </c>
      <c r="D1421" s="7">
        <v>4.1666666666666664E-2</v>
      </c>
      <c r="E1421" s="4" t="s">
        <v>1</v>
      </c>
      <c r="F1421" s="9" t="s">
        <v>160</v>
      </c>
    </row>
    <row r="1422" spans="1:6" x14ac:dyDescent="0.25">
      <c r="A1422" t="s">
        <v>1038</v>
      </c>
      <c r="B1422" s="13">
        <f t="shared" si="24"/>
        <v>10</v>
      </c>
      <c r="C1422" s="3" t="s">
        <v>1005</v>
      </c>
      <c r="D1422" s="7">
        <v>6.9444444444444441E-3</v>
      </c>
      <c r="E1422" s="4" t="s">
        <v>1</v>
      </c>
      <c r="F1422" s="8" t="s">
        <v>7</v>
      </c>
    </row>
    <row r="1423" spans="1:6" x14ac:dyDescent="0.25">
      <c r="A1423" t="s">
        <v>1038</v>
      </c>
      <c r="B1423" s="13">
        <f t="shared" si="24"/>
        <v>10</v>
      </c>
      <c r="C1423" s="3" t="s">
        <v>1006</v>
      </c>
      <c r="D1423" s="7">
        <v>6.9444444444444441E-3</v>
      </c>
      <c r="E1423" s="4" t="s">
        <v>1</v>
      </c>
      <c r="F1423" s="8" t="s">
        <v>7</v>
      </c>
    </row>
    <row r="1424" spans="1:6" x14ac:dyDescent="0.25">
      <c r="A1424" t="s">
        <v>1038</v>
      </c>
      <c r="B1424" s="13">
        <f t="shared" si="24"/>
        <v>10</v>
      </c>
      <c r="C1424" s="3" t="s">
        <v>1007</v>
      </c>
      <c r="D1424" s="7">
        <v>6.9444444444444441E-3</v>
      </c>
      <c r="E1424" s="4" t="s">
        <v>1</v>
      </c>
      <c r="F1424" s="8" t="s">
        <v>7</v>
      </c>
    </row>
    <row r="1425" spans="1:6" x14ac:dyDescent="0.25">
      <c r="A1425" t="s">
        <v>1038</v>
      </c>
      <c r="B1425" s="13">
        <f t="shared" si="24"/>
        <v>10</v>
      </c>
      <c r="C1425" s="3" t="s">
        <v>1008</v>
      </c>
      <c r="D1425" s="7">
        <v>6.9444444444444441E-3</v>
      </c>
      <c r="E1425" s="4" t="s">
        <v>1</v>
      </c>
      <c r="F1425" s="8" t="s">
        <v>7</v>
      </c>
    </row>
    <row r="1426" spans="1:6" x14ac:dyDescent="0.25">
      <c r="A1426" t="s">
        <v>1038</v>
      </c>
      <c r="B1426" s="13">
        <f t="shared" si="24"/>
        <v>10</v>
      </c>
      <c r="C1426" s="3" t="s">
        <v>1009</v>
      </c>
      <c r="D1426" s="7">
        <v>6.9444444444444441E-3</v>
      </c>
      <c r="E1426" s="4" t="s">
        <v>1</v>
      </c>
      <c r="F1426" s="8" t="s">
        <v>7</v>
      </c>
    </row>
    <row r="1427" spans="1:6" x14ac:dyDescent="0.25">
      <c r="A1427" t="s">
        <v>1038</v>
      </c>
      <c r="B1427" s="13">
        <f t="shared" si="24"/>
        <v>10</v>
      </c>
      <c r="C1427" s="3" t="s">
        <v>1010</v>
      </c>
      <c r="D1427" s="7">
        <v>6.9444444444444441E-3</v>
      </c>
      <c r="E1427" s="4" t="s">
        <v>1</v>
      </c>
      <c r="F1427" s="8" t="s">
        <v>7</v>
      </c>
    </row>
    <row r="1428" spans="1:6" x14ac:dyDescent="0.25">
      <c r="A1428" t="s">
        <v>1038</v>
      </c>
      <c r="B1428" s="13">
        <f t="shared" si="24"/>
        <v>10</v>
      </c>
      <c r="C1428" s="3" t="s">
        <v>651</v>
      </c>
      <c r="D1428" s="7">
        <v>6.9444444444444441E-3</v>
      </c>
      <c r="E1428" s="4" t="s">
        <v>1</v>
      </c>
      <c r="F1428" s="8" t="s">
        <v>7</v>
      </c>
    </row>
    <row r="1429" spans="1:6" x14ac:dyDescent="0.25">
      <c r="A1429" t="s">
        <v>1038</v>
      </c>
      <c r="B1429" s="13">
        <f t="shared" si="24"/>
        <v>10</v>
      </c>
      <c r="C1429" s="3" t="s">
        <v>652</v>
      </c>
      <c r="D1429" s="7">
        <v>6.9444444444444441E-3</v>
      </c>
      <c r="E1429" s="4" t="s">
        <v>1</v>
      </c>
      <c r="F1429" s="8" t="s">
        <v>7</v>
      </c>
    </row>
    <row r="1430" spans="1:6" x14ac:dyDescent="0.25">
      <c r="A1430" t="s">
        <v>1038</v>
      </c>
      <c r="B1430" s="13">
        <f t="shared" si="24"/>
        <v>10</v>
      </c>
      <c r="C1430" s="3" t="s">
        <v>653</v>
      </c>
      <c r="D1430" s="7">
        <v>6.9444444444444441E-3</v>
      </c>
      <c r="E1430" s="4" t="s">
        <v>1</v>
      </c>
      <c r="F1430" s="8" t="s">
        <v>7</v>
      </c>
    </row>
    <row r="1431" spans="1:6" x14ac:dyDescent="0.25">
      <c r="A1431" t="s">
        <v>1038</v>
      </c>
      <c r="B1431" s="13">
        <f t="shared" si="24"/>
        <v>10</v>
      </c>
      <c r="C1431" s="3" t="s">
        <v>1011</v>
      </c>
      <c r="D1431" s="7">
        <v>6.9444444444444441E-3</v>
      </c>
      <c r="E1431" s="4" t="s">
        <v>1</v>
      </c>
      <c r="F1431" s="8" t="s">
        <v>7</v>
      </c>
    </row>
    <row r="1432" spans="1:6" x14ac:dyDescent="0.25">
      <c r="A1432" t="s">
        <v>1038</v>
      </c>
      <c r="B1432" s="13">
        <f t="shared" si="24"/>
        <v>10</v>
      </c>
      <c r="C1432" s="3" t="s">
        <v>654</v>
      </c>
      <c r="D1432" s="7">
        <v>6.9444444444444441E-3</v>
      </c>
      <c r="E1432" s="4" t="s">
        <v>1</v>
      </c>
      <c r="F1432" s="8" t="s">
        <v>7</v>
      </c>
    </row>
    <row r="1433" spans="1:6" x14ac:dyDescent="0.25">
      <c r="A1433" t="s">
        <v>1038</v>
      </c>
      <c r="B1433" s="13">
        <f t="shared" si="24"/>
        <v>10</v>
      </c>
      <c r="C1433" s="3" t="s">
        <v>1012</v>
      </c>
      <c r="D1433" s="7">
        <v>6.9444444444444441E-3</v>
      </c>
      <c r="E1433" s="4" t="s">
        <v>1</v>
      </c>
      <c r="F1433" s="8" t="s">
        <v>7</v>
      </c>
    </row>
    <row r="1434" spans="1:6" x14ac:dyDescent="0.25">
      <c r="A1434" t="s">
        <v>1038</v>
      </c>
      <c r="B1434" s="13">
        <f t="shared" si="24"/>
        <v>10</v>
      </c>
      <c r="C1434" s="3" t="s">
        <v>1013</v>
      </c>
      <c r="D1434" s="7">
        <v>6.9444444444444441E-3</v>
      </c>
      <c r="E1434" s="4" t="s">
        <v>1</v>
      </c>
      <c r="F1434" s="8" t="s">
        <v>7</v>
      </c>
    </row>
    <row r="1435" spans="1:6" x14ac:dyDescent="0.25">
      <c r="A1435" t="s">
        <v>1038</v>
      </c>
      <c r="B1435" s="13">
        <f t="shared" si="24"/>
        <v>10</v>
      </c>
      <c r="C1435" s="3" t="s">
        <v>1014</v>
      </c>
      <c r="D1435" s="7">
        <v>6.9444444444444441E-3</v>
      </c>
      <c r="E1435" s="4" t="s">
        <v>1</v>
      </c>
      <c r="F1435" s="8" t="s">
        <v>7</v>
      </c>
    </row>
    <row r="1436" spans="1:6" x14ac:dyDescent="0.25">
      <c r="A1436" t="s">
        <v>1038</v>
      </c>
      <c r="B1436" s="13">
        <f t="shared" si="24"/>
        <v>60</v>
      </c>
      <c r="C1436" s="3" t="s">
        <v>1015</v>
      </c>
      <c r="D1436" s="7">
        <v>4.1666666666666664E-2</v>
      </c>
      <c r="E1436" s="4" t="s">
        <v>1</v>
      </c>
      <c r="F1436" s="9" t="s">
        <v>160</v>
      </c>
    </row>
    <row r="1437" spans="1:6" x14ac:dyDescent="0.25">
      <c r="A1437" t="s">
        <v>1038</v>
      </c>
      <c r="B1437" s="13">
        <f t="shared" si="24"/>
        <v>10</v>
      </c>
      <c r="C1437" s="3" t="s">
        <v>1016</v>
      </c>
      <c r="D1437" s="7">
        <v>6.9444444444444441E-3</v>
      </c>
      <c r="E1437" s="4" t="s">
        <v>1</v>
      </c>
      <c r="F1437" s="8" t="s">
        <v>7</v>
      </c>
    </row>
    <row r="1438" spans="1:6" x14ac:dyDescent="0.25">
      <c r="A1438" t="s">
        <v>1038</v>
      </c>
      <c r="B1438" s="13">
        <f t="shared" ref="B1438:B1501" si="25">D1438*24*60</f>
        <v>10</v>
      </c>
      <c r="C1438" s="3" t="s">
        <v>655</v>
      </c>
      <c r="D1438" s="7">
        <v>6.9444444444444441E-3</v>
      </c>
      <c r="E1438" s="4" t="s">
        <v>1</v>
      </c>
      <c r="F1438" s="8" t="s">
        <v>7</v>
      </c>
    </row>
    <row r="1439" spans="1:6" x14ac:dyDescent="0.25">
      <c r="A1439" t="s">
        <v>1038</v>
      </c>
      <c r="B1439" s="13">
        <f t="shared" si="25"/>
        <v>10</v>
      </c>
      <c r="C1439" s="3" t="s">
        <v>1017</v>
      </c>
      <c r="D1439" s="7">
        <v>6.9444444444444441E-3</v>
      </c>
      <c r="E1439" s="4" t="s">
        <v>1</v>
      </c>
      <c r="F1439" s="8" t="s">
        <v>7</v>
      </c>
    </row>
    <row r="1440" spans="1:6" x14ac:dyDescent="0.25">
      <c r="A1440" t="s">
        <v>1038</v>
      </c>
      <c r="B1440" s="13">
        <f t="shared" si="25"/>
        <v>10</v>
      </c>
      <c r="C1440" s="3" t="s">
        <v>656</v>
      </c>
      <c r="D1440" s="7">
        <v>6.9444444444444441E-3</v>
      </c>
      <c r="E1440" s="4" t="s">
        <v>1</v>
      </c>
      <c r="F1440" s="8" t="s">
        <v>7</v>
      </c>
    </row>
    <row r="1441" spans="1:6" x14ac:dyDescent="0.25">
      <c r="A1441" t="s">
        <v>1038</v>
      </c>
      <c r="B1441" s="13">
        <f t="shared" si="25"/>
        <v>10</v>
      </c>
      <c r="C1441" s="3" t="s">
        <v>1018</v>
      </c>
      <c r="D1441" s="7">
        <v>6.9444444444444441E-3</v>
      </c>
      <c r="E1441" s="4" t="s">
        <v>1</v>
      </c>
      <c r="F1441" s="8" t="s">
        <v>7</v>
      </c>
    </row>
    <row r="1442" spans="1:6" x14ac:dyDescent="0.25">
      <c r="A1442" t="s">
        <v>1038</v>
      </c>
      <c r="B1442" s="13">
        <f t="shared" si="25"/>
        <v>10</v>
      </c>
      <c r="C1442" s="3" t="s">
        <v>1019</v>
      </c>
      <c r="D1442" s="7">
        <v>6.9444444444444441E-3</v>
      </c>
      <c r="E1442" s="4" t="s">
        <v>1</v>
      </c>
      <c r="F1442" s="8" t="s">
        <v>7</v>
      </c>
    </row>
    <row r="1443" spans="1:6" x14ac:dyDescent="0.25">
      <c r="A1443" t="s">
        <v>1038</v>
      </c>
      <c r="B1443" s="13">
        <f t="shared" si="25"/>
        <v>10</v>
      </c>
      <c r="C1443" s="3" t="s">
        <v>1020</v>
      </c>
      <c r="D1443" s="7">
        <v>6.9444444444444441E-3</v>
      </c>
      <c r="E1443" s="4" t="s">
        <v>1</v>
      </c>
      <c r="F1443" s="8" t="s">
        <v>7</v>
      </c>
    </row>
    <row r="1444" spans="1:6" x14ac:dyDescent="0.25">
      <c r="A1444" t="s">
        <v>1038</v>
      </c>
      <c r="B1444" s="13">
        <f t="shared" si="25"/>
        <v>10</v>
      </c>
      <c r="C1444" s="3" t="s">
        <v>1021</v>
      </c>
      <c r="D1444" s="7">
        <v>6.9444444444444441E-3</v>
      </c>
      <c r="E1444" s="4" t="s">
        <v>1</v>
      </c>
      <c r="F1444" s="8" t="s">
        <v>7</v>
      </c>
    </row>
    <row r="1445" spans="1:6" x14ac:dyDescent="0.25">
      <c r="A1445" t="s">
        <v>1038</v>
      </c>
      <c r="B1445" s="13">
        <f t="shared" si="25"/>
        <v>10</v>
      </c>
      <c r="C1445" s="3" t="s">
        <v>1022</v>
      </c>
      <c r="D1445" s="7">
        <v>6.9444444444444441E-3</v>
      </c>
      <c r="E1445" s="4" t="s">
        <v>1</v>
      </c>
      <c r="F1445" s="8" t="s">
        <v>7</v>
      </c>
    </row>
    <row r="1446" spans="1:6" x14ac:dyDescent="0.25">
      <c r="A1446" t="s">
        <v>1038</v>
      </c>
      <c r="B1446" s="13">
        <f t="shared" si="25"/>
        <v>10</v>
      </c>
      <c r="C1446" s="3" t="s">
        <v>657</v>
      </c>
      <c r="D1446" s="7">
        <v>6.9444444444444441E-3</v>
      </c>
      <c r="E1446" s="4" t="s">
        <v>1</v>
      </c>
      <c r="F1446" s="8" t="s">
        <v>7</v>
      </c>
    </row>
    <row r="1447" spans="1:6" x14ac:dyDescent="0.25">
      <c r="A1447" t="s">
        <v>1038</v>
      </c>
      <c r="B1447" s="13">
        <f t="shared" si="25"/>
        <v>10</v>
      </c>
      <c r="C1447" s="3" t="s">
        <v>658</v>
      </c>
      <c r="D1447" s="7">
        <v>6.9444444444444441E-3</v>
      </c>
      <c r="E1447" s="4" t="s">
        <v>1</v>
      </c>
      <c r="F1447" s="8" t="s">
        <v>7</v>
      </c>
    </row>
    <row r="1448" spans="1:6" x14ac:dyDescent="0.25">
      <c r="A1448" t="s">
        <v>1038</v>
      </c>
      <c r="B1448" s="13">
        <f t="shared" si="25"/>
        <v>10</v>
      </c>
      <c r="C1448" s="3" t="s">
        <v>659</v>
      </c>
      <c r="D1448" s="7">
        <v>6.9444444444444441E-3</v>
      </c>
      <c r="E1448" s="4" t="s">
        <v>1</v>
      </c>
      <c r="F1448" s="8" t="s">
        <v>7</v>
      </c>
    </row>
    <row r="1449" spans="1:6" x14ac:dyDescent="0.25">
      <c r="A1449" t="s">
        <v>1038</v>
      </c>
      <c r="B1449" s="13">
        <f t="shared" si="25"/>
        <v>60</v>
      </c>
      <c r="C1449" s="3" t="s">
        <v>660</v>
      </c>
      <c r="D1449" s="7">
        <v>4.1666666666666664E-2</v>
      </c>
      <c r="E1449" s="4" t="s">
        <v>1</v>
      </c>
      <c r="F1449" s="9" t="s">
        <v>160</v>
      </c>
    </row>
    <row r="1450" spans="1:6" x14ac:dyDescent="0.25">
      <c r="A1450" t="s">
        <v>1038</v>
      </c>
      <c r="B1450" s="13">
        <f t="shared" si="25"/>
        <v>10</v>
      </c>
      <c r="C1450" s="3" t="s">
        <v>661</v>
      </c>
      <c r="D1450" s="7">
        <v>6.9444444444444441E-3</v>
      </c>
      <c r="E1450" s="4" t="s">
        <v>1</v>
      </c>
      <c r="F1450" s="8" t="s">
        <v>7</v>
      </c>
    </row>
    <row r="1451" spans="1:6" x14ac:dyDescent="0.25">
      <c r="A1451" t="s">
        <v>1038</v>
      </c>
      <c r="B1451" s="13">
        <f t="shared" si="25"/>
        <v>0</v>
      </c>
      <c r="C1451" s="3" t="s">
        <v>662</v>
      </c>
      <c r="D1451" s="3"/>
      <c r="E1451" s="4" t="s">
        <v>1</v>
      </c>
      <c r="F1451" s="4" t="s">
        <v>17</v>
      </c>
    </row>
    <row r="1452" spans="1:6" x14ac:dyDescent="0.25">
      <c r="A1452" t="s">
        <v>1038</v>
      </c>
      <c r="B1452" s="13">
        <f t="shared" si="25"/>
        <v>0</v>
      </c>
      <c r="C1452" s="3" t="s">
        <v>663</v>
      </c>
      <c r="D1452" s="3"/>
      <c r="E1452" s="4" t="s">
        <v>1</v>
      </c>
      <c r="F1452" s="4" t="s">
        <v>5</v>
      </c>
    </row>
    <row r="1453" spans="1:6" x14ac:dyDescent="0.25">
      <c r="A1453" t="s">
        <v>1038</v>
      </c>
      <c r="B1453" s="13">
        <f t="shared" si="25"/>
        <v>0</v>
      </c>
      <c r="C1453" s="17" t="s">
        <v>664</v>
      </c>
      <c r="D1453" s="17"/>
      <c r="E1453" s="21" t="s">
        <v>1</v>
      </c>
      <c r="F1453" s="1" t="s">
        <v>25</v>
      </c>
    </row>
    <row r="1454" spans="1:6" x14ac:dyDescent="0.25">
      <c r="A1454" t="s">
        <v>1038</v>
      </c>
      <c r="B1454" s="13">
        <f t="shared" si="25"/>
        <v>0</v>
      </c>
      <c r="C1454" s="18"/>
      <c r="D1454" s="18"/>
      <c r="E1454" s="22"/>
      <c r="F1454" s="2" t="s">
        <v>43</v>
      </c>
    </row>
    <row r="1455" spans="1:6" x14ac:dyDescent="0.25">
      <c r="A1455" t="s">
        <v>1038</v>
      </c>
      <c r="B1455" s="13">
        <f t="shared" si="25"/>
        <v>0</v>
      </c>
      <c r="C1455" s="17" t="s">
        <v>665</v>
      </c>
      <c r="D1455" s="17"/>
      <c r="E1455" s="21" t="s">
        <v>1</v>
      </c>
      <c r="F1455" s="1" t="s">
        <v>25</v>
      </c>
    </row>
    <row r="1456" spans="1:6" x14ac:dyDescent="0.25">
      <c r="A1456" t="s">
        <v>1038</v>
      </c>
      <c r="B1456" s="13">
        <f t="shared" si="25"/>
        <v>0</v>
      </c>
      <c r="C1456" s="18"/>
      <c r="D1456" s="18"/>
      <c r="E1456" s="22"/>
      <c r="F1456" s="2" t="s">
        <v>740</v>
      </c>
    </row>
    <row r="1457" spans="1:6" x14ac:dyDescent="0.25">
      <c r="A1457" t="s">
        <v>1038</v>
      </c>
      <c r="B1457" s="13">
        <f t="shared" si="25"/>
        <v>0</v>
      </c>
      <c r="C1457" s="17" t="s">
        <v>666</v>
      </c>
      <c r="D1457" s="17"/>
      <c r="E1457" s="21" t="s">
        <v>1</v>
      </c>
      <c r="F1457" s="1" t="s">
        <v>25</v>
      </c>
    </row>
    <row r="1458" spans="1:6" x14ac:dyDescent="0.25">
      <c r="A1458" t="s">
        <v>1038</v>
      </c>
      <c r="B1458" s="13">
        <f t="shared" si="25"/>
        <v>0</v>
      </c>
      <c r="C1458" s="18"/>
      <c r="D1458" s="18"/>
      <c r="E1458" s="22"/>
      <c r="F1458" s="2" t="s">
        <v>1023</v>
      </c>
    </row>
    <row r="1459" spans="1:6" x14ac:dyDescent="0.25">
      <c r="A1459" t="s">
        <v>1038</v>
      </c>
      <c r="B1459" s="13">
        <f t="shared" si="25"/>
        <v>20</v>
      </c>
      <c r="C1459" s="17" t="s">
        <v>1024</v>
      </c>
      <c r="D1459" s="19">
        <v>1.3888888888888888E-2</v>
      </c>
      <c r="E1459" s="21" t="s">
        <v>1</v>
      </c>
      <c r="F1459" s="5" t="s">
        <v>136</v>
      </c>
    </row>
    <row r="1460" spans="1:6" x14ac:dyDescent="0.25">
      <c r="A1460" t="s">
        <v>1038</v>
      </c>
      <c r="B1460" s="13">
        <f t="shared" si="25"/>
        <v>0</v>
      </c>
      <c r="C1460" s="18"/>
      <c r="D1460" s="20"/>
      <c r="E1460" s="22"/>
      <c r="F1460" s="6" t="s">
        <v>64</v>
      </c>
    </row>
    <row r="1461" spans="1:6" x14ac:dyDescent="0.25">
      <c r="A1461" t="s">
        <v>1038</v>
      </c>
      <c r="B1461" s="13">
        <f t="shared" si="25"/>
        <v>0</v>
      </c>
      <c r="C1461" s="17" t="s">
        <v>670</v>
      </c>
      <c r="D1461" s="17"/>
      <c r="E1461" s="21" t="s">
        <v>1</v>
      </c>
      <c r="F1461" s="1" t="s">
        <v>2</v>
      </c>
    </row>
    <row r="1462" spans="1:6" x14ac:dyDescent="0.25">
      <c r="A1462" t="s">
        <v>1038</v>
      </c>
      <c r="B1462" s="13">
        <f t="shared" si="25"/>
        <v>0</v>
      </c>
      <c r="C1462" s="18"/>
      <c r="D1462" s="18"/>
      <c r="E1462" s="22"/>
      <c r="F1462" s="2" t="s">
        <v>1025</v>
      </c>
    </row>
    <row r="1463" spans="1:6" x14ac:dyDescent="0.25">
      <c r="A1463" t="s">
        <v>1038</v>
      </c>
      <c r="B1463" s="13">
        <f t="shared" si="25"/>
        <v>10</v>
      </c>
      <c r="C1463" s="3" t="s">
        <v>671</v>
      </c>
      <c r="D1463" s="7">
        <v>6.9444444444444441E-3</v>
      </c>
      <c r="E1463" s="4" t="s">
        <v>1</v>
      </c>
      <c r="F1463" s="8" t="s">
        <v>7</v>
      </c>
    </row>
    <row r="1464" spans="1:6" x14ac:dyDescent="0.25">
      <c r="A1464" t="s">
        <v>1038</v>
      </c>
      <c r="B1464" s="13">
        <f t="shared" si="25"/>
        <v>117.00000000000001</v>
      </c>
      <c r="C1464" s="17" t="s">
        <v>672</v>
      </c>
      <c r="D1464" s="19">
        <v>8.1250000000000003E-2</v>
      </c>
      <c r="E1464" s="21" t="s">
        <v>1</v>
      </c>
      <c r="F1464" s="5" t="s">
        <v>1026</v>
      </c>
    </row>
    <row r="1465" spans="1:6" x14ac:dyDescent="0.25">
      <c r="A1465" t="s">
        <v>1038</v>
      </c>
      <c r="B1465" s="13">
        <f t="shared" si="25"/>
        <v>0</v>
      </c>
      <c r="C1465" s="18"/>
      <c r="D1465" s="20"/>
      <c r="E1465" s="22"/>
      <c r="F1465" s="6" t="s">
        <v>1027</v>
      </c>
    </row>
    <row r="1466" spans="1:6" x14ac:dyDescent="0.25">
      <c r="A1466" t="s">
        <v>1038</v>
      </c>
      <c r="B1466" s="13">
        <f t="shared" si="25"/>
        <v>16</v>
      </c>
      <c r="C1466" s="17" t="s">
        <v>674</v>
      </c>
      <c r="D1466" s="19">
        <v>1.1111111111111112E-2</v>
      </c>
      <c r="E1466" s="21" t="s">
        <v>1</v>
      </c>
      <c r="F1466" s="5" t="s">
        <v>326</v>
      </c>
    </row>
    <row r="1467" spans="1:6" x14ac:dyDescent="0.25">
      <c r="A1467" t="s">
        <v>1038</v>
      </c>
      <c r="B1467" s="13">
        <f t="shared" si="25"/>
        <v>0</v>
      </c>
      <c r="C1467" s="18"/>
      <c r="D1467" s="20"/>
      <c r="E1467" s="22"/>
      <c r="F1467" s="6" t="s">
        <v>778</v>
      </c>
    </row>
    <row r="1468" spans="1:6" x14ac:dyDescent="0.25">
      <c r="A1468" t="s">
        <v>1038</v>
      </c>
      <c r="B1468" s="13">
        <f t="shared" si="25"/>
        <v>10</v>
      </c>
      <c r="C1468" s="3" t="s">
        <v>1028</v>
      </c>
      <c r="D1468" s="7">
        <v>6.9444444444444441E-3</v>
      </c>
      <c r="E1468" s="4" t="s">
        <v>1</v>
      </c>
      <c r="F1468" s="8" t="s">
        <v>7</v>
      </c>
    </row>
    <row r="1469" spans="1:6" x14ac:dyDescent="0.25">
      <c r="A1469" t="s">
        <v>1038</v>
      </c>
      <c r="B1469" s="13">
        <f t="shared" si="25"/>
        <v>0</v>
      </c>
      <c r="C1469" s="3" t="s">
        <v>676</v>
      </c>
      <c r="D1469" s="3"/>
      <c r="E1469" s="4" t="s">
        <v>1</v>
      </c>
      <c r="F1469" s="4" t="s">
        <v>17</v>
      </c>
    </row>
    <row r="1470" spans="1:6" x14ac:dyDescent="0.25">
      <c r="A1470" t="s">
        <v>1038</v>
      </c>
      <c r="B1470" s="13">
        <f t="shared" si="25"/>
        <v>0</v>
      </c>
      <c r="C1470" s="3" t="s">
        <v>677</v>
      </c>
      <c r="D1470" s="3"/>
      <c r="E1470" s="4" t="s">
        <v>1</v>
      </c>
      <c r="F1470" s="4" t="s">
        <v>17</v>
      </c>
    </row>
    <row r="1471" spans="1:6" x14ac:dyDescent="0.25">
      <c r="A1471" t="s">
        <v>1038</v>
      </c>
      <c r="B1471" s="13">
        <f t="shared" si="25"/>
        <v>0</v>
      </c>
      <c r="C1471" s="3" t="s">
        <v>678</v>
      </c>
      <c r="D1471" s="3"/>
      <c r="E1471" s="4" t="s">
        <v>1</v>
      </c>
      <c r="F1471" s="4" t="s">
        <v>17</v>
      </c>
    </row>
    <row r="1472" spans="1:6" x14ac:dyDescent="0.25">
      <c r="A1472" t="s">
        <v>1038</v>
      </c>
      <c r="B1472" s="13">
        <f t="shared" si="25"/>
        <v>0</v>
      </c>
      <c r="C1472" s="3" t="s">
        <v>679</v>
      </c>
      <c r="D1472" s="3"/>
      <c r="E1472" s="4" t="s">
        <v>1</v>
      </c>
      <c r="F1472" s="4" t="s">
        <v>17</v>
      </c>
    </row>
    <row r="1473" spans="1:6" x14ac:dyDescent="0.25">
      <c r="A1473" t="s">
        <v>1038</v>
      </c>
      <c r="B1473" s="13">
        <f t="shared" si="25"/>
        <v>10</v>
      </c>
      <c r="C1473" s="3" t="s">
        <v>680</v>
      </c>
      <c r="D1473" s="7">
        <v>6.9444444444444441E-3</v>
      </c>
      <c r="E1473" s="4" t="s">
        <v>1</v>
      </c>
      <c r="F1473" s="8" t="s">
        <v>7</v>
      </c>
    </row>
    <row r="1474" spans="1:6" x14ac:dyDescent="0.25">
      <c r="A1474" t="s">
        <v>1038</v>
      </c>
      <c r="B1474" s="13">
        <f t="shared" si="25"/>
        <v>0</v>
      </c>
      <c r="C1474" s="3" t="s">
        <v>681</v>
      </c>
      <c r="D1474" s="3"/>
      <c r="E1474" s="4" t="s">
        <v>1</v>
      </c>
      <c r="F1474" s="4" t="s">
        <v>17</v>
      </c>
    </row>
    <row r="1475" spans="1:6" x14ac:dyDescent="0.25">
      <c r="A1475" t="s">
        <v>1038</v>
      </c>
      <c r="B1475" s="13">
        <f t="shared" si="25"/>
        <v>206.99999999999997</v>
      </c>
      <c r="C1475" s="17" t="s">
        <v>682</v>
      </c>
      <c r="D1475" s="19">
        <v>0.14374999999999999</v>
      </c>
      <c r="E1475" s="21" t="s">
        <v>1</v>
      </c>
      <c r="F1475" s="5" t="s">
        <v>1029</v>
      </c>
    </row>
    <row r="1476" spans="1:6" x14ac:dyDescent="0.25">
      <c r="A1476" t="s">
        <v>1038</v>
      </c>
      <c r="B1476" s="13">
        <f t="shared" si="25"/>
        <v>0</v>
      </c>
      <c r="C1476" s="18"/>
      <c r="D1476" s="20"/>
      <c r="E1476" s="22"/>
      <c r="F1476" s="6" t="s">
        <v>1030</v>
      </c>
    </row>
    <row r="1477" spans="1:6" x14ac:dyDescent="0.25">
      <c r="A1477" t="s">
        <v>1038</v>
      </c>
      <c r="B1477" s="13">
        <f t="shared" si="25"/>
        <v>0</v>
      </c>
      <c r="C1477" s="3" t="s">
        <v>684</v>
      </c>
      <c r="D1477" s="3"/>
      <c r="E1477" s="4" t="s">
        <v>1</v>
      </c>
      <c r="F1477" s="4" t="s">
        <v>17</v>
      </c>
    </row>
    <row r="1478" spans="1:6" x14ac:dyDescent="0.25">
      <c r="A1478" t="s">
        <v>1038</v>
      </c>
      <c r="B1478" s="13">
        <f t="shared" si="25"/>
        <v>0</v>
      </c>
      <c r="C1478" s="3" t="s">
        <v>685</v>
      </c>
      <c r="D1478" s="3"/>
      <c r="E1478" s="4" t="s">
        <v>1</v>
      </c>
      <c r="F1478" s="4" t="s">
        <v>17</v>
      </c>
    </row>
    <row r="1479" spans="1:6" x14ac:dyDescent="0.25">
      <c r="A1479" t="s">
        <v>1038</v>
      </c>
      <c r="B1479" s="13">
        <f t="shared" si="25"/>
        <v>10</v>
      </c>
      <c r="C1479" s="3" t="s">
        <v>686</v>
      </c>
      <c r="D1479" s="7">
        <v>6.9444444444444441E-3</v>
      </c>
      <c r="E1479" s="4" t="s">
        <v>1</v>
      </c>
      <c r="F1479" s="8" t="s">
        <v>7</v>
      </c>
    </row>
    <row r="1480" spans="1:6" x14ac:dyDescent="0.25">
      <c r="A1480" t="s">
        <v>1038</v>
      </c>
      <c r="B1480" s="13">
        <f t="shared" si="25"/>
        <v>0</v>
      </c>
      <c r="C1480" s="3" t="s">
        <v>687</v>
      </c>
      <c r="D1480" s="3"/>
      <c r="E1480" s="4" t="s">
        <v>1</v>
      </c>
      <c r="F1480" s="4" t="s">
        <v>17</v>
      </c>
    </row>
    <row r="1481" spans="1:6" x14ac:dyDescent="0.25">
      <c r="A1481" t="s">
        <v>1038</v>
      </c>
      <c r="B1481" s="13">
        <f t="shared" si="25"/>
        <v>10</v>
      </c>
      <c r="C1481" s="3" t="s">
        <v>688</v>
      </c>
      <c r="D1481" s="7">
        <v>6.9444444444444441E-3</v>
      </c>
      <c r="E1481" s="4" t="s">
        <v>1</v>
      </c>
      <c r="F1481" s="8" t="s">
        <v>7</v>
      </c>
    </row>
    <row r="1482" spans="1:6" x14ac:dyDescent="0.25">
      <c r="A1482" t="s">
        <v>1038</v>
      </c>
      <c r="B1482" s="13">
        <f t="shared" si="25"/>
        <v>10</v>
      </c>
      <c r="C1482" s="17" t="s">
        <v>691</v>
      </c>
      <c r="D1482" s="19">
        <v>6.9444444444444441E-3</v>
      </c>
      <c r="E1482" s="21" t="s">
        <v>1</v>
      </c>
      <c r="F1482" s="5" t="s">
        <v>7</v>
      </c>
    </row>
    <row r="1483" spans="1:6" x14ac:dyDescent="0.25">
      <c r="A1483" t="s">
        <v>1038</v>
      </c>
      <c r="B1483" s="13">
        <f t="shared" si="25"/>
        <v>0</v>
      </c>
      <c r="C1483" s="18"/>
      <c r="D1483" s="20"/>
      <c r="E1483" s="22"/>
      <c r="F1483" s="6" t="s">
        <v>43</v>
      </c>
    </row>
    <row r="1484" spans="1:6" x14ac:dyDescent="0.25">
      <c r="A1484" t="s">
        <v>1038</v>
      </c>
      <c r="B1484" s="13">
        <f t="shared" si="25"/>
        <v>10</v>
      </c>
      <c r="C1484" s="3" t="s">
        <v>692</v>
      </c>
      <c r="D1484" s="7">
        <v>6.9444444444444441E-3</v>
      </c>
      <c r="E1484" s="4" t="s">
        <v>1</v>
      </c>
      <c r="F1484" s="8" t="s">
        <v>7</v>
      </c>
    </row>
    <row r="1485" spans="1:6" x14ac:dyDescent="0.25">
      <c r="A1485" t="s">
        <v>1038</v>
      </c>
      <c r="B1485" s="13">
        <f t="shared" si="25"/>
        <v>0</v>
      </c>
      <c r="C1485" s="3" t="s">
        <v>693</v>
      </c>
      <c r="D1485" s="3"/>
      <c r="E1485" s="4" t="s">
        <v>1</v>
      </c>
      <c r="F1485" s="4" t="s">
        <v>17</v>
      </c>
    </row>
    <row r="1486" spans="1:6" x14ac:dyDescent="0.25">
      <c r="A1486" t="s">
        <v>1038</v>
      </c>
      <c r="B1486" s="13">
        <f t="shared" si="25"/>
        <v>10</v>
      </c>
      <c r="C1486" s="3" t="s">
        <v>694</v>
      </c>
      <c r="D1486" s="7">
        <v>6.9444444444444441E-3</v>
      </c>
      <c r="E1486" s="4" t="s">
        <v>1</v>
      </c>
      <c r="F1486" s="8" t="s">
        <v>7</v>
      </c>
    </row>
    <row r="1487" spans="1:6" x14ac:dyDescent="0.25">
      <c r="A1487" t="s">
        <v>1038</v>
      </c>
      <c r="B1487" s="13">
        <f t="shared" si="25"/>
        <v>10</v>
      </c>
      <c r="C1487" s="3" t="s">
        <v>697</v>
      </c>
      <c r="D1487" s="7">
        <v>6.9444444444444441E-3</v>
      </c>
      <c r="E1487" s="4" t="s">
        <v>1</v>
      </c>
      <c r="F1487" s="8" t="s">
        <v>7</v>
      </c>
    </row>
    <row r="1488" spans="1:6" x14ac:dyDescent="0.25">
      <c r="A1488" t="s">
        <v>1038</v>
      </c>
      <c r="B1488" s="13">
        <f t="shared" si="25"/>
        <v>10</v>
      </c>
      <c r="C1488" s="17" t="s">
        <v>698</v>
      </c>
      <c r="D1488" s="19">
        <v>6.9444444444444441E-3</v>
      </c>
      <c r="E1488" s="21" t="s">
        <v>1</v>
      </c>
      <c r="F1488" s="5" t="s">
        <v>7</v>
      </c>
    </row>
    <row r="1489" spans="1:6" x14ac:dyDescent="0.25">
      <c r="A1489" t="s">
        <v>1038</v>
      </c>
      <c r="B1489" s="13">
        <f t="shared" si="25"/>
        <v>0</v>
      </c>
      <c r="C1489" s="18"/>
      <c r="D1489" s="20"/>
      <c r="E1489" s="22"/>
      <c r="F1489" s="6" t="s">
        <v>8</v>
      </c>
    </row>
    <row r="1490" spans="1:6" x14ac:dyDescent="0.25">
      <c r="A1490" t="s">
        <v>1038</v>
      </c>
      <c r="B1490" s="13">
        <f t="shared" si="25"/>
        <v>0</v>
      </c>
      <c r="C1490" s="3" t="s">
        <v>700</v>
      </c>
      <c r="D1490" s="3"/>
      <c r="E1490" s="4" t="s">
        <v>1</v>
      </c>
      <c r="F1490" s="4" t="s">
        <v>17</v>
      </c>
    </row>
    <row r="1491" spans="1:6" x14ac:dyDescent="0.25">
      <c r="A1491" t="s">
        <v>1038</v>
      </c>
      <c r="B1491" s="13">
        <f t="shared" si="25"/>
        <v>10</v>
      </c>
      <c r="C1491" s="3" t="s">
        <v>701</v>
      </c>
      <c r="D1491" s="7">
        <v>6.9444444444444441E-3</v>
      </c>
      <c r="E1491" s="4" t="s">
        <v>1</v>
      </c>
      <c r="F1491" s="8" t="s">
        <v>7</v>
      </c>
    </row>
    <row r="1492" spans="1:6" x14ac:dyDescent="0.25">
      <c r="A1492" t="s">
        <v>1038</v>
      </c>
      <c r="B1492" s="13">
        <f t="shared" si="25"/>
        <v>0</v>
      </c>
      <c r="C1492" s="3" t="s">
        <v>702</v>
      </c>
      <c r="D1492" s="3"/>
      <c r="E1492" s="4" t="s">
        <v>1</v>
      </c>
      <c r="F1492" s="4" t="s">
        <v>17</v>
      </c>
    </row>
    <row r="1493" spans="1:6" x14ac:dyDescent="0.25">
      <c r="A1493" t="s">
        <v>1038</v>
      </c>
      <c r="B1493" s="13">
        <f t="shared" si="25"/>
        <v>0</v>
      </c>
      <c r="C1493" s="3" t="s">
        <v>703</v>
      </c>
      <c r="D1493" s="3"/>
      <c r="E1493" s="4" t="s">
        <v>1</v>
      </c>
      <c r="F1493" s="3" t="s">
        <v>1031</v>
      </c>
    </row>
    <row r="1494" spans="1:6" x14ac:dyDescent="0.25">
      <c r="A1494" t="s">
        <v>1038</v>
      </c>
      <c r="B1494" s="13">
        <f t="shared" si="25"/>
        <v>30</v>
      </c>
      <c r="C1494" s="17" t="s">
        <v>704</v>
      </c>
      <c r="D1494" s="19">
        <v>2.0833333333333332E-2</v>
      </c>
      <c r="E1494" s="21" t="s">
        <v>1</v>
      </c>
      <c r="F1494" s="5" t="s">
        <v>157</v>
      </c>
    </row>
    <row r="1495" spans="1:6" x14ac:dyDescent="0.25">
      <c r="A1495" t="s">
        <v>1038</v>
      </c>
      <c r="B1495" s="13">
        <f t="shared" si="25"/>
        <v>0</v>
      </c>
      <c r="C1495" s="18"/>
      <c r="D1495" s="20"/>
      <c r="E1495" s="22"/>
      <c r="F1495" s="6" t="s">
        <v>576</v>
      </c>
    </row>
    <row r="1496" spans="1:6" x14ac:dyDescent="0.25">
      <c r="A1496" t="s">
        <v>1038</v>
      </c>
      <c r="B1496" s="13">
        <f t="shared" si="25"/>
        <v>10</v>
      </c>
      <c r="C1496" s="3" t="s">
        <v>706</v>
      </c>
      <c r="D1496" s="7">
        <v>6.9444444444444441E-3</v>
      </c>
      <c r="E1496" s="4" t="s">
        <v>1</v>
      </c>
      <c r="F1496" s="8" t="s">
        <v>7</v>
      </c>
    </row>
    <row r="1497" spans="1:6" x14ac:dyDescent="0.25">
      <c r="A1497" t="s">
        <v>1038</v>
      </c>
      <c r="B1497" s="13">
        <f t="shared" si="25"/>
        <v>10</v>
      </c>
      <c r="C1497" s="17" t="s">
        <v>707</v>
      </c>
      <c r="D1497" s="19">
        <v>6.9444444444444441E-3</v>
      </c>
      <c r="E1497" s="21" t="s">
        <v>1</v>
      </c>
      <c r="F1497" s="5" t="s">
        <v>7</v>
      </c>
    </row>
    <row r="1498" spans="1:6" x14ac:dyDescent="0.25">
      <c r="A1498" t="s">
        <v>1038</v>
      </c>
      <c r="B1498" s="13">
        <f t="shared" si="25"/>
        <v>0</v>
      </c>
      <c r="C1498" s="18"/>
      <c r="D1498" s="20"/>
      <c r="E1498" s="22"/>
      <c r="F1498" s="6" t="s">
        <v>43</v>
      </c>
    </row>
    <row r="1499" spans="1:6" x14ac:dyDescent="0.25">
      <c r="A1499" t="s">
        <v>1038</v>
      </c>
      <c r="B1499" s="13">
        <f t="shared" si="25"/>
        <v>0</v>
      </c>
      <c r="C1499" s="3" t="s">
        <v>709</v>
      </c>
      <c r="D1499" s="3"/>
      <c r="E1499" s="4" t="s">
        <v>1</v>
      </c>
      <c r="F1499" s="4" t="s">
        <v>17</v>
      </c>
    </row>
    <row r="1500" spans="1:6" x14ac:dyDescent="0.25">
      <c r="A1500" t="s">
        <v>1038</v>
      </c>
      <c r="B1500" s="13">
        <f t="shared" si="25"/>
        <v>10</v>
      </c>
      <c r="C1500" s="3" t="s">
        <v>710</v>
      </c>
      <c r="D1500" s="7">
        <v>6.9444444444444441E-3</v>
      </c>
      <c r="E1500" s="4" t="s">
        <v>1</v>
      </c>
      <c r="F1500" s="8" t="s">
        <v>7</v>
      </c>
    </row>
    <row r="1501" spans="1:6" x14ac:dyDescent="0.25">
      <c r="A1501" t="s">
        <v>1038</v>
      </c>
      <c r="B1501" s="13">
        <f t="shared" si="25"/>
        <v>0</v>
      </c>
      <c r="C1501" s="3" t="s">
        <v>711</v>
      </c>
      <c r="D1501" s="3"/>
      <c r="E1501" s="4" t="s">
        <v>1</v>
      </c>
      <c r="F1501" s="4" t="s">
        <v>17</v>
      </c>
    </row>
    <row r="1502" spans="1:6" x14ac:dyDescent="0.25">
      <c r="A1502" t="s">
        <v>1038</v>
      </c>
      <c r="B1502" s="13">
        <f t="shared" ref="B1502:B1539" si="26">D1502*24*60</f>
        <v>10</v>
      </c>
      <c r="C1502" s="3" t="s">
        <v>712</v>
      </c>
      <c r="D1502" s="7">
        <v>6.9444444444444441E-3</v>
      </c>
      <c r="E1502" s="4" t="s">
        <v>1</v>
      </c>
      <c r="F1502" s="8" t="s">
        <v>7</v>
      </c>
    </row>
    <row r="1503" spans="1:6" x14ac:dyDescent="0.25">
      <c r="A1503" t="s">
        <v>1038</v>
      </c>
      <c r="B1503" s="13">
        <f t="shared" si="26"/>
        <v>10</v>
      </c>
      <c r="C1503" s="3" t="s">
        <v>713</v>
      </c>
      <c r="D1503" s="7">
        <v>6.9444444444444441E-3</v>
      </c>
      <c r="E1503" s="4" t="s">
        <v>1</v>
      </c>
      <c r="F1503" s="8" t="s">
        <v>7</v>
      </c>
    </row>
    <row r="1504" spans="1:6" x14ac:dyDescent="0.25">
      <c r="A1504" t="s">
        <v>1038</v>
      </c>
      <c r="B1504" s="13">
        <f t="shared" si="26"/>
        <v>10</v>
      </c>
      <c r="C1504" s="3" t="s">
        <v>714</v>
      </c>
      <c r="D1504" s="7">
        <v>6.9444444444444441E-3</v>
      </c>
      <c r="E1504" s="4" t="s">
        <v>1</v>
      </c>
      <c r="F1504" s="8" t="s">
        <v>7</v>
      </c>
    </row>
    <row r="1505" spans="1:6" x14ac:dyDescent="0.25">
      <c r="A1505" t="s">
        <v>1038</v>
      </c>
      <c r="B1505" s="13">
        <f t="shared" si="26"/>
        <v>10</v>
      </c>
      <c r="C1505" s="3" t="s">
        <v>715</v>
      </c>
      <c r="D1505" s="7">
        <v>6.9444444444444441E-3</v>
      </c>
      <c r="E1505" s="4" t="s">
        <v>1</v>
      </c>
      <c r="F1505" s="8" t="s">
        <v>7</v>
      </c>
    </row>
    <row r="1506" spans="1:6" x14ac:dyDescent="0.25">
      <c r="A1506" t="s">
        <v>1038</v>
      </c>
      <c r="B1506" s="13">
        <f t="shared" si="26"/>
        <v>10</v>
      </c>
      <c r="C1506" s="3" t="s">
        <v>716</v>
      </c>
      <c r="D1506" s="7">
        <v>6.9444444444444441E-3</v>
      </c>
      <c r="E1506" s="4" t="s">
        <v>1</v>
      </c>
      <c r="F1506" s="8" t="s">
        <v>7</v>
      </c>
    </row>
    <row r="1507" spans="1:6" x14ac:dyDescent="0.25">
      <c r="A1507" t="s">
        <v>1038</v>
      </c>
      <c r="B1507" s="13">
        <f t="shared" si="26"/>
        <v>0</v>
      </c>
      <c r="C1507" s="3" t="s">
        <v>717</v>
      </c>
      <c r="D1507" s="3"/>
      <c r="E1507" s="4" t="s">
        <v>1</v>
      </c>
      <c r="F1507" s="4" t="s">
        <v>17</v>
      </c>
    </row>
    <row r="1508" spans="1:6" x14ac:dyDescent="0.25">
      <c r="A1508" t="s">
        <v>1038</v>
      </c>
      <c r="B1508" s="13">
        <f t="shared" si="26"/>
        <v>15</v>
      </c>
      <c r="C1508" s="17" t="s">
        <v>718</v>
      </c>
      <c r="D1508" s="19">
        <v>1.0416666666666666E-2</v>
      </c>
      <c r="E1508" s="21" t="s">
        <v>1</v>
      </c>
      <c r="F1508" s="5" t="s">
        <v>115</v>
      </c>
    </row>
    <row r="1509" spans="1:6" x14ac:dyDescent="0.25">
      <c r="A1509" t="s">
        <v>1038</v>
      </c>
      <c r="B1509" s="13">
        <f t="shared" si="26"/>
        <v>0</v>
      </c>
      <c r="C1509" s="18"/>
      <c r="D1509" s="20"/>
      <c r="E1509" s="22"/>
      <c r="F1509" s="6" t="s">
        <v>116</v>
      </c>
    </row>
    <row r="1510" spans="1:6" x14ac:dyDescent="0.25">
      <c r="A1510" t="s">
        <v>1038</v>
      </c>
      <c r="B1510" s="13">
        <f t="shared" si="26"/>
        <v>10</v>
      </c>
      <c r="C1510" s="3" t="s">
        <v>719</v>
      </c>
      <c r="D1510" s="7">
        <v>6.9444444444444441E-3</v>
      </c>
      <c r="E1510" s="4" t="s">
        <v>1</v>
      </c>
      <c r="F1510" s="8" t="s">
        <v>7</v>
      </c>
    </row>
    <row r="1511" spans="1:6" x14ac:dyDescent="0.25">
      <c r="A1511" t="s">
        <v>1038</v>
      </c>
      <c r="B1511" s="13">
        <f t="shared" si="26"/>
        <v>0</v>
      </c>
      <c r="C1511" s="3" t="s">
        <v>721</v>
      </c>
      <c r="D1511" s="3"/>
      <c r="E1511" s="4" t="s">
        <v>1</v>
      </c>
      <c r="F1511" s="4" t="s">
        <v>17</v>
      </c>
    </row>
    <row r="1512" spans="1:6" x14ac:dyDescent="0.25">
      <c r="A1512" t="s">
        <v>1038</v>
      </c>
      <c r="B1512" s="13">
        <f t="shared" si="26"/>
        <v>30.999999999999996</v>
      </c>
      <c r="C1512" s="17" t="s">
        <v>1032</v>
      </c>
      <c r="D1512" s="19">
        <v>2.1527777777777778E-2</v>
      </c>
      <c r="E1512" s="23"/>
      <c r="F1512" s="5" t="s">
        <v>1033</v>
      </c>
    </row>
    <row r="1513" spans="1:6" x14ac:dyDescent="0.25">
      <c r="A1513" t="s">
        <v>1038</v>
      </c>
      <c r="B1513" s="13">
        <f t="shared" si="26"/>
        <v>0</v>
      </c>
      <c r="C1513" s="18"/>
      <c r="D1513" s="20"/>
      <c r="E1513" s="24"/>
      <c r="F1513" s="6" t="s">
        <v>606</v>
      </c>
    </row>
    <row r="1514" spans="1:6" x14ac:dyDescent="0.25">
      <c r="A1514" t="s">
        <v>1038</v>
      </c>
      <c r="B1514" s="13">
        <f t="shared" si="26"/>
        <v>94.000000000000014</v>
      </c>
      <c r="C1514" s="17" t="s">
        <v>722</v>
      </c>
      <c r="D1514" s="19">
        <v>6.5277777777777782E-2</v>
      </c>
      <c r="E1514" s="21" t="s">
        <v>1</v>
      </c>
      <c r="F1514" s="5" t="s">
        <v>382</v>
      </c>
    </row>
    <row r="1515" spans="1:6" x14ac:dyDescent="0.25">
      <c r="A1515" t="s">
        <v>1038</v>
      </c>
      <c r="B1515" s="13">
        <f t="shared" si="26"/>
        <v>0</v>
      </c>
      <c r="C1515" s="18"/>
      <c r="D1515" s="20"/>
      <c r="E1515" s="22"/>
      <c r="F1515" s="6" t="s">
        <v>1034</v>
      </c>
    </row>
    <row r="1516" spans="1:6" x14ac:dyDescent="0.25">
      <c r="A1516" t="s">
        <v>1038</v>
      </c>
      <c r="B1516" s="13">
        <f t="shared" si="26"/>
        <v>0</v>
      </c>
      <c r="C1516" s="3" t="s">
        <v>724</v>
      </c>
      <c r="D1516" s="3"/>
      <c r="E1516" s="4" t="s">
        <v>1</v>
      </c>
      <c r="F1516" s="4" t="s">
        <v>17</v>
      </c>
    </row>
    <row r="1517" spans="1:6" x14ac:dyDescent="0.25">
      <c r="A1517" t="s">
        <v>1038</v>
      </c>
      <c r="B1517" s="13">
        <f t="shared" si="26"/>
        <v>37</v>
      </c>
      <c r="C1517" s="17" t="s">
        <v>1035</v>
      </c>
      <c r="D1517" s="19">
        <v>2.5694444444444443E-2</v>
      </c>
      <c r="E1517" s="23"/>
      <c r="F1517" s="5" t="s">
        <v>1036</v>
      </c>
    </row>
    <row r="1518" spans="1:6" x14ac:dyDescent="0.25">
      <c r="A1518" t="s">
        <v>1038</v>
      </c>
      <c r="B1518" s="13">
        <f t="shared" si="26"/>
        <v>0</v>
      </c>
      <c r="C1518" s="18"/>
      <c r="D1518" s="20"/>
      <c r="E1518" s="24"/>
      <c r="F1518" s="6" t="s">
        <v>905</v>
      </c>
    </row>
    <row r="1519" spans="1:6" x14ac:dyDescent="0.25">
      <c r="A1519" t="s">
        <v>1038</v>
      </c>
      <c r="B1519" s="13">
        <f t="shared" si="26"/>
        <v>10</v>
      </c>
      <c r="C1519" s="17" t="s">
        <v>725</v>
      </c>
      <c r="D1519" s="19">
        <v>6.9444444444444441E-3</v>
      </c>
      <c r="E1519" s="21" t="s">
        <v>1</v>
      </c>
      <c r="F1519" s="5" t="s">
        <v>7</v>
      </c>
    </row>
    <row r="1520" spans="1:6" x14ac:dyDescent="0.25">
      <c r="A1520" t="s">
        <v>1038</v>
      </c>
      <c r="B1520" s="13">
        <f t="shared" si="26"/>
        <v>0</v>
      </c>
      <c r="C1520" s="18"/>
      <c r="D1520" s="20"/>
      <c r="E1520" s="22"/>
      <c r="F1520" s="6" t="s">
        <v>10</v>
      </c>
    </row>
    <row r="1521" spans="1:6" x14ac:dyDescent="0.25">
      <c r="A1521" t="s">
        <v>1038</v>
      </c>
      <c r="B1521" s="13">
        <f t="shared" si="26"/>
        <v>10</v>
      </c>
      <c r="C1521" s="3" t="s">
        <v>726</v>
      </c>
      <c r="D1521" s="7">
        <v>6.9444444444444441E-3</v>
      </c>
      <c r="E1521" s="4" t="s">
        <v>1</v>
      </c>
      <c r="F1521" s="8" t="s">
        <v>7</v>
      </c>
    </row>
    <row r="1522" spans="1:6" x14ac:dyDescent="0.25">
      <c r="A1522" t="s">
        <v>1038</v>
      </c>
      <c r="B1522" s="13">
        <f t="shared" si="26"/>
        <v>0</v>
      </c>
      <c r="C1522" s="3" t="s">
        <v>732</v>
      </c>
      <c r="D1522" s="3"/>
      <c r="E1522" s="4" t="s">
        <v>1</v>
      </c>
      <c r="F1522" s="4" t="s">
        <v>17</v>
      </c>
    </row>
    <row r="1523" spans="1:6" x14ac:dyDescent="0.25">
      <c r="A1523" t="s">
        <v>1038</v>
      </c>
      <c r="B1523" s="13">
        <f t="shared" si="26"/>
        <v>10</v>
      </c>
      <c r="C1523" s="17" t="s">
        <v>735</v>
      </c>
      <c r="D1523" s="19">
        <v>6.9444444444444441E-3</v>
      </c>
      <c r="E1523" s="21" t="s">
        <v>1</v>
      </c>
      <c r="F1523" s="5" t="s">
        <v>7</v>
      </c>
    </row>
    <row r="1524" spans="1:6" x14ac:dyDescent="0.25">
      <c r="A1524" t="s">
        <v>1038</v>
      </c>
      <c r="B1524" s="13">
        <f t="shared" si="26"/>
        <v>0</v>
      </c>
      <c r="C1524" s="18"/>
      <c r="D1524" s="20"/>
      <c r="E1524" s="22"/>
      <c r="F1524" s="6" t="s">
        <v>10</v>
      </c>
    </row>
    <row r="1525" spans="1:6" x14ac:dyDescent="0.25">
      <c r="A1525" t="s">
        <v>1038</v>
      </c>
      <c r="B1525" s="13">
        <f t="shared" si="26"/>
        <v>0</v>
      </c>
      <c r="C1525" s="3" t="s">
        <v>738</v>
      </c>
      <c r="D1525" s="3"/>
      <c r="E1525" s="4" t="s">
        <v>1</v>
      </c>
      <c r="F1525" s="3" t="s">
        <v>1037</v>
      </c>
    </row>
    <row r="1526" spans="1:6" x14ac:dyDescent="0.25">
      <c r="A1526" t="s">
        <v>1038</v>
      </c>
      <c r="B1526" s="13">
        <f t="shared" si="26"/>
        <v>0</v>
      </c>
      <c r="C1526" s="3" t="s">
        <v>739</v>
      </c>
      <c r="D1526" s="3"/>
      <c r="E1526" s="4" t="s">
        <v>1</v>
      </c>
      <c r="F1526" s="3" t="s">
        <v>728</v>
      </c>
    </row>
    <row r="1527" spans="1:6" x14ac:dyDescent="0.25">
      <c r="A1527" t="s">
        <v>1038</v>
      </c>
      <c r="B1527" s="13">
        <f t="shared" si="26"/>
        <v>20</v>
      </c>
      <c r="C1527" s="17" t="s">
        <v>741</v>
      </c>
      <c r="D1527" s="19">
        <v>1.3888888888888888E-2</v>
      </c>
      <c r="E1527" s="21" t="s">
        <v>1</v>
      </c>
      <c r="F1527" s="5" t="s">
        <v>136</v>
      </c>
    </row>
    <row r="1528" spans="1:6" x14ac:dyDescent="0.25">
      <c r="A1528" t="s">
        <v>1038</v>
      </c>
      <c r="B1528" s="13">
        <f t="shared" si="26"/>
        <v>0</v>
      </c>
      <c r="C1528" s="18"/>
      <c r="D1528" s="20"/>
      <c r="E1528" s="22"/>
      <c r="F1528" s="6" t="s">
        <v>504</v>
      </c>
    </row>
    <row r="1529" spans="1:6" x14ac:dyDescent="0.25">
      <c r="A1529" t="s">
        <v>1038</v>
      </c>
      <c r="B1529" s="13">
        <f t="shared" si="26"/>
        <v>0</v>
      </c>
      <c r="C1529" s="3" t="s">
        <v>742</v>
      </c>
      <c r="D1529" s="3"/>
      <c r="E1529" s="4" t="s">
        <v>1</v>
      </c>
      <c r="F1529" s="4" t="s">
        <v>17</v>
      </c>
    </row>
    <row r="1530" spans="1:6" x14ac:dyDescent="0.25">
      <c r="A1530" t="s">
        <v>1038</v>
      </c>
      <c r="B1530" s="13">
        <f t="shared" si="26"/>
        <v>0</v>
      </c>
      <c r="C1530" s="3" t="s">
        <v>745</v>
      </c>
      <c r="D1530" s="3"/>
      <c r="E1530" s="4" t="s">
        <v>1</v>
      </c>
      <c r="F1530" s="4" t="s">
        <v>17</v>
      </c>
    </row>
    <row r="1531" spans="1:6" x14ac:dyDescent="0.25">
      <c r="A1531" t="s">
        <v>1038</v>
      </c>
      <c r="B1531" s="13">
        <f t="shared" si="26"/>
        <v>10</v>
      </c>
      <c r="C1531" s="17" t="s">
        <v>746</v>
      </c>
      <c r="D1531" s="19">
        <v>6.9444444444444441E-3</v>
      </c>
      <c r="E1531" s="21" t="s">
        <v>1</v>
      </c>
      <c r="F1531" s="5" t="s">
        <v>7</v>
      </c>
    </row>
    <row r="1532" spans="1:6" x14ac:dyDescent="0.25">
      <c r="A1532" t="s">
        <v>1038</v>
      </c>
      <c r="B1532" s="13">
        <f t="shared" si="26"/>
        <v>0</v>
      </c>
      <c r="C1532" s="18"/>
      <c r="D1532" s="20"/>
      <c r="E1532" s="22"/>
      <c r="F1532" s="6" t="s">
        <v>8</v>
      </c>
    </row>
    <row r="1533" spans="1:6" x14ac:dyDescent="0.25">
      <c r="A1533" t="s">
        <v>1038</v>
      </c>
      <c r="B1533" s="13">
        <f t="shared" si="26"/>
        <v>20</v>
      </c>
      <c r="C1533" s="17" t="s">
        <v>747</v>
      </c>
      <c r="D1533" s="19">
        <v>1.3888888888888888E-2</v>
      </c>
      <c r="E1533" s="21" t="s">
        <v>1</v>
      </c>
      <c r="F1533" s="5" t="s">
        <v>136</v>
      </c>
    </row>
    <row r="1534" spans="1:6" x14ac:dyDescent="0.25">
      <c r="A1534" t="s">
        <v>1038</v>
      </c>
      <c r="B1534" s="13">
        <f t="shared" si="26"/>
        <v>0</v>
      </c>
      <c r="C1534" s="18"/>
      <c r="D1534" s="20"/>
      <c r="E1534" s="22"/>
      <c r="F1534" s="6" t="s">
        <v>504</v>
      </c>
    </row>
    <row r="1535" spans="1:6" x14ac:dyDescent="0.25">
      <c r="A1535" t="s">
        <v>1038</v>
      </c>
      <c r="B1535" s="13">
        <f t="shared" si="26"/>
        <v>0</v>
      </c>
      <c r="C1535" s="3" t="s">
        <v>749</v>
      </c>
      <c r="D1535" s="3"/>
      <c r="E1535" s="4" t="s">
        <v>1</v>
      </c>
      <c r="F1535" s="4" t="s">
        <v>17</v>
      </c>
    </row>
    <row r="1536" spans="1:6" x14ac:dyDescent="0.25">
      <c r="A1536" t="s">
        <v>1038</v>
      </c>
      <c r="B1536" s="13">
        <f t="shared" si="26"/>
        <v>16</v>
      </c>
      <c r="C1536" s="17" t="s">
        <v>750</v>
      </c>
      <c r="D1536" s="19">
        <v>1.1111111111111112E-2</v>
      </c>
      <c r="E1536" s="21" t="s">
        <v>1</v>
      </c>
      <c r="F1536" s="5" t="s">
        <v>326</v>
      </c>
    </row>
    <row r="1537" spans="1:6" x14ac:dyDescent="0.25">
      <c r="A1537" t="s">
        <v>1038</v>
      </c>
      <c r="B1537" s="13">
        <f t="shared" si="26"/>
        <v>0</v>
      </c>
      <c r="C1537" s="18"/>
      <c r="D1537" s="20"/>
      <c r="E1537" s="22"/>
      <c r="F1537" s="6" t="s">
        <v>708</v>
      </c>
    </row>
    <row r="1538" spans="1:6" x14ac:dyDescent="0.25">
      <c r="A1538" t="s">
        <v>1038</v>
      </c>
      <c r="B1538" s="13">
        <f t="shared" si="26"/>
        <v>10</v>
      </c>
      <c r="C1538" s="3" t="s">
        <v>751</v>
      </c>
      <c r="D1538" s="7">
        <v>6.9444444444444441E-3</v>
      </c>
      <c r="E1538" s="4" t="s">
        <v>1</v>
      </c>
      <c r="F1538" s="8" t="s">
        <v>7</v>
      </c>
    </row>
    <row r="1539" spans="1:6" x14ac:dyDescent="0.25">
      <c r="A1539" t="s">
        <v>1038</v>
      </c>
      <c r="B1539" s="13">
        <f t="shared" si="26"/>
        <v>10</v>
      </c>
      <c r="C1539" s="3" t="s">
        <v>752</v>
      </c>
      <c r="D1539" s="7">
        <v>6.9444444444444441E-3</v>
      </c>
      <c r="E1539" s="4" t="s">
        <v>1</v>
      </c>
      <c r="F1539" s="8" t="s">
        <v>7</v>
      </c>
    </row>
  </sheetData>
  <mergeCells count="1371">
    <mergeCell ref="C11:C12"/>
    <mergeCell ref="D11:D12"/>
    <mergeCell ref="E11:E12"/>
    <mergeCell ref="C16:C17"/>
    <mergeCell ref="D16:D17"/>
    <mergeCell ref="E16:E17"/>
    <mergeCell ref="C7:C8"/>
    <mergeCell ref="D7:D8"/>
    <mergeCell ref="E7:E8"/>
    <mergeCell ref="C9:C10"/>
    <mergeCell ref="D9:D10"/>
    <mergeCell ref="E9:E10"/>
    <mergeCell ref="C2:C3"/>
    <mergeCell ref="D2:D3"/>
    <mergeCell ref="E2:E3"/>
    <mergeCell ref="C5:C6"/>
    <mergeCell ref="D5:D6"/>
    <mergeCell ref="E5:E6"/>
    <mergeCell ref="C43:C44"/>
    <mergeCell ref="D43:D44"/>
    <mergeCell ref="E43:E44"/>
    <mergeCell ref="C45:C46"/>
    <mergeCell ref="D45:D46"/>
    <mergeCell ref="E45:E46"/>
    <mergeCell ref="C34:C35"/>
    <mergeCell ref="D34:D35"/>
    <mergeCell ref="E34:E35"/>
    <mergeCell ref="C37:C38"/>
    <mergeCell ref="D37:D38"/>
    <mergeCell ref="E37:E38"/>
    <mergeCell ref="C21:C22"/>
    <mergeCell ref="D21:D22"/>
    <mergeCell ref="E21:E22"/>
    <mergeCell ref="C25:C26"/>
    <mergeCell ref="D25:D26"/>
    <mergeCell ref="E25:E26"/>
    <mergeCell ref="C61:C62"/>
    <mergeCell ref="D61:D62"/>
    <mergeCell ref="E61:E62"/>
    <mergeCell ref="C63:C64"/>
    <mergeCell ref="D63:D64"/>
    <mergeCell ref="E63:E64"/>
    <mergeCell ref="C52:C53"/>
    <mergeCell ref="D52:D53"/>
    <mergeCell ref="E52:E53"/>
    <mergeCell ref="C57:C58"/>
    <mergeCell ref="D57:D58"/>
    <mergeCell ref="E57:E58"/>
    <mergeCell ref="C47:C48"/>
    <mergeCell ref="D47:D48"/>
    <mergeCell ref="E47:E48"/>
    <mergeCell ref="C50:C51"/>
    <mergeCell ref="D50:D51"/>
    <mergeCell ref="E50:E51"/>
    <mergeCell ref="C80:C81"/>
    <mergeCell ref="D80:D81"/>
    <mergeCell ref="E80:E81"/>
    <mergeCell ref="C82:C83"/>
    <mergeCell ref="D82:D83"/>
    <mergeCell ref="E82:E83"/>
    <mergeCell ref="C73:C74"/>
    <mergeCell ref="D73:D74"/>
    <mergeCell ref="E73:E74"/>
    <mergeCell ref="C76:C77"/>
    <mergeCell ref="D76:D77"/>
    <mergeCell ref="E76:E77"/>
    <mergeCell ref="C66:C67"/>
    <mergeCell ref="D66:D67"/>
    <mergeCell ref="E66:E67"/>
    <mergeCell ref="C69:C70"/>
    <mergeCell ref="D69:D70"/>
    <mergeCell ref="E69:E70"/>
    <mergeCell ref="C95:C96"/>
    <mergeCell ref="D95:D96"/>
    <mergeCell ref="E95:E96"/>
    <mergeCell ref="C99:C100"/>
    <mergeCell ref="D99:D100"/>
    <mergeCell ref="E99:E100"/>
    <mergeCell ref="C90:C91"/>
    <mergeCell ref="D90:D91"/>
    <mergeCell ref="E90:E91"/>
    <mergeCell ref="C93:C94"/>
    <mergeCell ref="D93:D94"/>
    <mergeCell ref="E93:E94"/>
    <mergeCell ref="C84:C85"/>
    <mergeCell ref="D84:D85"/>
    <mergeCell ref="E84:E85"/>
    <mergeCell ref="C86:C87"/>
    <mergeCell ref="D86:D87"/>
    <mergeCell ref="E86:E87"/>
    <mergeCell ref="C110:C111"/>
    <mergeCell ref="D110:D111"/>
    <mergeCell ref="E110:E111"/>
    <mergeCell ref="C112:C113"/>
    <mergeCell ref="D112:D113"/>
    <mergeCell ref="E112:E113"/>
    <mergeCell ref="C106:C107"/>
    <mergeCell ref="D106:D107"/>
    <mergeCell ref="E106:E107"/>
    <mergeCell ref="C108:C109"/>
    <mergeCell ref="D108:D109"/>
    <mergeCell ref="E108:E109"/>
    <mergeCell ref="C101:C102"/>
    <mergeCell ref="D101:D102"/>
    <mergeCell ref="E101:E102"/>
    <mergeCell ref="C104:C105"/>
    <mergeCell ref="D104:D105"/>
    <mergeCell ref="E104:E105"/>
    <mergeCell ref="C126:C127"/>
    <mergeCell ref="D126:D127"/>
    <mergeCell ref="E126:E127"/>
    <mergeCell ref="C128:C129"/>
    <mergeCell ref="D128:D129"/>
    <mergeCell ref="E128:E129"/>
    <mergeCell ref="C121:C122"/>
    <mergeCell ref="D121:D122"/>
    <mergeCell ref="E121:E122"/>
    <mergeCell ref="C124:C125"/>
    <mergeCell ref="D124:D125"/>
    <mergeCell ref="E124:E125"/>
    <mergeCell ref="C115:C116"/>
    <mergeCell ref="D115:D116"/>
    <mergeCell ref="E115:E116"/>
    <mergeCell ref="C117:C118"/>
    <mergeCell ref="D117:D118"/>
    <mergeCell ref="E117:E118"/>
    <mergeCell ref="C139:C140"/>
    <mergeCell ref="D139:D140"/>
    <mergeCell ref="E139:E140"/>
    <mergeCell ref="C142:C143"/>
    <mergeCell ref="D142:D143"/>
    <mergeCell ref="E142:E143"/>
    <mergeCell ref="C135:C136"/>
    <mergeCell ref="D135:D136"/>
    <mergeCell ref="E135:E136"/>
    <mergeCell ref="C137:C138"/>
    <mergeCell ref="D137:D138"/>
    <mergeCell ref="E137:E138"/>
    <mergeCell ref="C130:C131"/>
    <mergeCell ref="D130:D131"/>
    <mergeCell ref="E130:E131"/>
    <mergeCell ref="C133:C134"/>
    <mergeCell ref="D133:D134"/>
    <mergeCell ref="E133:E134"/>
    <mergeCell ref="C162:C163"/>
    <mergeCell ref="D162:D163"/>
    <mergeCell ref="E162:E163"/>
    <mergeCell ref="C164:C165"/>
    <mergeCell ref="D164:D165"/>
    <mergeCell ref="E164:E165"/>
    <mergeCell ref="C156:C157"/>
    <mergeCell ref="D156:D157"/>
    <mergeCell ref="E156:E157"/>
    <mergeCell ref="C159:C160"/>
    <mergeCell ref="D159:D160"/>
    <mergeCell ref="E159:E160"/>
    <mergeCell ref="C148:C149"/>
    <mergeCell ref="D148:D149"/>
    <mergeCell ref="E148:E149"/>
    <mergeCell ref="C152:C153"/>
    <mergeCell ref="D152:D153"/>
    <mergeCell ref="E152:E153"/>
    <mergeCell ref="C175:C176"/>
    <mergeCell ref="D175:D176"/>
    <mergeCell ref="E175:E176"/>
    <mergeCell ref="C177:C178"/>
    <mergeCell ref="D177:D178"/>
    <mergeCell ref="E177:E178"/>
    <mergeCell ref="C171:C172"/>
    <mergeCell ref="D171:D172"/>
    <mergeCell ref="E171:E172"/>
    <mergeCell ref="C173:C174"/>
    <mergeCell ref="D173:D174"/>
    <mergeCell ref="E173:E174"/>
    <mergeCell ref="C166:C167"/>
    <mergeCell ref="D166:D167"/>
    <mergeCell ref="E166:E167"/>
    <mergeCell ref="C169:C170"/>
    <mergeCell ref="D169:D170"/>
    <mergeCell ref="E169:E170"/>
    <mergeCell ref="C190:C191"/>
    <mergeCell ref="D190:D191"/>
    <mergeCell ref="E190:E191"/>
    <mergeCell ref="C192:C193"/>
    <mergeCell ref="D192:D193"/>
    <mergeCell ref="E192:E193"/>
    <mergeCell ref="C185:C186"/>
    <mergeCell ref="D185:D186"/>
    <mergeCell ref="E185:E186"/>
    <mergeCell ref="C188:C189"/>
    <mergeCell ref="D188:D189"/>
    <mergeCell ref="E188:E189"/>
    <mergeCell ref="C180:C181"/>
    <mergeCell ref="D180:D181"/>
    <mergeCell ref="E180:E181"/>
    <mergeCell ref="C182:C183"/>
    <mergeCell ref="D182:D183"/>
    <mergeCell ref="E182:E183"/>
    <mergeCell ref="C205:C206"/>
    <mergeCell ref="D205:D206"/>
    <mergeCell ref="E205:E206"/>
    <mergeCell ref="C207:C208"/>
    <mergeCell ref="D207:D208"/>
    <mergeCell ref="E207:E208"/>
    <mergeCell ref="C201:C202"/>
    <mergeCell ref="D201:D202"/>
    <mergeCell ref="E201:E202"/>
    <mergeCell ref="C203:C204"/>
    <mergeCell ref="D203:D204"/>
    <mergeCell ref="E203:E204"/>
    <mergeCell ref="C196:C197"/>
    <mergeCell ref="D196:D197"/>
    <mergeCell ref="E196:E197"/>
    <mergeCell ref="C199:C200"/>
    <mergeCell ref="D199:D200"/>
    <mergeCell ref="E199:E200"/>
    <mergeCell ref="C219:C220"/>
    <mergeCell ref="D219:D220"/>
    <mergeCell ref="E219:E220"/>
    <mergeCell ref="C221:C222"/>
    <mergeCell ref="D221:D222"/>
    <mergeCell ref="E221:E222"/>
    <mergeCell ref="C214:C215"/>
    <mergeCell ref="D214:D215"/>
    <mergeCell ref="E214:E215"/>
    <mergeCell ref="C216:C217"/>
    <mergeCell ref="D216:D217"/>
    <mergeCell ref="E216:E217"/>
    <mergeCell ref="C209:C210"/>
    <mergeCell ref="D209:D210"/>
    <mergeCell ref="E209:E210"/>
    <mergeCell ref="C211:C212"/>
    <mergeCell ref="D211:D212"/>
    <mergeCell ref="E211:E212"/>
    <mergeCell ref="C241:C242"/>
    <mergeCell ref="D241:D242"/>
    <mergeCell ref="E241:E242"/>
    <mergeCell ref="C243:C244"/>
    <mergeCell ref="D243:D244"/>
    <mergeCell ref="E243:E244"/>
    <mergeCell ref="C230:C231"/>
    <mergeCell ref="D230:D231"/>
    <mergeCell ref="E230:E231"/>
    <mergeCell ref="C236:C237"/>
    <mergeCell ref="D236:D237"/>
    <mergeCell ref="E236:E237"/>
    <mergeCell ref="C224:C225"/>
    <mergeCell ref="D224:D225"/>
    <mergeCell ref="E224:E225"/>
    <mergeCell ref="C227:C228"/>
    <mergeCell ref="D227:D228"/>
    <mergeCell ref="E227:E228"/>
    <mergeCell ref="C254:C255"/>
    <mergeCell ref="D254:D255"/>
    <mergeCell ref="E254:E255"/>
    <mergeCell ref="C257:C258"/>
    <mergeCell ref="D257:D258"/>
    <mergeCell ref="E257:E258"/>
    <mergeCell ref="C249:C250"/>
    <mergeCell ref="D249:D250"/>
    <mergeCell ref="E249:E250"/>
    <mergeCell ref="C252:C253"/>
    <mergeCell ref="D252:D253"/>
    <mergeCell ref="E252:E253"/>
    <mergeCell ref="C245:C246"/>
    <mergeCell ref="D245:D246"/>
    <mergeCell ref="E245:E246"/>
    <mergeCell ref="C247:C248"/>
    <mergeCell ref="D247:D248"/>
    <mergeCell ref="E247:E248"/>
    <mergeCell ref="C269:C270"/>
    <mergeCell ref="D269:D270"/>
    <mergeCell ref="E269:E270"/>
    <mergeCell ref="C271:C272"/>
    <mergeCell ref="D271:D272"/>
    <mergeCell ref="E271:E272"/>
    <mergeCell ref="C265:C266"/>
    <mergeCell ref="D265:D266"/>
    <mergeCell ref="E265:E266"/>
    <mergeCell ref="C267:C268"/>
    <mergeCell ref="D267:D268"/>
    <mergeCell ref="E267:E268"/>
    <mergeCell ref="C259:C260"/>
    <mergeCell ref="D259:D260"/>
    <mergeCell ref="E259:E260"/>
    <mergeCell ref="C261:C262"/>
    <mergeCell ref="D261:D262"/>
    <mergeCell ref="E261:E262"/>
    <mergeCell ref="C286:C287"/>
    <mergeCell ref="D286:D287"/>
    <mergeCell ref="E286:E287"/>
    <mergeCell ref="C289:C290"/>
    <mergeCell ref="D289:D290"/>
    <mergeCell ref="E289:E290"/>
    <mergeCell ref="C280:C281"/>
    <mergeCell ref="D280:D281"/>
    <mergeCell ref="E280:E281"/>
    <mergeCell ref="C282:C283"/>
    <mergeCell ref="D282:D283"/>
    <mergeCell ref="E282:E283"/>
    <mergeCell ref="C273:C274"/>
    <mergeCell ref="D273:D274"/>
    <mergeCell ref="E273:E274"/>
    <mergeCell ref="C278:C279"/>
    <mergeCell ref="D278:D279"/>
    <mergeCell ref="E278:E279"/>
    <mergeCell ref="C301:C302"/>
    <mergeCell ref="D301:D302"/>
    <mergeCell ref="E301:E302"/>
    <mergeCell ref="C303:C304"/>
    <mergeCell ref="D303:D304"/>
    <mergeCell ref="E303:E304"/>
    <mergeCell ref="C296:C297"/>
    <mergeCell ref="D296:D297"/>
    <mergeCell ref="E296:E297"/>
    <mergeCell ref="C299:C300"/>
    <mergeCell ref="D299:D300"/>
    <mergeCell ref="E299:E300"/>
    <mergeCell ref="C291:C292"/>
    <mergeCell ref="D291:D292"/>
    <mergeCell ref="E291:E292"/>
    <mergeCell ref="C293:C294"/>
    <mergeCell ref="D293:D294"/>
    <mergeCell ref="E293:E294"/>
    <mergeCell ref="C316:C317"/>
    <mergeCell ref="D316:D317"/>
    <mergeCell ref="E316:E317"/>
    <mergeCell ref="C318:C319"/>
    <mergeCell ref="D318:D319"/>
    <mergeCell ref="E318:E319"/>
    <mergeCell ref="C310:C311"/>
    <mergeCell ref="D310:D311"/>
    <mergeCell ref="E310:E311"/>
    <mergeCell ref="C313:C314"/>
    <mergeCell ref="D313:D314"/>
    <mergeCell ref="E313:E314"/>
    <mergeCell ref="C306:C307"/>
    <mergeCell ref="D306:D307"/>
    <mergeCell ref="E306:E307"/>
    <mergeCell ref="C308:C309"/>
    <mergeCell ref="D308:D309"/>
    <mergeCell ref="E308:E309"/>
    <mergeCell ref="C328:C329"/>
    <mergeCell ref="D328:D329"/>
    <mergeCell ref="E328:E329"/>
    <mergeCell ref="C330:C331"/>
    <mergeCell ref="D330:D331"/>
    <mergeCell ref="E330:E331"/>
    <mergeCell ref="C324:C325"/>
    <mergeCell ref="D324:D325"/>
    <mergeCell ref="E324:E325"/>
    <mergeCell ref="C326:C327"/>
    <mergeCell ref="D326:D327"/>
    <mergeCell ref="E326:E327"/>
    <mergeCell ref="C320:C321"/>
    <mergeCell ref="D320:D321"/>
    <mergeCell ref="E320:E321"/>
    <mergeCell ref="C322:C323"/>
    <mergeCell ref="D322:D323"/>
    <mergeCell ref="E322:E323"/>
    <mergeCell ref="C342:C343"/>
    <mergeCell ref="D342:D343"/>
    <mergeCell ref="E342:E343"/>
    <mergeCell ref="C344:C345"/>
    <mergeCell ref="D344:D345"/>
    <mergeCell ref="E344:E345"/>
    <mergeCell ref="C338:C339"/>
    <mergeCell ref="D338:D339"/>
    <mergeCell ref="E338:E339"/>
    <mergeCell ref="C340:C341"/>
    <mergeCell ref="D340:D341"/>
    <mergeCell ref="E340:E341"/>
    <mergeCell ref="C332:C333"/>
    <mergeCell ref="D332:D333"/>
    <mergeCell ref="E332:E333"/>
    <mergeCell ref="C334:C335"/>
    <mergeCell ref="D334:D335"/>
    <mergeCell ref="E334:E335"/>
    <mergeCell ref="C356:C357"/>
    <mergeCell ref="D356:D357"/>
    <mergeCell ref="E356:E357"/>
    <mergeCell ref="C358:C359"/>
    <mergeCell ref="D358:D359"/>
    <mergeCell ref="E358:E359"/>
    <mergeCell ref="C352:C353"/>
    <mergeCell ref="D352:D353"/>
    <mergeCell ref="E352:E353"/>
    <mergeCell ref="C354:C355"/>
    <mergeCell ref="D354:D355"/>
    <mergeCell ref="E354:E355"/>
    <mergeCell ref="C346:C347"/>
    <mergeCell ref="D346:D347"/>
    <mergeCell ref="E346:E347"/>
    <mergeCell ref="C350:C351"/>
    <mergeCell ref="D350:D351"/>
    <mergeCell ref="E350:E351"/>
    <mergeCell ref="C368:C369"/>
    <mergeCell ref="D368:D369"/>
    <mergeCell ref="E368:E369"/>
    <mergeCell ref="C371:C372"/>
    <mergeCell ref="D371:D372"/>
    <mergeCell ref="E371:E372"/>
    <mergeCell ref="C364:C365"/>
    <mergeCell ref="D364:D365"/>
    <mergeCell ref="E364:E365"/>
    <mergeCell ref="C366:C367"/>
    <mergeCell ref="D366:D367"/>
    <mergeCell ref="E366:E367"/>
    <mergeCell ref="C360:C361"/>
    <mergeCell ref="D360:D361"/>
    <mergeCell ref="E360:E361"/>
    <mergeCell ref="C362:C363"/>
    <mergeCell ref="D362:D363"/>
    <mergeCell ref="E362:E363"/>
    <mergeCell ref="C383:C384"/>
    <mergeCell ref="D383:D384"/>
    <mergeCell ref="E383:E384"/>
    <mergeCell ref="C385:C386"/>
    <mergeCell ref="D385:D386"/>
    <mergeCell ref="E385:E386"/>
    <mergeCell ref="C377:C378"/>
    <mergeCell ref="D377:D378"/>
    <mergeCell ref="E377:E378"/>
    <mergeCell ref="C380:C381"/>
    <mergeCell ref="D380:D381"/>
    <mergeCell ref="E380:E381"/>
    <mergeCell ref="C373:C374"/>
    <mergeCell ref="D373:D374"/>
    <mergeCell ref="E373:E374"/>
    <mergeCell ref="C375:C376"/>
    <mergeCell ref="D375:D376"/>
    <mergeCell ref="E375:E376"/>
    <mergeCell ref="C406:C407"/>
    <mergeCell ref="D406:D407"/>
    <mergeCell ref="E406:E407"/>
    <mergeCell ref="C408:C409"/>
    <mergeCell ref="D408:D409"/>
    <mergeCell ref="E408:E409"/>
    <mergeCell ref="C393:C394"/>
    <mergeCell ref="D393:D394"/>
    <mergeCell ref="E393:E394"/>
    <mergeCell ref="C395:C396"/>
    <mergeCell ref="D395:D396"/>
    <mergeCell ref="E395:E396"/>
    <mergeCell ref="C389:C390"/>
    <mergeCell ref="D389:D390"/>
    <mergeCell ref="E389:E390"/>
    <mergeCell ref="C391:C392"/>
    <mergeCell ref="D391:D392"/>
    <mergeCell ref="E391:E392"/>
    <mergeCell ref="C419:C420"/>
    <mergeCell ref="D419:D420"/>
    <mergeCell ref="E419:E420"/>
    <mergeCell ref="C424:C425"/>
    <mergeCell ref="D424:D425"/>
    <mergeCell ref="E424:E425"/>
    <mergeCell ref="C415:C416"/>
    <mergeCell ref="D415:D416"/>
    <mergeCell ref="E415:E416"/>
    <mergeCell ref="C417:C418"/>
    <mergeCell ref="D417:D418"/>
    <mergeCell ref="E417:E418"/>
    <mergeCell ref="C410:C411"/>
    <mergeCell ref="D410:D411"/>
    <mergeCell ref="E410:E411"/>
    <mergeCell ref="C413:C414"/>
    <mergeCell ref="D413:D414"/>
    <mergeCell ref="E413:E414"/>
    <mergeCell ref="C439:C440"/>
    <mergeCell ref="D439:D440"/>
    <mergeCell ref="E439:E440"/>
    <mergeCell ref="C443:C444"/>
    <mergeCell ref="D443:D444"/>
    <mergeCell ref="E443:E444"/>
    <mergeCell ref="C435:C436"/>
    <mergeCell ref="D435:D436"/>
    <mergeCell ref="E435:E436"/>
    <mergeCell ref="C437:C438"/>
    <mergeCell ref="D437:D438"/>
    <mergeCell ref="E437:E438"/>
    <mergeCell ref="C429:C430"/>
    <mergeCell ref="D429:D430"/>
    <mergeCell ref="E429:E430"/>
    <mergeCell ref="C433:C434"/>
    <mergeCell ref="D433:D434"/>
    <mergeCell ref="E433:E434"/>
    <mergeCell ref="C462:C463"/>
    <mergeCell ref="D462:D463"/>
    <mergeCell ref="E462:E463"/>
    <mergeCell ref="C464:C465"/>
    <mergeCell ref="D464:D465"/>
    <mergeCell ref="E464:E465"/>
    <mergeCell ref="C450:C451"/>
    <mergeCell ref="D450:D451"/>
    <mergeCell ref="E450:E451"/>
    <mergeCell ref="C456:C457"/>
    <mergeCell ref="D456:D457"/>
    <mergeCell ref="E456:E457"/>
    <mergeCell ref="C445:C446"/>
    <mergeCell ref="D445:D446"/>
    <mergeCell ref="E445:E446"/>
    <mergeCell ref="C448:C449"/>
    <mergeCell ref="D448:D449"/>
    <mergeCell ref="E448:E449"/>
    <mergeCell ref="C481:C482"/>
    <mergeCell ref="D481:D482"/>
    <mergeCell ref="E481:E482"/>
    <mergeCell ref="C483:C484"/>
    <mergeCell ref="D483:D484"/>
    <mergeCell ref="E483:E484"/>
    <mergeCell ref="C475:C476"/>
    <mergeCell ref="D475:D476"/>
    <mergeCell ref="E475:E476"/>
    <mergeCell ref="C478:C479"/>
    <mergeCell ref="D478:D479"/>
    <mergeCell ref="E478:E479"/>
    <mergeCell ref="C466:C467"/>
    <mergeCell ref="D466:D467"/>
    <mergeCell ref="E466:E467"/>
    <mergeCell ref="C468:C469"/>
    <mergeCell ref="D468:D469"/>
    <mergeCell ref="E468:E469"/>
    <mergeCell ref="C513:C514"/>
    <mergeCell ref="D513:D514"/>
    <mergeCell ref="E513:E514"/>
    <mergeCell ref="C515:C516"/>
    <mergeCell ref="D515:D516"/>
    <mergeCell ref="E515:E516"/>
    <mergeCell ref="C500:C501"/>
    <mergeCell ref="D500:D501"/>
    <mergeCell ref="E500:E501"/>
    <mergeCell ref="C505:C506"/>
    <mergeCell ref="D505:D506"/>
    <mergeCell ref="E505:E506"/>
    <mergeCell ref="C486:C487"/>
    <mergeCell ref="D486:D487"/>
    <mergeCell ref="E486:E487"/>
    <mergeCell ref="C497:C498"/>
    <mergeCell ref="D497:D498"/>
    <mergeCell ref="E497:E498"/>
    <mergeCell ref="C528:C529"/>
    <mergeCell ref="D528:D529"/>
    <mergeCell ref="E528:E529"/>
    <mergeCell ref="C530:C531"/>
    <mergeCell ref="D530:D531"/>
    <mergeCell ref="E530:E531"/>
    <mergeCell ref="C523:C524"/>
    <mergeCell ref="D523:D524"/>
    <mergeCell ref="E523:E524"/>
    <mergeCell ref="C526:C527"/>
    <mergeCell ref="D526:D527"/>
    <mergeCell ref="E526:E527"/>
    <mergeCell ref="C517:C518"/>
    <mergeCell ref="D517:D518"/>
    <mergeCell ref="E517:E518"/>
    <mergeCell ref="C519:C520"/>
    <mergeCell ref="D519:D520"/>
    <mergeCell ref="E519:E520"/>
    <mergeCell ref="C543:C544"/>
    <mergeCell ref="D543:D544"/>
    <mergeCell ref="E543:E544"/>
    <mergeCell ref="C548:C549"/>
    <mergeCell ref="D548:D549"/>
    <mergeCell ref="E548:E549"/>
    <mergeCell ref="C539:C540"/>
    <mergeCell ref="D539:D540"/>
    <mergeCell ref="E539:E540"/>
    <mergeCell ref="C541:C542"/>
    <mergeCell ref="D541:D542"/>
    <mergeCell ref="E541:E542"/>
    <mergeCell ref="C532:C533"/>
    <mergeCell ref="D532:D533"/>
    <mergeCell ref="E532:E533"/>
    <mergeCell ref="C534:C535"/>
    <mergeCell ref="D534:D535"/>
    <mergeCell ref="E534:E535"/>
    <mergeCell ref="C566:C567"/>
    <mergeCell ref="D566:D567"/>
    <mergeCell ref="E566:E567"/>
    <mergeCell ref="C568:C569"/>
    <mergeCell ref="D568:D569"/>
    <mergeCell ref="E568:E569"/>
    <mergeCell ref="C560:C561"/>
    <mergeCell ref="D560:D561"/>
    <mergeCell ref="E560:E561"/>
    <mergeCell ref="C563:C564"/>
    <mergeCell ref="D563:D564"/>
    <mergeCell ref="E563:E564"/>
    <mergeCell ref="C550:C551"/>
    <mergeCell ref="D550:D551"/>
    <mergeCell ref="E550:E551"/>
    <mergeCell ref="C553:C554"/>
    <mergeCell ref="D553:D554"/>
    <mergeCell ref="E553:E554"/>
    <mergeCell ref="C579:C580"/>
    <mergeCell ref="D579:D580"/>
    <mergeCell ref="E579:E580"/>
    <mergeCell ref="C594:C595"/>
    <mergeCell ref="D594:D595"/>
    <mergeCell ref="E594:E595"/>
    <mergeCell ref="C574:C575"/>
    <mergeCell ref="D574:D575"/>
    <mergeCell ref="E574:E575"/>
    <mergeCell ref="C576:C577"/>
    <mergeCell ref="D576:D577"/>
    <mergeCell ref="E576:E577"/>
    <mergeCell ref="C570:C571"/>
    <mergeCell ref="D570:D571"/>
    <mergeCell ref="E570:E571"/>
    <mergeCell ref="C572:C573"/>
    <mergeCell ref="D572:D573"/>
    <mergeCell ref="E572:E573"/>
    <mergeCell ref="C605:C606"/>
    <mergeCell ref="D605:D606"/>
    <mergeCell ref="E605:E606"/>
    <mergeCell ref="C624:C625"/>
    <mergeCell ref="D624:D625"/>
    <mergeCell ref="E624:E625"/>
    <mergeCell ref="C600:C601"/>
    <mergeCell ref="D600:D601"/>
    <mergeCell ref="E600:E601"/>
    <mergeCell ref="C602:C603"/>
    <mergeCell ref="D602:D603"/>
    <mergeCell ref="E602:E603"/>
    <mergeCell ref="C596:C597"/>
    <mergeCell ref="D596:D597"/>
    <mergeCell ref="E596:E597"/>
    <mergeCell ref="C598:C599"/>
    <mergeCell ref="D598:D599"/>
    <mergeCell ref="E598:E599"/>
    <mergeCell ref="C636:C637"/>
    <mergeCell ref="D636:D637"/>
    <mergeCell ref="E636:E637"/>
    <mergeCell ref="C641:C642"/>
    <mergeCell ref="D641:D642"/>
    <mergeCell ref="E641:E642"/>
    <mergeCell ref="C631:C632"/>
    <mergeCell ref="D631:D632"/>
    <mergeCell ref="E631:E632"/>
    <mergeCell ref="C634:C635"/>
    <mergeCell ref="D634:D635"/>
    <mergeCell ref="E634:E635"/>
    <mergeCell ref="C626:C627"/>
    <mergeCell ref="D626:D627"/>
    <mergeCell ref="E626:E627"/>
    <mergeCell ref="C628:C629"/>
    <mergeCell ref="D628:D629"/>
    <mergeCell ref="E628:E629"/>
    <mergeCell ref="C656:C657"/>
    <mergeCell ref="D656:D657"/>
    <mergeCell ref="E656:E657"/>
    <mergeCell ref="C659:C660"/>
    <mergeCell ref="D659:D660"/>
    <mergeCell ref="E659:E660"/>
    <mergeCell ref="C648:C649"/>
    <mergeCell ref="D648:D649"/>
    <mergeCell ref="E648:E649"/>
    <mergeCell ref="C651:C652"/>
    <mergeCell ref="D651:D652"/>
    <mergeCell ref="E651:E652"/>
    <mergeCell ref="C644:C645"/>
    <mergeCell ref="D644:D645"/>
    <mergeCell ref="E644:E645"/>
    <mergeCell ref="C646:C647"/>
    <mergeCell ref="D646:D647"/>
    <mergeCell ref="E646:E647"/>
    <mergeCell ref="C675:C676"/>
    <mergeCell ref="D675:D676"/>
    <mergeCell ref="E675:E676"/>
    <mergeCell ref="C679:C680"/>
    <mergeCell ref="D679:D680"/>
    <mergeCell ref="E679:E680"/>
    <mergeCell ref="C670:C671"/>
    <mergeCell ref="D670:D671"/>
    <mergeCell ref="E670:E671"/>
    <mergeCell ref="C672:C673"/>
    <mergeCell ref="D672:D673"/>
    <mergeCell ref="E672:E673"/>
    <mergeCell ref="C663:C664"/>
    <mergeCell ref="D663:D664"/>
    <mergeCell ref="E663:E664"/>
    <mergeCell ref="C665:C666"/>
    <mergeCell ref="D665:D666"/>
    <mergeCell ref="E665:E666"/>
    <mergeCell ref="C695:C696"/>
    <mergeCell ref="D695:D696"/>
    <mergeCell ref="E695:E696"/>
    <mergeCell ref="C698:C699"/>
    <mergeCell ref="D698:D699"/>
    <mergeCell ref="E698:E699"/>
    <mergeCell ref="C689:C690"/>
    <mergeCell ref="D689:D690"/>
    <mergeCell ref="E689:E690"/>
    <mergeCell ref="C693:C694"/>
    <mergeCell ref="D693:D694"/>
    <mergeCell ref="E693:E694"/>
    <mergeCell ref="C683:C684"/>
    <mergeCell ref="D683:D684"/>
    <mergeCell ref="E683:E684"/>
    <mergeCell ref="C686:C687"/>
    <mergeCell ref="D686:D687"/>
    <mergeCell ref="E686:E687"/>
    <mergeCell ref="C717:C718"/>
    <mergeCell ref="D717:D718"/>
    <mergeCell ref="E717:E718"/>
    <mergeCell ref="C719:C720"/>
    <mergeCell ref="D719:D720"/>
    <mergeCell ref="E719:E720"/>
    <mergeCell ref="C710:C711"/>
    <mergeCell ref="D710:D711"/>
    <mergeCell ref="E710:E711"/>
    <mergeCell ref="C712:C713"/>
    <mergeCell ref="D712:D713"/>
    <mergeCell ref="E712:E713"/>
    <mergeCell ref="C706:C707"/>
    <mergeCell ref="D706:D707"/>
    <mergeCell ref="E706:E707"/>
    <mergeCell ref="C708:C709"/>
    <mergeCell ref="D708:D709"/>
    <mergeCell ref="E708:E709"/>
    <mergeCell ref="C734:C735"/>
    <mergeCell ref="D734:D735"/>
    <mergeCell ref="E734:E735"/>
    <mergeCell ref="C736:C737"/>
    <mergeCell ref="D736:D737"/>
    <mergeCell ref="E736:E737"/>
    <mergeCell ref="C726:C727"/>
    <mergeCell ref="D726:D727"/>
    <mergeCell ref="E726:E727"/>
    <mergeCell ref="C731:C732"/>
    <mergeCell ref="D731:D732"/>
    <mergeCell ref="E731:E732"/>
    <mergeCell ref="C721:C722"/>
    <mergeCell ref="D721:D722"/>
    <mergeCell ref="E721:E722"/>
    <mergeCell ref="C723:C724"/>
    <mergeCell ref="D723:D724"/>
    <mergeCell ref="E723:E724"/>
    <mergeCell ref="C750:C751"/>
    <mergeCell ref="D750:D751"/>
    <mergeCell ref="E750:E751"/>
    <mergeCell ref="C752:C753"/>
    <mergeCell ref="D752:D753"/>
    <mergeCell ref="E752:E753"/>
    <mergeCell ref="C744:C745"/>
    <mergeCell ref="D744:D745"/>
    <mergeCell ref="E744:E745"/>
    <mergeCell ref="C747:C748"/>
    <mergeCell ref="D747:D748"/>
    <mergeCell ref="E747:E748"/>
    <mergeCell ref="C739:C740"/>
    <mergeCell ref="D739:D740"/>
    <mergeCell ref="E739:E740"/>
    <mergeCell ref="C741:C742"/>
    <mergeCell ref="D741:D742"/>
    <mergeCell ref="E741:E742"/>
    <mergeCell ref="C778:C779"/>
    <mergeCell ref="D778:D779"/>
    <mergeCell ref="E778:E779"/>
    <mergeCell ref="C784:C785"/>
    <mergeCell ref="D784:D785"/>
    <mergeCell ref="E784:E785"/>
    <mergeCell ref="C767:C768"/>
    <mergeCell ref="D767:D768"/>
    <mergeCell ref="E767:E768"/>
    <mergeCell ref="C775:C776"/>
    <mergeCell ref="D775:D776"/>
    <mergeCell ref="E775:E776"/>
    <mergeCell ref="C755:C756"/>
    <mergeCell ref="D755:D756"/>
    <mergeCell ref="E755:E756"/>
    <mergeCell ref="C759:C760"/>
    <mergeCell ref="D759:D760"/>
    <mergeCell ref="E759:E760"/>
    <mergeCell ref="C805:C806"/>
    <mergeCell ref="D805:D806"/>
    <mergeCell ref="E805:E806"/>
    <mergeCell ref="C809:C810"/>
    <mergeCell ref="D809:D810"/>
    <mergeCell ref="E809:E810"/>
    <mergeCell ref="C793:C794"/>
    <mergeCell ref="D793:D794"/>
    <mergeCell ref="E793:E794"/>
    <mergeCell ref="C797:C798"/>
    <mergeCell ref="D797:D798"/>
    <mergeCell ref="E797:E798"/>
    <mergeCell ref="C786:C787"/>
    <mergeCell ref="D786:D787"/>
    <mergeCell ref="E786:E787"/>
    <mergeCell ref="C791:C792"/>
    <mergeCell ref="D791:D792"/>
    <mergeCell ref="E791:E792"/>
    <mergeCell ref="C822:C823"/>
    <mergeCell ref="D822:D823"/>
    <mergeCell ref="E822:E823"/>
    <mergeCell ref="C827:C828"/>
    <mergeCell ref="D827:D828"/>
    <mergeCell ref="E827:E828"/>
    <mergeCell ref="C816:C817"/>
    <mergeCell ref="D816:D817"/>
    <mergeCell ref="E816:E817"/>
    <mergeCell ref="C819:C820"/>
    <mergeCell ref="D819:D820"/>
    <mergeCell ref="E819:E820"/>
    <mergeCell ref="C811:C812"/>
    <mergeCell ref="D811:D812"/>
    <mergeCell ref="E811:E812"/>
    <mergeCell ref="C814:C815"/>
    <mergeCell ref="D814:D815"/>
    <mergeCell ref="E814:E815"/>
    <mergeCell ref="C839:C840"/>
    <mergeCell ref="D839:D840"/>
    <mergeCell ref="E839:E840"/>
    <mergeCell ref="C841:C842"/>
    <mergeCell ref="D841:D842"/>
    <mergeCell ref="E841:E842"/>
    <mergeCell ref="C835:C836"/>
    <mergeCell ref="D835:D836"/>
    <mergeCell ref="E835:E836"/>
    <mergeCell ref="C837:C838"/>
    <mergeCell ref="D837:D838"/>
    <mergeCell ref="E837:E838"/>
    <mergeCell ref="C831:C832"/>
    <mergeCell ref="D831:D832"/>
    <mergeCell ref="E831:E832"/>
    <mergeCell ref="C833:C834"/>
    <mergeCell ref="D833:D834"/>
    <mergeCell ref="E833:E834"/>
    <mergeCell ref="C854:C855"/>
    <mergeCell ref="D854:D855"/>
    <mergeCell ref="E854:E855"/>
    <mergeCell ref="C856:C857"/>
    <mergeCell ref="D856:D857"/>
    <mergeCell ref="E856:E857"/>
    <mergeCell ref="C850:C851"/>
    <mergeCell ref="D850:D851"/>
    <mergeCell ref="E850:E851"/>
    <mergeCell ref="C852:C853"/>
    <mergeCell ref="D852:D853"/>
    <mergeCell ref="E852:E853"/>
    <mergeCell ref="C843:C844"/>
    <mergeCell ref="D843:D844"/>
    <mergeCell ref="E843:E844"/>
    <mergeCell ref="C846:C847"/>
    <mergeCell ref="D846:D847"/>
    <mergeCell ref="E846:E847"/>
    <mergeCell ref="C867:C868"/>
    <mergeCell ref="D867:D868"/>
    <mergeCell ref="E867:E868"/>
    <mergeCell ref="C870:C871"/>
    <mergeCell ref="D870:D871"/>
    <mergeCell ref="E870:E871"/>
    <mergeCell ref="C862:C863"/>
    <mergeCell ref="D862:D863"/>
    <mergeCell ref="E862:E863"/>
    <mergeCell ref="C865:C866"/>
    <mergeCell ref="D865:D866"/>
    <mergeCell ref="E865:E866"/>
    <mergeCell ref="C858:C859"/>
    <mergeCell ref="D858:D859"/>
    <mergeCell ref="E858:E859"/>
    <mergeCell ref="C860:C861"/>
    <mergeCell ref="D860:D861"/>
    <mergeCell ref="E860:E861"/>
    <mergeCell ref="C888:C889"/>
    <mergeCell ref="D888:D889"/>
    <mergeCell ref="E888:E889"/>
    <mergeCell ref="C890:C891"/>
    <mergeCell ref="D890:D891"/>
    <mergeCell ref="E890:E891"/>
    <mergeCell ref="C882:C883"/>
    <mergeCell ref="D882:D883"/>
    <mergeCell ref="E882:E883"/>
    <mergeCell ref="C884:C885"/>
    <mergeCell ref="D884:D885"/>
    <mergeCell ref="E884:E885"/>
    <mergeCell ref="C873:C874"/>
    <mergeCell ref="D873:D874"/>
    <mergeCell ref="E873:E874"/>
    <mergeCell ref="C879:C880"/>
    <mergeCell ref="D879:D880"/>
    <mergeCell ref="E879:E880"/>
    <mergeCell ref="C903:C904"/>
    <mergeCell ref="D903:D904"/>
    <mergeCell ref="E903:E904"/>
    <mergeCell ref="C911:C912"/>
    <mergeCell ref="D911:D912"/>
    <mergeCell ref="E911:E912"/>
    <mergeCell ref="C897:C898"/>
    <mergeCell ref="D897:D898"/>
    <mergeCell ref="E897:E898"/>
    <mergeCell ref="C900:C901"/>
    <mergeCell ref="D900:D901"/>
    <mergeCell ref="E900:E901"/>
    <mergeCell ref="C892:C893"/>
    <mergeCell ref="D892:D893"/>
    <mergeCell ref="E892:E893"/>
    <mergeCell ref="C895:C896"/>
    <mergeCell ref="D895:D896"/>
    <mergeCell ref="E895:E896"/>
    <mergeCell ref="C935:C936"/>
    <mergeCell ref="D935:D936"/>
    <mergeCell ref="E935:E936"/>
    <mergeCell ref="C937:C938"/>
    <mergeCell ref="D937:D938"/>
    <mergeCell ref="E937:E938"/>
    <mergeCell ref="C922:C923"/>
    <mergeCell ref="D922:D923"/>
    <mergeCell ref="E922:E923"/>
    <mergeCell ref="C930:C931"/>
    <mergeCell ref="D930:D931"/>
    <mergeCell ref="E930:E931"/>
    <mergeCell ref="C915:C916"/>
    <mergeCell ref="D915:D916"/>
    <mergeCell ref="E915:E916"/>
    <mergeCell ref="C917:C918"/>
    <mergeCell ref="D917:D918"/>
    <mergeCell ref="E917:E918"/>
    <mergeCell ref="C948:C949"/>
    <mergeCell ref="D948:D949"/>
    <mergeCell ref="E948:E949"/>
    <mergeCell ref="C950:C951"/>
    <mergeCell ref="D950:D951"/>
    <mergeCell ref="E950:E951"/>
    <mergeCell ref="C944:C945"/>
    <mergeCell ref="D944:D945"/>
    <mergeCell ref="E944:E945"/>
    <mergeCell ref="C946:C947"/>
    <mergeCell ref="D946:D947"/>
    <mergeCell ref="E946:E947"/>
    <mergeCell ref="C940:C941"/>
    <mergeCell ref="D940:D941"/>
    <mergeCell ref="E940:E941"/>
    <mergeCell ref="C942:C943"/>
    <mergeCell ref="D942:D943"/>
    <mergeCell ref="E942:E943"/>
    <mergeCell ref="C971:C972"/>
    <mergeCell ref="D971:D972"/>
    <mergeCell ref="E971:E972"/>
    <mergeCell ref="C973:C974"/>
    <mergeCell ref="D973:D974"/>
    <mergeCell ref="E973:E974"/>
    <mergeCell ref="C965:C966"/>
    <mergeCell ref="D965:D966"/>
    <mergeCell ref="E965:E966"/>
    <mergeCell ref="C967:C968"/>
    <mergeCell ref="D967:D968"/>
    <mergeCell ref="E967:E968"/>
    <mergeCell ref="C954:C955"/>
    <mergeCell ref="D954:D955"/>
    <mergeCell ref="E954:E955"/>
    <mergeCell ref="C960:C961"/>
    <mergeCell ref="D960:D961"/>
    <mergeCell ref="E960:E961"/>
    <mergeCell ref="C995:C996"/>
    <mergeCell ref="D995:D996"/>
    <mergeCell ref="E995:E996"/>
    <mergeCell ref="C1011:C1012"/>
    <mergeCell ref="D1011:D1012"/>
    <mergeCell ref="E1011:E1012"/>
    <mergeCell ref="C986:C987"/>
    <mergeCell ref="D986:D987"/>
    <mergeCell ref="E986:E987"/>
    <mergeCell ref="C988:C989"/>
    <mergeCell ref="D988:D989"/>
    <mergeCell ref="E988:E989"/>
    <mergeCell ref="C976:C977"/>
    <mergeCell ref="D976:D977"/>
    <mergeCell ref="E976:E977"/>
    <mergeCell ref="C979:C980"/>
    <mergeCell ref="D979:D980"/>
    <mergeCell ref="E979:E980"/>
    <mergeCell ref="C1026:C1027"/>
    <mergeCell ref="D1026:D1027"/>
    <mergeCell ref="E1026:E1027"/>
    <mergeCell ref="C1033:C1034"/>
    <mergeCell ref="D1033:D1034"/>
    <mergeCell ref="E1033:E1034"/>
    <mergeCell ref="C1020:C1021"/>
    <mergeCell ref="D1020:D1021"/>
    <mergeCell ref="E1020:E1021"/>
    <mergeCell ref="C1022:C1023"/>
    <mergeCell ref="D1022:D1023"/>
    <mergeCell ref="E1022:E1023"/>
    <mergeCell ref="C1013:C1014"/>
    <mergeCell ref="D1013:D1014"/>
    <mergeCell ref="E1013:E1014"/>
    <mergeCell ref="C1015:C1016"/>
    <mergeCell ref="D1015:D1016"/>
    <mergeCell ref="E1015:E1016"/>
    <mergeCell ref="C1049:C1050"/>
    <mergeCell ref="D1049:D1050"/>
    <mergeCell ref="E1049:E1050"/>
    <mergeCell ref="C1052:C1053"/>
    <mergeCell ref="D1052:D1053"/>
    <mergeCell ref="E1052:E1053"/>
    <mergeCell ref="C1040:C1041"/>
    <mergeCell ref="D1040:D1041"/>
    <mergeCell ref="E1040:E1041"/>
    <mergeCell ref="C1045:C1046"/>
    <mergeCell ref="D1045:D1046"/>
    <mergeCell ref="E1045:E1046"/>
    <mergeCell ref="C1036:C1037"/>
    <mergeCell ref="D1036:D1037"/>
    <mergeCell ref="E1036:E1037"/>
    <mergeCell ref="C1038:C1039"/>
    <mergeCell ref="D1038:D1039"/>
    <mergeCell ref="E1038:E1039"/>
    <mergeCell ref="C1067:C1068"/>
    <mergeCell ref="D1067:D1068"/>
    <mergeCell ref="E1067:E1068"/>
    <mergeCell ref="C1069:C1070"/>
    <mergeCell ref="D1069:D1070"/>
    <mergeCell ref="E1069:E1070"/>
    <mergeCell ref="C1062:C1063"/>
    <mergeCell ref="D1062:D1063"/>
    <mergeCell ref="E1062:E1063"/>
    <mergeCell ref="C1064:C1065"/>
    <mergeCell ref="D1064:D1065"/>
    <mergeCell ref="E1064:E1065"/>
    <mergeCell ref="C1054:C1055"/>
    <mergeCell ref="D1054:D1055"/>
    <mergeCell ref="E1054:E1055"/>
    <mergeCell ref="C1056:C1057"/>
    <mergeCell ref="D1056:D1057"/>
    <mergeCell ref="E1056:E1057"/>
    <mergeCell ref="C1083:C1084"/>
    <mergeCell ref="D1083:D1084"/>
    <mergeCell ref="E1083:E1084"/>
    <mergeCell ref="C1086:C1087"/>
    <mergeCell ref="D1086:D1087"/>
    <mergeCell ref="E1086:E1087"/>
    <mergeCell ref="C1079:C1080"/>
    <mergeCell ref="D1079:D1080"/>
    <mergeCell ref="E1079:E1080"/>
    <mergeCell ref="C1081:C1082"/>
    <mergeCell ref="D1081:D1082"/>
    <mergeCell ref="E1081:E1082"/>
    <mergeCell ref="C1071:C1072"/>
    <mergeCell ref="D1071:D1072"/>
    <mergeCell ref="E1071:E1072"/>
    <mergeCell ref="C1073:C1074"/>
    <mergeCell ref="D1073:D1074"/>
    <mergeCell ref="E1073:E1074"/>
    <mergeCell ref="C1105:C1106"/>
    <mergeCell ref="D1105:D1106"/>
    <mergeCell ref="E1105:E1106"/>
    <mergeCell ref="C1111:C1112"/>
    <mergeCell ref="D1111:D1112"/>
    <mergeCell ref="E1111:E1112"/>
    <mergeCell ref="C1099:C1100"/>
    <mergeCell ref="D1099:D1100"/>
    <mergeCell ref="E1099:E1100"/>
    <mergeCell ref="C1103:C1104"/>
    <mergeCell ref="D1103:D1104"/>
    <mergeCell ref="E1103:E1104"/>
    <mergeCell ref="C1089:C1090"/>
    <mergeCell ref="D1089:D1090"/>
    <mergeCell ref="E1089:E1090"/>
    <mergeCell ref="C1094:C1095"/>
    <mergeCell ref="D1094:D1095"/>
    <mergeCell ref="E1094:E1095"/>
    <mergeCell ref="C1137:C1138"/>
    <mergeCell ref="D1137:D1138"/>
    <mergeCell ref="E1137:E1138"/>
    <mergeCell ref="C1139:C1140"/>
    <mergeCell ref="D1139:D1140"/>
    <mergeCell ref="E1139:E1140"/>
    <mergeCell ref="C1126:C1127"/>
    <mergeCell ref="D1126:D1127"/>
    <mergeCell ref="E1126:E1127"/>
    <mergeCell ref="C1129:C1130"/>
    <mergeCell ref="D1129:D1130"/>
    <mergeCell ref="E1129:E1130"/>
    <mergeCell ref="C1113:C1114"/>
    <mergeCell ref="D1113:D1114"/>
    <mergeCell ref="E1113:E1114"/>
    <mergeCell ref="C1120:C1121"/>
    <mergeCell ref="D1120:D1121"/>
    <mergeCell ref="E1120:E1121"/>
    <mergeCell ref="C1159:C1160"/>
    <mergeCell ref="D1159:D1160"/>
    <mergeCell ref="E1159:E1160"/>
    <mergeCell ref="C1161:C1162"/>
    <mergeCell ref="D1161:D1162"/>
    <mergeCell ref="E1161:E1162"/>
    <mergeCell ref="C1152:C1153"/>
    <mergeCell ref="D1152:D1153"/>
    <mergeCell ref="E1152:E1153"/>
    <mergeCell ref="C1154:C1155"/>
    <mergeCell ref="D1154:D1155"/>
    <mergeCell ref="E1154:E1155"/>
    <mergeCell ref="C1141:C1142"/>
    <mergeCell ref="D1141:D1142"/>
    <mergeCell ref="E1141:E1142"/>
    <mergeCell ref="C1146:C1147"/>
    <mergeCell ref="D1146:D1147"/>
    <mergeCell ref="E1146:E1147"/>
    <mergeCell ref="C1184:C1185"/>
    <mergeCell ref="D1184:D1185"/>
    <mergeCell ref="E1184:E1185"/>
    <mergeCell ref="C1186:C1187"/>
    <mergeCell ref="D1186:D1187"/>
    <mergeCell ref="E1186:E1187"/>
    <mergeCell ref="C1170:C1171"/>
    <mergeCell ref="D1170:D1171"/>
    <mergeCell ref="E1170:E1171"/>
    <mergeCell ref="C1172:C1173"/>
    <mergeCell ref="D1172:D1173"/>
    <mergeCell ref="E1172:E1173"/>
    <mergeCell ref="C1163:C1164"/>
    <mergeCell ref="D1163:D1164"/>
    <mergeCell ref="E1163:E1164"/>
    <mergeCell ref="C1165:C1166"/>
    <mergeCell ref="D1165:D1166"/>
    <mergeCell ref="E1165:E1166"/>
    <mergeCell ref="C1200:C1201"/>
    <mergeCell ref="D1200:D1201"/>
    <mergeCell ref="E1200:E1201"/>
    <mergeCell ref="C1204:C1205"/>
    <mergeCell ref="D1204:D1205"/>
    <mergeCell ref="E1204:E1205"/>
    <mergeCell ref="C1194:C1195"/>
    <mergeCell ref="D1194:D1195"/>
    <mergeCell ref="E1194:E1195"/>
    <mergeCell ref="C1198:C1199"/>
    <mergeCell ref="D1198:D1199"/>
    <mergeCell ref="E1198:E1199"/>
    <mergeCell ref="C1189:C1190"/>
    <mergeCell ref="D1189:D1190"/>
    <mergeCell ref="E1189:E1190"/>
    <mergeCell ref="C1192:C1193"/>
    <mergeCell ref="D1192:D1193"/>
    <mergeCell ref="E1192:E1193"/>
    <mergeCell ref="C1228:C1229"/>
    <mergeCell ref="D1228:D1229"/>
    <mergeCell ref="E1228:E1229"/>
    <mergeCell ref="C1232:C1233"/>
    <mergeCell ref="D1232:D1233"/>
    <mergeCell ref="E1232:E1233"/>
    <mergeCell ref="C1220:C1221"/>
    <mergeCell ref="D1220:D1221"/>
    <mergeCell ref="E1220:E1221"/>
    <mergeCell ref="C1222:C1223"/>
    <mergeCell ref="D1222:D1223"/>
    <mergeCell ref="E1222:E1223"/>
    <mergeCell ref="C1210:C1211"/>
    <mergeCell ref="D1210:D1211"/>
    <mergeCell ref="E1210:E1211"/>
    <mergeCell ref="C1212:C1213"/>
    <mergeCell ref="D1212:D1213"/>
    <mergeCell ref="E1212:E1213"/>
    <mergeCell ref="C1245:C1246"/>
    <mergeCell ref="D1245:D1246"/>
    <mergeCell ref="E1245:E1246"/>
    <mergeCell ref="C1248:C1249"/>
    <mergeCell ref="D1248:D1249"/>
    <mergeCell ref="E1248:E1249"/>
    <mergeCell ref="C1240:C1241"/>
    <mergeCell ref="D1240:D1241"/>
    <mergeCell ref="E1240:E1241"/>
    <mergeCell ref="C1243:C1244"/>
    <mergeCell ref="D1243:D1244"/>
    <mergeCell ref="E1243:E1244"/>
    <mergeCell ref="C1236:C1237"/>
    <mergeCell ref="D1236:D1237"/>
    <mergeCell ref="E1236:E1237"/>
    <mergeCell ref="C1238:C1239"/>
    <mergeCell ref="D1238:D1239"/>
    <mergeCell ref="E1238:E1239"/>
    <mergeCell ref="C1265:C1266"/>
    <mergeCell ref="D1265:D1266"/>
    <mergeCell ref="E1265:E1266"/>
    <mergeCell ref="C1267:C1268"/>
    <mergeCell ref="D1267:D1268"/>
    <mergeCell ref="E1267:E1268"/>
    <mergeCell ref="C1256:C1257"/>
    <mergeCell ref="D1256:D1257"/>
    <mergeCell ref="E1256:E1257"/>
    <mergeCell ref="C1263:C1264"/>
    <mergeCell ref="D1263:D1264"/>
    <mergeCell ref="E1263:E1264"/>
    <mergeCell ref="C1250:C1251"/>
    <mergeCell ref="D1250:D1251"/>
    <mergeCell ref="E1250:E1251"/>
    <mergeCell ref="C1253:C1254"/>
    <mergeCell ref="D1253:D1254"/>
    <mergeCell ref="E1253:E1254"/>
    <mergeCell ref="C1295:C1296"/>
    <mergeCell ref="D1295:D1296"/>
    <mergeCell ref="E1295:E1296"/>
    <mergeCell ref="C1297:C1298"/>
    <mergeCell ref="D1297:D1298"/>
    <mergeCell ref="E1297:E1298"/>
    <mergeCell ref="C1287:C1288"/>
    <mergeCell ref="D1287:D1288"/>
    <mergeCell ref="E1287:E1288"/>
    <mergeCell ref="C1290:C1291"/>
    <mergeCell ref="D1290:D1291"/>
    <mergeCell ref="E1290:E1291"/>
    <mergeCell ref="C1272:C1273"/>
    <mergeCell ref="D1272:D1273"/>
    <mergeCell ref="E1272:E1273"/>
    <mergeCell ref="C1277:C1278"/>
    <mergeCell ref="D1277:D1278"/>
    <mergeCell ref="E1277:E1278"/>
    <mergeCell ref="C1311:C1312"/>
    <mergeCell ref="D1311:D1312"/>
    <mergeCell ref="E1311:E1312"/>
    <mergeCell ref="C1314:C1315"/>
    <mergeCell ref="D1314:D1315"/>
    <mergeCell ref="E1314:E1315"/>
    <mergeCell ref="C1304:C1305"/>
    <mergeCell ref="D1304:D1305"/>
    <mergeCell ref="E1304:E1305"/>
    <mergeCell ref="C1309:C1310"/>
    <mergeCell ref="D1309:D1310"/>
    <mergeCell ref="E1309:E1310"/>
    <mergeCell ref="C1299:C1300"/>
    <mergeCell ref="D1299:D1300"/>
    <mergeCell ref="E1299:E1300"/>
    <mergeCell ref="C1302:C1303"/>
    <mergeCell ref="D1302:D1303"/>
    <mergeCell ref="E1302:E1303"/>
    <mergeCell ref="C1326:C1327"/>
    <mergeCell ref="D1326:D1327"/>
    <mergeCell ref="E1326:E1327"/>
    <mergeCell ref="C1328:C1329"/>
    <mergeCell ref="D1328:D1329"/>
    <mergeCell ref="E1328:E1329"/>
    <mergeCell ref="C1322:C1323"/>
    <mergeCell ref="D1322:D1323"/>
    <mergeCell ref="E1322:E1323"/>
    <mergeCell ref="C1324:C1325"/>
    <mergeCell ref="D1324:D1325"/>
    <mergeCell ref="E1324:E1325"/>
    <mergeCell ref="C1316:C1317"/>
    <mergeCell ref="D1316:D1317"/>
    <mergeCell ref="E1316:E1317"/>
    <mergeCell ref="C1320:C1321"/>
    <mergeCell ref="D1320:D1321"/>
    <mergeCell ref="E1320:E1321"/>
    <mergeCell ref="C1347:C1348"/>
    <mergeCell ref="D1347:D1348"/>
    <mergeCell ref="E1347:E1348"/>
    <mergeCell ref="C1350:C1351"/>
    <mergeCell ref="D1350:D1351"/>
    <mergeCell ref="E1350:E1351"/>
    <mergeCell ref="C1340:C1341"/>
    <mergeCell ref="D1340:D1341"/>
    <mergeCell ref="E1340:E1341"/>
    <mergeCell ref="C1343:C1344"/>
    <mergeCell ref="D1343:D1344"/>
    <mergeCell ref="E1343:E1344"/>
    <mergeCell ref="C1334:C1335"/>
    <mergeCell ref="D1334:D1335"/>
    <mergeCell ref="E1334:E1335"/>
    <mergeCell ref="C1337:C1338"/>
    <mergeCell ref="D1337:D1338"/>
    <mergeCell ref="E1337:E1338"/>
    <mergeCell ref="C1365:C1366"/>
    <mergeCell ref="D1365:D1366"/>
    <mergeCell ref="E1365:E1366"/>
    <mergeCell ref="C1367:C1368"/>
    <mergeCell ref="D1367:D1368"/>
    <mergeCell ref="E1367:E1368"/>
    <mergeCell ref="C1361:C1362"/>
    <mergeCell ref="D1361:D1362"/>
    <mergeCell ref="E1361:E1362"/>
    <mergeCell ref="C1363:C1364"/>
    <mergeCell ref="D1363:D1364"/>
    <mergeCell ref="E1363:E1364"/>
    <mergeCell ref="C1355:C1356"/>
    <mergeCell ref="D1355:D1356"/>
    <mergeCell ref="E1355:E1356"/>
    <mergeCell ref="C1358:C1359"/>
    <mergeCell ref="D1358:D1359"/>
    <mergeCell ref="E1358:E1359"/>
    <mergeCell ref="C1392:C1393"/>
    <mergeCell ref="D1392:D1393"/>
    <mergeCell ref="E1392:E1393"/>
    <mergeCell ref="C1394:C1395"/>
    <mergeCell ref="D1394:D1395"/>
    <mergeCell ref="E1394:E1395"/>
    <mergeCell ref="C1388:C1389"/>
    <mergeCell ref="D1388:D1389"/>
    <mergeCell ref="E1388:E1389"/>
    <mergeCell ref="C1390:C1391"/>
    <mergeCell ref="D1390:D1391"/>
    <mergeCell ref="E1390:E1391"/>
    <mergeCell ref="C1372:C1373"/>
    <mergeCell ref="D1372:D1373"/>
    <mergeCell ref="E1372:E1373"/>
    <mergeCell ref="C1384:C1385"/>
    <mergeCell ref="D1384:D1385"/>
    <mergeCell ref="E1384:E1385"/>
    <mergeCell ref="C1455:C1456"/>
    <mergeCell ref="D1455:D1456"/>
    <mergeCell ref="E1455:E1456"/>
    <mergeCell ref="C1457:C1458"/>
    <mergeCell ref="D1457:D1458"/>
    <mergeCell ref="E1457:E1458"/>
    <mergeCell ref="C1402:C1403"/>
    <mergeCell ref="D1402:D1403"/>
    <mergeCell ref="E1402:E1403"/>
    <mergeCell ref="C1453:C1454"/>
    <mergeCell ref="D1453:D1454"/>
    <mergeCell ref="E1453:E1454"/>
    <mergeCell ref="C1396:C1397"/>
    <mergeCell ref="D1396:D1397"/>
    <mergeCell ref="E1396:E1397"/>
    <mergeCell ref="C1399:C1400"/>
    <mergeCell ref="D1399:D1400"/>
    <mergeCell ref="E1399:E1400"/>
    <mergeCell ref="C1475:C1476"/>
    <mergeCell ref="D1475:D1476"/>
    <mergeCell ref="E1475:E1476"/>
    <mergeCell ref="C1482:C1483"/>
    <mergeCell ref="D1482:D1483"/>
    <mergeCell ref="E1482:E1483"/>
    <mergeCell ref="C1464:C1465"/>
    <mergeCell ref="D1464:D1465"/>
    <mergeCell ref="E1464:E1465"/>
    <mergeCell ref="C1466:C1467"/>
    <mergeCell ref="D1466:D1467"/>
    <mergeCell ref="E1466:E1467"/>
    <mergeCell ref="C1459:C1460"/>
    <mergeCell ref="D1459:D1460"/>
    <mergeCell ref="E1459:E1460"/>
    <mergeCell ref="C1461:C1462"/>
    <mergeCell ref="D1461:D1462"/>
    <mergeCell ref="E1461:E1462"/>
    <mergeCell ref="C1512:C1513"/>
    <mergeCell ref="D1512:D1513"/>
    <mergeCell ref="E1512:E1513"/>
    <mergeCell ref="C1514:C1515"/>
    <mergeCell ref="D1514:D1515"/>
    <mergeCell ref="E1514:E1515"/>
    <mergeCell ref="C1497:C1498"/>
    <mergeCell ref="D1497:D1498"/>
    <mergeCell ref="E1497:E1498"/>
    <mergeCell ref="C1508:C1509"/>
    <mergeCell ref="D1508:D1509"/>
    <mergeCell ref="E1508:E1509"/>
    <mergeCell ref="C1488:C1489"/>
    <mergeCell ref="D1488:D1489"/>
    <mergeCell ref="E1488:E1489"/>
    <mergeCell ref="C1494:C1495"/>
    <mergeCell ref="D1494:D1495"/>
    <mergeCell ref="E1494:E1495"/>
    <mergeCell ref="C1536:C1537"/>
    <mergeCell ref="D1536:D1537"/>
    <mergeCell ref="E1536:E1537"/>
    <mergeCell ref="C1531:C1532"/>
    <mergeCell ref="D1531:D1532"/>
    <mergeCell ref="E1531:E1532"/>
    <mergeCell ref="C1533:C1534"/>
    <mergeCell ref="D1533:D1534"/>
    <mergeCell ref="E1533:E1534"/>
    <mergeCell ref="C1523:C1524"/>
    <mergeCell ref="D1523:D1524"/>
    <mergeCell ref="E1523:E1524"/>
    <mergeCell ref="C1527:C1528"/>
    <mergeCell ref="D1527:D1528"/>
    <mergeCell ref="E1527:E1528"/>
    <mergeCell ref="C1517:C1518"/>
    <mergeCell ref="D1517:D1518"/>
    <mergeCell ref="E1517:E1518"/>
    <mergeCell ref="C1519:C1520"/>
    <mergeCell ref="D1519:D1520"/>
    <mergeCell ref="E1519:E1520"/>
  </mergeCells>
  <phoneticPr fontId="4" type="noConversion"/>
  <hyperlinks>
    <hyperlink ref="F3" r:id="rId1" display="src/env_17.0/src/openupgrade/openupgrade_scripts/scripts/account/17.0.1.2/upgrade_analysis.txt" xr:uid="{D51B60DD-13D3-4D99-BC80-B96F1AFDE9B0}"/>
    <hyperlink ref="F6" r:id="rId2" display="src/env_17.0/src/openupgrade/openupgrade_scripts/scripts/account_debit_note/17.0.1.0/upgrade_analysis.txt" xr:uid="{5B7D9D6B-2A44-4466-8596-8AE3E707A5D3}"/>
    <hyperlink ref="F8" r:id="rId3" display="src/env_17.0/src/openupgrade/openupgrade_scripts/scripts/account_edi/17.0.1.0/upgrade_analysis.txt" xr:uid="{2E2A0E7B-477D-4BFF-83CE-65BFA51BEBDD}"/>
    <hyperlink ref="F10" r:id="rId4" display="src/env_17.0/src/openupgrade/openupgrade_scripts/scripts/account_edi_proxy_client/17.0.1.0/upgrade_analysis.txt" xr:uid="{3E48D2B5-E476-45E0-8A60-8942D8F11BAF}"/>
    <hyperlink ref="F12" r:id="rId5" display="src/env_17.0/src/openupgrade/openupgrade_scripts/scripts/account_edi_ubl_cii/17.0.1.0/upgrade_analysis.txt" xr:uid="{5A97D49D-F324-40D2-8877-10E88616B176}"/>
    <hyperlink ref="F17" r:id="rId6" display="src/env_17.0/src/openupgrade/openupgrade_scripts/scripts/account_payment/17.0.2.0/upgrade_analysis.txt" xr:uid="{DEF8FA6B-9BAE-4F94-A472-5AA07AA96986}"/>
    <hyperlink ref="F22" r:id="rId7" display="src/env_17.0/src/openupgrade/openupgrade_scripts/scripts/account_tax_python/17.0.1.0/upgrade_analysis.txt" xr:uid="{65B3E406-8467-4035-BCBB-7699E3A4F5CE}"/>
    <hyperlink ref="F26" r:id="rId8" display="src/env_17.0/src/openupgrade/openupgrade_scripts/scripts/analytic/17.0.1.2/upgrade_analysis.txt" xr:uid="{6F2962B4-83AB-4EE5-AFD0-191A5CF6E702}"/>
    <hyperlink ref="F35" r:id="rId9" display="src/env_17.0/src/openupgrade/openupgrade_scripts/scripts/auth_signup/17.0.1.0/upgrade_analysis.txt" xr:uid="{BAE2F4E1-CCF6-46E7-80C9-9470F598960D}"/>
    <hyperlink ref="F38" r:id="rId10" display="src/env_17.0/src/openupgrade/openupgrade_scripts/scripts/auth_totp_mail/17.0.1.0/upgrade_analysis.txt" xr:uid="{5168A124-34AE-436C-9226-CFA8B6545BDF}"/>
    <hyperlink ref="F44" r:id="rId11" display="src/env_17.0/src/openupgrade/openupgrade_scripts/scripts/base_address_extended/17.0.1.1/upgrade_analysis.txt" xr:uid="{959A4848-12B3-415C-9E38-0262DA7D4463}"/>
    <hyperlink ref="F46" r:id="rId12" display="src/env_17.0/src/openupgrade/openupgrade_scripts/scripts/base_automation/17.0.1.0/upgrade_analysis.txt" xr:uid="{7607A944-0E2B-4F33-B230-F40BCCDFF1FF}"/>
    <hyperlink ref="F48" r:id="rId13" display="src/env_17.0/src/openupgrade/openupgrade_scripts/scripts/base_geolocalize/17.0.2.1/upgrade_analysis.txt" xr:uid="{0F33DC9B-FF7F-4B28-98EF-7A33A4B6ECEA}"/>
    <hyperlink ref="F51" r:id="rId14" display="src/env_17.0/src/openupgrade/openupgrade_scripts/scripts/base_import/17.0.2.0/upgrade_analysis.txt" xr:uid="{0E5DF062-1164-4776-9547-36BB3EA995B6}"/>
    <hyperlink ref="F53" r:id="rId15" display="src/env_17.0/src/openupgrade/openupgrade_scripts/scripts/base_import_module/17.0.1.0/upgrade_analysis.txt" xr:uid="{76EDAC43-1888-400E-8A73-93BD4C4EB736}"/>
    <hyperlink ref="F58" r:id="rId16" display="src/env_17.0/src/openupgrade/openupgrade_scripts/scripts/base_vat/17.0.1.0/upgrade_analysis.txt" xr:uid="{2631DFC1-6A4E-4B72-8030-3E49C1526877}"/>
    <hyperlink ref="F62" r:id="rId17" display="src/env_17.0/src/openupgrade/openupgrade_scripts/scripts/calendar/17.0.1.1/upgrade_analysis.txt" xr:uid="{68356931-ECF2-42AD-9F29-BD77B8A2774F}"/>
    <hyperlink ref="F64" r:id="rId18" display="src/env_17.0/src/openupgrade/openupgrade_scripts/scripts/calendar_sms/17.0.1.1/upgrade_analysis.txt" xr:uid="{81FA685C-49FD-435F-A7F8-2FFAE9242A93}"/>
    <hyperlink ref="F67" r:id="rId19" display="src/env_17.0/src/openupgrade/openupgrade_scripts/scripts/crm/17.0.1.8/upgrade_analysis.txt" xr:uid="{30D8A2D2-9F5F-4262-84DA-F2DB11327C16}"/>
    <hyperlink ref="F70" r:id="rId20" display="src/env_17.0/src/openupgrade/openupgrade_scripts/scripts/crm_iap_mine/17.0.1.2/upgrade_analysis.txt" xr:uid="{5CF1625A-3833-4A66-B793-0931E9FF513B}"/>
    <hyperlink ref="F74" r:id="rId21" display="src/env_17.0/src/openupgrade/openupgrade_scripts/scripts/crm_sms/17.0.1.1/upgrade_analysis.txt" xr:uid="{05858FEC-B026-4646-A8B0-43E2DF6AFB4D}"/>
    <hyperlink ref="F77" r:id="rId22" display="src/env_17.0/src/openupgrade/openupgrade_scripts/scripts/delivery/17.0.1.0/upgrade_analysis.txt" xr:uid="{BA2C037C-9AE0-4721-AA23-77A9F1603445}"/>
    <hyperlink ref="F81" r:id="rId23" display="src/env_17.0/src/openupgrade/openupgrade_scripts/scripts/digest/17.0.1.1/upgrade_analysis.txt" xr:uid="{8BB17D60-C741-4F9A-AECD-4E4240D981B8}"/>
    <hyperlink ref="F83" r:id="rId24" display="src/env_17.0/src/openupgrade/openupgrade_scripts/scripts/event/17.0.1.8/upgrade_analysis.txt" xr:uid="{D322B497-D959-4999-9CA0-19A422E687B6}"/>
    <hyperlink ref="F85" r:id="rId25" display="src/env_17.0/src/openupgrade/openupgrade_scripts/scripts/event_booth/17.0.1.1/upgrade_analysis.txt" xr:uid="{1E9B5371-9BD9-4828-89F7-37127D593F6F}"/>
    <hyperlink ref="F87" r:id="rId26" display="src/env_17.0/src/openupgrade/openupgrade_scripts/scripts/event_booth_sale/17.0.1.2/upgrade_analysis.txt" xr:uid="{58F99881-DA28-41D1-B74E-6EF0C07A0BFD}"/>
    <hyperlink ref="F91" r:id="rId27" display="src/env_17.0/src/openupgrade/openupgrade_scripts/scripts/event_sale/17.0.1.3/upgrade_analysis.txt" xr:uid="{F2FD02E9-61DA-4044-9E1E-203E89D0A7EC}"/>
    <hyperlink ref="F94" r:id="rId28" display="src/env_17.0/src/openupgrade/openupgrade_scripts/scripts/fleet/17.0.0.1/upgrade_analysis.txt" xr:uid="{15498128-EDA1-408E-A7D2-0A73FC9FF79F}"/>
    <hyperlink ref="F96" r:id="rId29" display="src/env_17.0/src/openupgrade/openupgrade_scripts/scripts/gamification/17.0.1.0/upgrade_analysis.txt" xr:uid="{3B3CCC57-C093-4E93-B7CC-B2C5B8B7D5EA}"/>
    <hyperlink ref="F100" r:id="rId30" display="src/env_17.0/src/openupgrade/openupgrade_scripts/scripts/google_calendar/17.0.1.0/upgrade_analysis.txt" xr:uid="{EE64EA90-2CDA-4B56-AE8D-110393390060}"/>
    <hyperlink ref="F102" r:id="rId31" display="src/env_17.0/src/openupgrade/openupgrade_scripts/scripts/google_gmail/17.0.1.2/upgrade_analysis.txt" xr:uid="{AB964045-71D7-4EF5-B5F0-574280571A1B}"/>
    <hyperlink ref="F105" r:id="rId32" display="src/env_17.0/src/openupgrade/openupgrade_scripts/scripts/hr/17.0.1.1/upgrade_analysis.txt" xr:uid="{C51C78E6-4610-411A-9C00-DDA4461CF645}"/>
    <hyperlink ref="F107" r:id="rId33" display="src/env_17.0/src/openupgrade/openupgrade_scripts/scripts/hr_attendance/17.0.2.0/upgrade_analysis.txt" xr:uid="{731FE896-B43E-43A2-8B76-4600D0A9F04D}"/>
    <hyperlink ref="F109" r:id="rId34" display="src/env_17.0/src/openupgrade/openupgrade_scripts/scripts/hr_contract/17.0.1.0/upgrade_analysis.txt" xr:uid="{6D8D5F01-1ED1-4F18-9582-75FD2BC8742E}"/>
    <hyperlink ref="F111" r:id="rId35" display="src/env_17.0/src/openupgrade/openupgrade_scripts/scripts/hr_expense/17.0.2.0/upgrade_analysis.txt" xr:uid="{87915796-35D4-4AFC-91E2-365B336DE7CD}"/>
    <hyperlink ref="F113" r:id="rId36" display="src/env_17.0/src/openupgrade/openupgrade_scripts/scripts/hr_fleet/17.0.1.0/upgrade_analysis.txt" xr:uid="{7E1480BF-6D13-4EFC-B9AA-9BF9C28BB1A1}"/>
    <hyperlink ref="F116" r:id="rId37" display="src/env_17.0/src/openupgrade/openupgrade_scripts/scripts/hr_holidays/17.0.1.6/upgrade_analysis.txt" xr:uid="{DFF2572D-B9EE-4A76-A75C-BB472D63EB89}"/>
    <hyperlink ref="F118" r:id="rId38" display="src/env_17.0/src/openupgrade/openupgrade_scripts/scripts/hr_holidays_attendance/17.0.1.0/upgrade_analysis.txt" xr:uid="{E3C40478-C541-4AB6-9D52-50B4B2870D00}"/>
    <hyperlink ref="F122" r:id="rId39" display="src/env_17.0/src/openupgrade/openupgrade_scripts/scripts/hr_org_chart/17.0.1.0/upgrade_analysis.txt" xr:uid="{47591159-9A3C-43CC-9AAF-99C73C066F9A}"/>
    <hyperlink ref="F125" r:id="rId40" display="src/env_17.0/src/openupgrade/openupgrade_scripts/scripts/hr_recruitment/17.0.1.1/upgrade_analysis.txt" xr:uid="{F105F358-258F-4912-B202-1DC46C194335}"/>
    <hyperlink ref="F127" r:id="rId41" display="src/env_17.0/src/openupgrade/openupgrade_scripts/scripts/hr_recruitment_skills/17.0.1.0/upgrade_analysis.txt" xr:uid="{C602DB1B-C2AD-4CB0-AB00-D72D6BE82EF3}"/>
    <hyperlink ref="F129" r:id="rId42" display="src/env_17.0/src/openupgrade/openupgrade_scripts/scripts/hr_recruitment_survey/17.0.1.0/upgrade_analysis.txt" xr:uid="{703490AE-621C-49E2-B930-2985C65F2BF9}"/>
    <hyperlink ref="F131" r:id="rId43" display="src/env_17.0/src/openupgrade/openupgrade_scripts/scripts/hr_skills/17.0.1.0/upgrade_analysis.txt" xr:uid="{9EE5A530-1624-4AE4-8946-C218F1CE50C4}"/>
    <hyperlink ref="F134" r:id="rId44" display="src/env_17.0/src/openupgrade/openupgrade_scripts/scripts/hr_skills_survey/17.0.1.0/upgrade_analysis.txt" xr:uid="{6B316ACE-8EA3-41CA-AD45-CBCC55D400F6}"/>
    <hyperlink ref="F136" r:id="rId45" display="src/env_17.0/src/openupgrade/openupgrade_scripts/scripts/hr_timesheet/17.0.1.0/upgrade_analysis.txt" xr:uid="{6B3046DB-43DF-431A-804D-5FA8C35EFEEB}"/>
    <hyperlink ref="F138" r:id="rId46" display="src/env_17.0/src/openupgrade/openupgrade_scripts/scripts/hr_timesheet_attendance/17.0.1.1/upgrade_analysis.txt" xr:uid="{CB0D18DF-16FE-4DC1-B65F-C3624CEBE50C}"/>
    <hyperlink ref="F140" r:id="rId47" display="src/env_17.0/src/openupgrade/openupgrade_scripts/scripts/hr_work_entry/17.0.1.0/upgrade_analysis.txt" xr:uid="{901C36C2-198A-4A1F-8190-0CF3D966CD5B}"/>
    <hyperlink ref="F143" r:id="rId48" display="src/env_17.0/src/openupgrade/openupgrade_scripts/scripts/hr_work_entry_holidays/17.0.1.0/upgrade_analysis.txt" xr:uid="{76DADCD0-17E8-4359-AEBE-8F2E367E2296}"/>
    <hyperlink ref="F149" r:id="rId49" display="src/env_17.0/src/openupgrade/openupgrade_scripts/scripts/iap/17.0.1.1/upgrade_analysis.txt" xr:uid="{39D30EF3-5741-4518-950B-5C0C01B75BD9}"/>
    <hyperlink ref="F153" r:id="rId50" display="src/env_17.0/src/openupgrade/openupgrade_scripts/scripts/im_livechat/17.0.1.0/upgrade_analysis.txt" xr:uid="{CD6E96F6-40C5-4A87-8ECA-EC492D5F33E9}"/>
    <hyperlink ref="F157" r:id="rId51" display="src/env_17.0/src/openupgrade/openupgrade_scripts/scripts/l10n_ae/17.0.1.0/upgrade_analysis.txt" xr:uid="{6B9F8CEC-E4E0-4673-BEF2-18BC7F4F5E58}"/>
    <hyperlink ref="F160" r:id="rId52" display="src/env_17.0/src/openupgrade/openupgrade_scripts/scripts/l10n_ar/17.0.3.6/upgrade_analysis.txt" xr:uid="{AB9F041D-B67C-4208-9B99-7947D94959E1}"/>
    <hyperlink ref="F163" r:id="rId53" display="src/env_17.0/src/openupgrade/openupgrade_scripts/scripts/l10n_at/17.0.3.2.1/upgrade_analysis.txt" xr:uid="{95BC0909-189B-4A4A-923D-29FBDAC48D2A}"/>
    <hyperlink ref="F165" r:id="rId54" display="src/env_17.0/src/openupgrade/openupgrade_scripts/scripts/l10n_au/17.0.1.1/upgrade_analysis.txt" xr:uid="{76D8EB4C-6204-4C4A-8640-3B9B545FB694}"/>
    <hyperlink ref="F167" r:id="rId55" display="src/env_17.0/src/openupgrade/openupgrade_scripts/scripts/l10n_be/17.0.2.0/upgrade_analysis.txt" xr:uid="{E0CAABF7-A08B-438F-9197-4A228872A9B9}"/>
    <hyperlink ref="F170" r:id="rId56" display="src/env_17.0/src/openupgrade/openupgrade_scripts/scripts/l10n_bg/17.0.1.0/upgrade_analysis.txt" xr:uid="{A3C2EB48-0492-4309-B24E-3A4CFDB94DED}"/>
    <hyperlink ref="F172" r:id="rId57" display="src/env_17.0/src/openupgrade/openupgrade_scripts/scripts/l10n_bo/17.0.2.0/upgrade_analysis.txt" xr:uid="{B7A18942-493D-4208-B048-F02BED4E7DC4}"/>
    <hyperlink ref="F174" r:id="rId58" display="src/env_17.0/src/openupgrade/openupgrade_scripts/scripts/l10n_br/17.0.1.0/upgrade_analysis.txt" xr:uid="{8FD09E0E-6252-441B-9001-5EC67EDA3D7E}"/>
    <hyperlink ref="F176" r:id="rId59" display="src/env_17.0/src/openupgrade/openupgrade_scripts/scripts/l10n_ca/17.0.1.0/upgrade_analysis.txt" xr:uid="{B1E1B3EA-477F-42B9-B40A-6DBA9F3D2315}"/>
    <hyperlink ref="F178" r:id="rId60" display="src/env_17.0/src/openupgrade/openupgrade_scripts/scripts/l10n_ch/17.0.11.3/upgrade_analysis.txt" xr:uid="{9D50ECA5-6C54-451E-B901-ACAA844913B9}"/>
    <hyperlink ref="F181" r:id="rId61" display="src/env_17.0/src/openupgrade/openupgrade_scripts/scripts/l10n_cl/17.0.3.0/upgrade_analysis.txt" xr:uid="{C87E353F-3E15-498C-BA1E-50FEA70FC3FD}"/>
    <hyperlink ref="F183" r:id="rId62" display="src/env_17.0/src/openupgrade/openupgrade_scripts/scripts/l10n_cn/17.0.1.8/upgrade_analysis.txt" xr:uid="{419BC5E4-A27E-4EEE-8E3C-2C0D2926ABAB}"/>
    <hyperlink ref="F186" r:id="rId63" display="src/env_17.0/src/openupgrade/openupgrade_scripts/scripts/l10n_co/17.0.0.9/upgrade_analysis.txt" xr:uid="{B454FFF0-5920-42CB-AAFC-4E03E082DFE0}"/>
    <hyperlink ref="F189" r:id="rId64" display="src/env_17.0/src/openupgrade/openupgrade_scripts/scripts/l10n_cr/17.0.1.0/upgrade_analysis.txt" xr:uid="{665E3E7D-6294-40FF-AFBB-6B3F595EB17C}"/>
    <hyperlink ref="F191" r:id="rId65" display="src/env_17.0/src/openupgrade/openupgrade_scripts/scripts/l10n_cz/17.0.1.1/upgrade_analysis.txt" xr:uid="{40605EF6-3A5B-46A6-9531-3E69D3444B67}"/>
    <hyperlink ref="F193" r:id="rId66" display="src/env_17.0/src/openupgrade/openupgrade_scripts/scripts/l10n_de/17.0.2.0/upgrade_analysis.txt" xr:uid="{0466F2C4-E281-461B-9919-EE41CBD81555}"/>
    <hyperlink ref="F197" r:id="rId67" display="src/env_17.0/src/openupgrade/openupgrade_scripts/scripts/l10n_din5008/17.0.1.0/upgrade_analysis.txt" xr:uid="{EE5F72BB-CF5B-475A-94EF-58165313BD1D}"/>
    <hyperlink ref="F200" r:id="rId68" display="src/env_17.0/src/openupgrade/openupgrade_scripts/scripts/l10n_din5008_repair/17.0.1.0/upgrade_analysis.txt" xr:uid="{F658599F-1F94-4F7A-8185-9FBACA29395C}"/>
    <hyperlink ref="F202" r:id="rId69" display="src/env_17.0/src/openupgrade/openupgrade_scripts/scripts/l10n_din5008_sale/17.0.1.0/upgrade_analysis.txt" xr:uid="{19F4BC67-D75B-41A7-BDB6-D146587432EC}"/>
    <hyperlink ref="F204" r:id="rId70" display="src/env_17.0/src/openupgrade/openupgrade_scripts/scripts/l10n_din5008_stock/17.0.1.0/upgrade_analysis.txt" xr:uid="{F89E4617-1067-425B-A6A5-72EFFF6AB580}"/>
    <hyperlink ref="F206" r:id="rId71" display="src/env_17.0/src/openupgrade/openupgrade_scripts/scripts/l10n_dk/17.0.1.3/upgrade_analysis.txt" xr:uid="{230C07DD-01C4-4980-94C0-AD2EC06C2A5C}"/>
    <hyperlink ref="F208" r:id="rId72" display="src/env_17.0/src/openupgrade/openupgrade_scripts/scripts/l10n_do/17.0.2.0/upgrade_analysis.txt" xr:uid="{E3D43A5C-9746-48FA-83A9-77C858A52CA5}"/>
    <hyperlink ref="F210" r:id="rId73" display="src/env_17.0/src/openupgrade/openupgrade_scripts/scripts/l10n_dz/17.0.1.0/upgrade_analysis.txt" xr:uid="{97DBE690-D328-4743-8AFF-44D15C8E70BF}"/>
    <hyperlink ref="F212" r:id="rId74" display="src/env_17.0/src/openupgrade/openupgrade_scripts/scripts/l10n_ec/17.0.3.9/upgrade_analysis.txt" xr:uid="{C719A712-167A-462A-B026-82DC1764E501}"/>
    <hyperlink ref="F215" r:id="rId75" display="src/env_17.0/src/openupgrade/openupgrade_scripts/scripts/l10n_ee/17.0.1.2/upgrade_analysis.txt" xr:uid="{69D745A6-C020-485D-913F-5FEF259A07DB}"/>
    <hyperlink ref="F217" r:id="rId76" display="src/env_17.0/src/openupgrade/openupgrade_scripts/scripts/l10n_eg/17.0.1.0/upgrade_analysis.txt" xr:uid="{E2AB8FD8-AB63-43BF-B47B-9D6E63C25652}"/>
    <hyperlink ref="F220" r:id="rId77" display="src/env_17.0/src/openupgrade/openupgrade_scripts/scripts/l10n_es/17.0.5.4/upgrade_analysis.txt" xr:uid="{5B340F74-BCDF-4791-97F6-420C7FF2D18B}"/>
    <hyperlink ref="F222" r:id="rId78" display="src/env_17.0/src/openupgrade/openupgrade_scripts/scripts/l10n_es_edi_sii/17.0.1.0/upgrade_analysis.txt" xr:uid="{1E7FA814-1CF3-4669-8330-55936AFE1C83}"/>
    <hyperlink ref="F225" r:id="rId79" display="src/env_17.0/src/openupgrade/openupgrade_scripts/scripts/l10n_et/17.0.2.0/upgrade_analysis.txt" xr:uid="{C99AE5F8-6CD8-4594-89A4-C2115F4C66C4}"/>
    <hyperlink ref="F228" r:id="rId80" display="src/env_17.0/src/openupgrade/openupgrade_scripts/scripts/l10n_fi/17.0.13.0.2/upgrade_analysis.txt" xr:uid="{E945B7A0-EDE5-443A-90A4-F02E5D9C114B}"/>
    <hyperlink ref="F231" r:id="rId81" display="src/env_17.0/src/openupgrade/openupgrade_scripts/scripts/l10n_fr/17.0.2.1/upgrade_analysis.txt" xr:uid="{53B668F5-9C1F-438F-AA80-2BE54DD5599F}"/>
    <hyperlink ref="F237" r:id="rId82" display="src/env_17.0/src/openupgrade/openupgrade_scripts/scripts/l10n_gcc_invoice/17.0.1.0.0/upgrade_analysis.txt" xr:uid="{6BD5A180-133E-4B8C-AD8A-7657BEE2F4CC}"/>
    <hyperlink ref="F242" r:id="rId83" display="src/env_17.0/src/openupgrade/openupgrade_scripts/scripts/l10n_gr/17.0.1.0/upgrade_analysis.txt" xr:uid="{47CB38E1-B8A1-479C-9F62-510282DB87DC}"/>
    <hyperlink ref="F244" r:id="rId84" display="src/env_17.0/src/openupgrade/openupgrade_scripts/scripts/l10n_gt/17.0.3.0/upgrade_analysis.txt" xr:uid="{CDF58F96-BA14-48CA-8A67-FFC3B79663F3}"/>
    <hyperlink ref="F246" r:id="rId85" display="src/env_17.0/src/openupgrade/openupgrade_scripts/scripts/l10n_hk/17.0.1.0/upgrade_analysis.txt" xr:uid="{A32194F6-BB3B-47C4-BCDB-10F1071DDA91}"/>
    <hyperlink ref="F248" r:id="rId86" display="src/env_17.0/src/openupgrade/openupgrade_scripts/scripts/l10n_hn/17.0.0.2/upgrade_analysis.txt" xr:uid="{BF46622E-DC01-45DF-BB0C-869A1376F4A1}"/>
    <hyperlink ref="F250" r:id="rId87" display="src/env_17.0/src/openupgrade/openupgrade_scripts/scripts/l10n_hr/17.0.13.0/upgrade_analysis.txt" xr:uid="{E5733C82-69A3-402D-9C82-0D712CDBD190}"/>
    <hyperlink ref="F253" r:id="rId88" display="src/env_17.0/src/openupgrade/openupgrade_scripts/scripts/l10n_hu/17.0.3.0/upgrade_analysis.txt" xr:uid="{4E481464-EC8C-420B-AC1C-1E7588F96363}"/>
    <hyperlink ref="F255" r:id="rId89" display="src/env_17.0/src/openupgrade/openupgrade_scripts/scripts/l10n_id/17.0.1.1/upgrade_analysis.txt" xr:uid="{24C873F5-2577-47AB-A7EF-72A7BD4F9B73}"/>
    <hyperlink ref="F258" r:id="rId90" display="src/env_17.0/src/openupgrade/openupgrade_scripts/scripts/l10n_ie/17.0.2.0/upgrade_analysis.txt" xr:uid="{2CE5EEBD-7262-4EB0-A3F7-75DEC91E0BDA}"/>
    <hyperlink ref="F260" r:id="rId91" display="src/env_17.0/src/openupgrade/openupgrade_scripts/scripts/l10n_il/17.0.1.1/upgrade_analysis.txt" xr:uid="{6C19D9E2-260D-4293-BA88-50BE5C9524E8}"/>
    <hyperlink ref="F262" r:id="rId92" display="src/env_17.0/src/openupgrade/openupgrade_scripts/scripts/l10n_in/17.0.2.0/upgrade_analysis.txt" xr:uid="{29C78627-5C62-4052-8C34-5F0A36DA99AB}"/>
    <hyperlink ref="F266" r:id="rId93" display="src/env_17.0/src/openupgrade/openupgrade_scripts/scripts/l10n_in_pos/17.0.1.0/upgrade_analysis.txt" xr:uid="{2EF5DF2F-FFE0-4B88-BFC7-B5798395C267}"/>
    <hyperlink ref="F268" r:id="rId94" display="src/env_17.0/src/openupgrade/openupgrade_scripts/scripts/l10n_in_purchase/17.0.1.0/upgrade_analysis.txt" xr:uid="{A6A04675-8617-4A34-94C9-742B924684CF}"/>
    <hyperlink ref="F270" r:id="rId95" display="src/env_17.0/src/openupgrade/openupgrade_scripts/scripts/l10n_in_purchase_stock/17.0.1.0/upgrade_analysis.txt" xr:uid="{3A2281E3-232C-410F-88F4-18424B33F38A}"/>
    <hyperlink ref="F272" r:id="rId96" display="src/env_17.0/src/openupgrade/openupgrade_scripts/scripts/l10n_in_sale/17.0.1.0/upgrade_analysis.txt" xr:uid="{EC157FB6-31AF-4DFC-91B0-3B1F300348F9}"/>
    <hyperlink ref="F274" r:id="rId97" display="src/env_17.0/src/openupgrade/openupgrade_scripts/scripts/l10n_in_sale_stock/17.0.0.1/upgrade_analysis.txt" xr:uid="{6F38332A-C5E3-453A-9E42-B93755D0A334}"/>
    <hyperlink ref="F279" r:id="rId98" display="src/env_17.0/src/openupgrade/openupgrade_scripts/scripts/l10n_it/17.0.0.7/upgrade_analysis.txt" xr:uid="{05296E6D-9605-4905-A58B-3037F4A76438}"/>
    <hyperlink ref="F281" r:id="rId99" display="src/env_17.0/src/openupgrade/openupgrade_scripts/scripts/l10n_it_edi/17.0.0.4/upgrade_analysis.txt" xr:uid="{E90FB7B7-CEFD-4C1F-9302-111B1396E84A}"/>
    <hyperlink ref="F283" r:id="rId100" display="src/env_17.0/src/openupgrade/openupgrade_scripts/scripts/l10n_it_edi_doi/17.0.0.1/upgrade_analysis.txt" xr:uid="{6156F665-3E68-4EA2-ADF3-1A65BEBAA90F}"/>
    <hyperlink ref="F287" r:id="rId101" display="src/env_17.0/src/openupgrade/openupgrade_scripts/scripts/l10n_it_edi_withholding/17.0.0.1/upgrade_analysis.txt" xr:uid="{2AB17AD0-8F27-4E63-BBA0-BF8AF221749B}"/>
    <hyperlink ref="F290" r:id="rId102" display="src/env_17.0/src/openupgrade/openupgrade_scripts/scripts/l10n_jp/17.0.2.3/upgrade_analysis.txt" xr:uid="{3F63008E-D22C-46EF-AB40-1A1D80970E7F}"/>
    <hyperlink ref="F292" r:id="rId103" display="src/env_17.0/src/openupgrade/openupgrade_scripts/scripts/l10n_ke/17.0.1.0/upgrade_analysis.txt" xr:uid="{A72DDF79-3725-4AE5-BEAB-860BB32B4C16}"/>
    <hyperlink ref="F294" r:id="rId104" display="src/env_17.0/src/openupgrade/openupgrade_scripts/scripts/l10n_ke_edi_tremol/17.0.1.0/upgrade_analysis.txt" xr:uid="{7B1F2230-2E8A-49E4-9175-908FD6C79D4C}"/>
    <hyperlink ref="F297" r:id="rId105" display="src/env_17.0/src/openupgrade/openupgrade_scripts/scripts/l10n_latam_base/17.0.1.0/upgrade_analysis.txt" xr:uid="{9DEB39B1-CBB4-4DB3-8678-55565E0ECD73}"/>
    <hyperlink ref="F300" r:id="rId106" display="src/env_17.0/src/openupgrade/openupgrade_scripts/scripts/l10n_latam_invoice_document/17.0.1.0/upgrade_analysis.txt" xr:uid="{C61F19CD-768E-4504-B901-2C9DD3C1616A}"/>
    <hyperlink ref="F302" r:id="rId107" display="src/env_17.0/src/openupgrade/openupgrade_scripts/scripts/l10n_lt/17.0.1.0.0/upgrade_analysis.txt" xr:uid="{303DF4FB-C2EC-4242-92DD-BF403B7B3CDA}"/>
    <hyperlink ref="F304" r:id="rId108" display="src/env_17.0/src/openupgrade/openupgrade_scripts/scripts/l10n_lu/17.0.2.2/upgrade_analysis.txt" xr:uid="{7327459A-A1A0-4168-B9D5-2715A833D538}"/>
    <hyperlink ref="F307" r:id="rId109" display="src/env_17.0/src/openupgrade/openupgrade_scripts/scripts/l10n_lv/17.0.1.0.0/upgrade_analysis.txt" xr:uid="{DF7FD5CC-F0CB-446E-ACB7-7F5BC940D19A}"/>
    <hyperlink ref="F309" r:id="rId110" display="src/env_17.0/src/openupgrade/openupgrade_scripts/scripts/l10n_ma/17.0.1.0/upgrade_analysis.txt" xr:uid="{C9B6D418-E3DD-47DE-A5F6-7EE6E29A995B}"/>
    <hyperlink ref="F311" r:id="rId111" display="src/env_17.0/src/openupgrade/openupgrade_scripts/scripts/l10n_mn/17.0.1.1/upgrade_analysis.txt" xr:uid="{047B56E5-A37C-4F93-80E1-77B52FA3ED3C}"/>
    <hyperlink ref="F314" r:id="rId112" display="src/env_17.0/src/openupgrade/openupgrade_scripts/scripts/l10n_mx/17.0.2.2/upgrade_analysis.txt" xr:uid="{8747E400-54EA-4037-BBC4-F4CB41BEE223}"/>
    <hyperlink ref="F317" r:id="rId113" display="src/env_17.0/src/openupgrade/openupgrade_scripts/scripts/l10n_my/17.0.1.1/upgrade_analysis.txt" xr:uid="{EAB898D1-CE51-4C76-9BF5-C9DDF7E69433}"/>
    <hyperlink ref="F319" r:id="rId114" display="src/env_17.0/src/openupgrade/openupgrade_scripts/scripts/l10n_mz/17.0.1.0/upgrade_analysis.txt" xr:uid="{A1FB35AB-F29C-4F66-ADDE-0D1C5A949540}"/>
    <hyperlink ref="F321" r:id="rId115" display="src/env_17.0/src/openupgrade/openupgrade_scripts/scripts/l10n_nl/17.0.3.4/upgrade_analysis.txt" xr:uid="{7710BD36-6B24-4210-9082-C524E69E7DFB}"/>
    <hyperlink ref="F323" r:id="rId116" display="src/env_17.0/src/openupgrade/openupgrade_scripts/scripts/l10n_no/17.0.2.1/upgrade_analysis.txt" xr:uid="{41308D46-5F55-402A-88C6-EE2C94042C8B}"/>
    <hyperlink ref="F325" r:id="rId117" display="src/env_17.0/src/openupgrade/openupgrade_scripts/scripts/l10n_nz/17.0.1.1/upgrade_analysis.txt" xr:uid="{3D924213-01B7-4A6B-8485-143CF2315031}"/>
    <hyperlink ref="F327" r:id="rId118" display="src/env_17.0/src/openupgrade/openupgrade_scripts/scripts/l10n_pa/17.0.1.0/upgrade_analysis.txt" xr:uid="{B4C06AB9-0528-449D-AA05-6525642FC230}"/>
    <hyperlink ref="F329" r:id="rId119" display="src/env_17.0/src/openupgrade/openupgrade_scripts/scripts/l10n_pe/17.0.3.0/upgrade_analysis.txt" xr:uid="{3F6F7D3B-C2EE-49F6-9448-046EAA5C2871}"/>
    <hyperlink ref="F331" r:id="rId120" display="src/env_17.0/src/openupgrade/openupgrade_scripts/scripts/l10n_ph/17.0.1.1/upgrade_analysis.txt" xr:uid="{C1A5EFB9-953A-4AD4-8BFD-CF953DBE46C6}"/>
    <hyperlink ref="F333" r:id="rId121" display="src/env_17.0/src/openupgrade/openupgrade_scripts/scripts/l10n_pk/17.0.1.1/upgrade_analysis.txt" xr:uid="{81E66DFE-4F15-4152-AC7A-38C64F919193}"/>
    <hyperlink ref="F335" r:id="rId122" display="src/env_17.0/src/openupgrade/openupgrade_scripts/scripts/l10n_pl/17.0.2.0/upgrade_analysis.txt" xr:uid="{22BD9389-FA18-4F9A-A02D-B5E5A553DE98}"/>
    <hyperlink ref="F339" r:id="rId123" display="src/env_17.0/src/openupgrade/openupgrade_scripts/scripts/l10n_pt/17.0.1.0/upgrade_analysis.txt" xr:uid="{B95CE0C7-6E51-4F9D-A062-221E04C5336E}"/>
    <hyperlink ref="F341" r:id="rId124" display="src/env_17.0/src/openupgrade/openupgrade_scripts/scripts/l10n_ro/17.0.1.0/upgrade_analysis.txt" xr:uid="{2884B86F-E0EA-4536-9AA1-027F712845EE}"/>
    <hyperlink ref="F343" r:id="rId125" display="src/env_17.0/src/openupgrade/openupgrade_scripts/scripts/l10n_rs/17.0.1.0/upgrade_analysis.txt" xr:uid="{D38559CF-63D1-4CF3-8069-1EC44C68067E}"/>
    <hyperlink ref="F345" r:id="rId126" display="src/env_17.0/src/openupgrade/openupgrade_scripts/scripts/l10n_sa/17.0.2.0/upgrade_analysis.txt" xr:uid="{52908D27-C9AA-4D13-B68D-67B46D713E57}"/>
    <hyperlink ref="F347" r:id="rId127" display="src/env_17.0/src/openupgrade/openupgrade_scripts/scripts/l10n_sa_edi/17.0.0.1/upgrade_analysis.txt" xr:uid="{E13EA387-6DD9-4D94-958D-60466BAAFF51}"/>
    <hyperlink ref="F351" r:id="rId128" display="src/env_17.0/src/openupgrade/openupgrade_scripts/scripts/l10n_se/17.0.1.1/upgrade_analysis.txt" xr:uid="{D6E158C5-0BDB-4130-AD5F-BAFD16D665D0}"/>
    <hyperlink ref="F353" r:id="rId129" display="src/env_17.0/src/openupgrade/openupgrade_scripts/scripts/l10n_sg/17.0.2.2/upgrade_analysis.txt" xr:uid="{4B6FE536-672F-41A3-BD3A-1539CAFAA8EC}"/>
    <hyperlink ref="F355" r:id="rId130" display="src/env_17.0/src/openupgrade/openupgrade_scripts/scripts/l10n_si/17.0.1.1/upgrade_analysis.txt" xr:uid="{9A2FCC8F-BBE8-44F4-B209-8E3E27916C18}"/>
    <hyperlink ref="F357" r:id="rId131" display="src/env_17.0/src/openupgrade/openupgrade_scripts/scripts/l10n_sk/17.0.1.0/upgrade_analysis.txt" xr:uid="{9AE15793-79F8-4C91-9A23-7DFFAC7F6FD2}"/>
    <hyperlink ref="F359" r:id="rId132" display="src/env_17.0/src/openupgrade/openupgrade_scripts/scripts/l10n_syscohada/17.0.1.0/upgrade_analysis.txt" xr:uid="{F6ABD236-099E-461C-B46C-9E5226FFB083}"/>
    <hyperlink ref="F361" r:id="rId133" display="src/env_17.0/src/openupgrade/openupgrade_scripts/scripts/l10n_th/17.0.2.0/upgrade_analysis.txt" xr:uid="{245DFCB5-E9BC-4320-930F-6AF226862EE9}"/>
    <hyperlink ref="F363" r:id="rId134" display="src/env_17.0/src/openupgrade/openupgrade_scripts/scripts/l10n_tr/17.0.1.3/upgrade_analysis.txt" xr:uid="{F17950AF-77A8-491E-BB4C-50AB0EFE74D5}"/>
    <hyperlink ref="F365" r:id="rId135" display="src/env_17.0/src/openupgrade/openupgrade_scripts/scripts/l10n_tw/17.0.1.0/upgrade_analysis.txt" xr:uid="{84788629-3F32-4EFD-A0CC-CA01F4446CAB}"/>
    <hyperlink ref="F367" r:id="rId136" display="src/env_17.0/src/openupgrade/openupgrade_scripts/scripts/l10n_ua/17.0.1.4/upgrade_analysis.txt" xr:uid="{FB23290A-9797-4341-A17E-1DE898045EBC}"/>
    <hyperlink ref="F369" r:id="rId137" display="src/env_17.0/src/openupgrade/openupgrade_scripts/scripts/l10n_uk/17.0.1.1/upgrade_analysis.txt" xr:uid="{80F3D579-5763-4AD0-9531-ABED353F7733}"/>
    <hyperlink ref="F372" r:id="rId138" display="src/env_17.0/src/openupgrade/openupgrade_scripts/scripts/l10n_uy/17.0.0.1/upgrade_analysis.txt" xr:uid="{D02F5CA6-8D0A-4DF0-A6F6-9504BFD9B14C}"/>
    <hyperlink ref="F374" r:id="rId139" display="src/env_17.0/src/openupgrade/openupgrade_scripts/scripts/l10n_ve/17.0.1.0/upgrade_analysis.txt" xr:uid="{71561FC4-3ED1-449A-B571-BEB19B787389}"/>
    <hyperlink ref="F376" r:id="rId140" display="src/env_17.0/src/openupgrade/openupgrade_scripts/scripts/l10n_vn/17.0.2.0.3/upgrade_analysis.txt" xr:uid="{E0FB0C43-59C4-442F-80DC-BA66F45229C2}"/>
    <hyperlink ref="F378" r:id="rId141" display="src/env_17.0/src/openupgrade/openupgrade_scripts/scripts/l10n_za/17.0.1.0/upgrade_analysis.txt" xr:uid="{624E69DD-0E3D-4F50-AF9E-FD0710881314}"/>
    <hyperlink ref="F381" r:id="rId142" display="src/env_17.0/src/openupgrade/openupgrade_scripts/scripts/loyalty/17.0.1.0/upgrade_analysis.txt" xr:uid="{870788BF-6F73-4C6C-AAB1-1D6B307F5DFA}"/>
    <hyperlink ref="F384" r:id="rId143" display="src/env_17.0/src/openupgrade/openupgrade_scripts/scripts/lunch/17.0.1.0/upgrade_analysis.txt" xr:uid="{3D01FD2D-95EA-4E9A-B50E-9088E06809FC}"/>
    <hyperlink ref="F386" r:id="rId144" display="src/env_17.0/src/openupgrade/openupgrade_scripts/scripts/mail/17.0.1.15/upgrade_analysis.txt" xr:uid="{3CE6AC71-3B5D-466E-8833-D4BC9D908FBA}"/>
    <hyperlink ref="F390" r:id="rId145" display="src/env_17.0/src/openupgrade/openupgrade_scripts/scripts/mail_group/17.0.1.1/upgrade_analysis.txt" xr:uid="{FEDFB445-9896-431B-A69F-B2A5A0DDF2D5}"/>
    <hyperlink ref="F392" r:id="rId146" display="src/env_17.0/src/openupgrade/openupgrade_scripts/scripts/mail_plugin/17.0.1.0/upgrade_analysis.txt" xr:uid="{D578A621-2D84-4A70-810D-0FFEF155E799}"/>
    <hyperlink ref="F394" r:id="rId147" display="src/env_17.0/src/openupgrade/openupgrade_scripts/scripts/maintenance/17.0.1.0/upgrade_analysis.txt" xr:uid="{C4EB2630-7278-48B7-9BE5-DBC706EE5259}"/>
    <hyperlink ref="F396" r:id="rId148" display="src/env_17.0/src/openupgrade/openupgrade_scripts/scripts/mass_mailing/17.0.2.7/upgrade_analysis.txt" xr:uid="{2020BA69-4E40-4C37-B227-92479B6A2908}"/>
    <hyperlink ref="F407" r:id="rId149" display="src/env_17.0/src/openupgrade/openupgrade_scripts/scripts/mass_mailing_sms/17.0.1.1/upgrade_analysis.txt" xr:uid="{67F94574-3F2F-452E-87EA-AA7C608E80F0}"/>
    <hyperlink ref="F409" r:id="rId150" display="src/env_17.0/src/openupgrade/openupgrade_scripts/scripts/mass_mailing_themes/17.0.1.2/upgrade_analysis.txt" xr:uid="{8F534771-836D-4274-B4A9-B688C1CEC516}"/>
    <hyperlink ref="F411" r:id="rId151" display="src/env_17.0/src/openupgrade/openupgrade_scripts/scripts/membership/17.0.1.0/upgrade_analysis.txt" xr:uid="{B14B54A3-4E5B-420D-BEA2-89C212C71D71}"/>
    <hyperlink ref="F414" r:id="rId152" display="src/env_17.0/src/openupgrade/openupgrade_scripts/scripts/microsoft_calendar/17.0.1.0/upgrade_analysis.txt" xr:uid="{451272F6-4AA4-45A2-8827-A6766A65BBCF}"/>
    <hyperlink ref="F416" r:id="rId153" display="src/env_17.0/src/openupgrade/openupgrade_scripts/scripts/microsoft_outlook/17.0.1.1/upgrade_analysis.txt" xr:uid="{AF93F3CF-CD8E-4970-9641-5D52AAC7856E}"/>
    <hyperlink ref="F418" r:id="rId154" display="src/env_17.0/src/openupgrade/openupgrade_scripts/scripts/mrp/17.0.2.0/upgrade_analysis.txt" xr:uid="{F5D2EAD7-41E0-4802-B349-1DF9500B15CD}"/>
    <hyperlink ref="F420" r:id="rId155" display="src/env_17.0/src/openupgrade/openupgrade_scripts/scripts/mrp_account/17.0.1.0/upgrade_analysis.txt" xr:uid="{A0B22AB0-F367-45F6-A219-CBDFCFC06044}"/>
    <hyperlink ref="F425" r:id="rId156" display="src/env_17.0/src/openupgrade/openupgrade_scripts/scripts/mrp_subcontracting/17.0.0.1/upgrade_analysis.txt" xr:uid="{EBB73DD8-3D10-4502-AF60-25D0E6FF2D07}"/>
    <hyperlink ref="F430" r:id="rId157" display="src/env_17.0/src/openupgrade/openupgrade_scripts/scripts/mrp_subcontracting_repair/17.0.1.0/upgrade_analysis.txt" xr:uid="{17DCF3B3-78B6-40C6-85C2-DEAE78D20AC2}"/>
    <hyperlink ref="F434" r:id="rId158" display="src/env_17.0/src/openupgrade/openupgrade_scripts/scripts/onboarding/17.0.1.2/upgrade_analysis.txt" xr:uid="{B9413D69-7367-45DD-926C-650BDE24CA6C}"/>
    <hyperlink ref="F436" r:id="rId159" display="src/env_17.0/src/openupgrade/openupgrade_scripts/scripts/partner_autocomplete/17.0.1.1/upgrade_analysis.txt" xr:uid="{4097DB12-C82B-4837-8D62-405522A9A66F}"/>
    <hyperlink ref="F438" r:id="rId160" display="src/env_17.0/src/openupgrade/openupgrade_scripts/scripts/payment/17.0.2.0/upgrade_analysis.txt" xr:uid="{09C94FC8-EB74-4D47-817D-4A6CC4C7B5CA}"/>
    <hyperlink ref="F440" r:id="rId161" display="src/env_17.0/src/openupgrade/openupgrade_scripts/scripts/payment_adyen/17.0.2.0/upgrade_analysis.txt" xr:uid="{2C0347DD-DB1D-4D4A-BBAF-6CA614BD2290}"/>
    <hyperlink ref="F444" r:id="rId162" display="src/env_17.0/src/openupgrade/openupgrade_scripts/scripts/payment_asiapay/17.0.1.0/upgrade_analysis.txt" xr:uid="{9AB7CAA0-143C-4759-8B3B-175222A4DCF3}"/>
    <hyperlink ref="F446" r:id="rId163" display="src/env_17.0/src/openupgrade/openupgrade_scripts/scripts/payment_authorize/17.0.2.0/upgrade_analysis.txt" xr:uid="{A327801F-CFF9-4226-A6CF-7A12D42CC346}"/>
    <hyperlink ref="F449" r:id="rId164" display="src/env_17.0/src/openupgrade/openupgrade_scripts/scripts/payment_custom/17.0.2.0/upgrade_analysis.txt" xr:uid="{41A56AC9-BE14-41F6-8344-2733FBC87AEC}"/>
    <hyperlink ref="F451" r:id="rId165" display="src/env_17.0/src/openupgrade/openupgrade_scripts/scripts/payment_demo/17.0.2.0/upgrade_analysis.txt" xr:uid="{C8C7B25C-003C-44BD-932B-81C51A10A10A}"/>
    <hyperlink ref="F457" r:id="rId166" display="src/env_17.0/src/openupgrade/openupgrade_scripts/scripts/payment_paypal/17.0.2.0/upgrade_analysis.txt" xr:uid="{9D792F58-F02A-4356-B5FF-F6AECA22B7E4}"/>
    <hyperlink ref="F463" r:id="rId167" display="src/env_17.0/src/openupgrade/openupgrade_scripts/scripts/payment_stripe/17.0.2.0/upgrade_analysis.txt" xr:uid="{EA95F954-15FE-4573-B525-8C34FD9A7BC0}"/>
    <hyperlink ref="F465" r:id="rId168" display="src/env_17.0/src/openupgrade/openupgrade_scripts/scripts/phone_validation/17.0.2.1/upgrade_analysis.txt" xr:uid="{8B3A370A-EBB5-4EFD-9FF9-49651C21865F}"/>
    <hyperlink ref="F467" r:id="rId169" display="src/env_17.0/src/openupgrade/openupgrade_scripts/scripts/point_of_sale/17.0.1.0.1/upgrade_analysis.txt" xr:uid="{38C20FEE-612E-45E3-B72E-4E72297FED1F}"/>
    <hyperlink ref="F469" r:id="rId170" display="src/env_17.0/src/openupgrade/openupgrade_scripts/scripts/portal/17.0.1.0/upgrade_analysis.txt" xr:uid="{5C455B61-0337-44D4-809A-FDE8015D4A45}"/>
    <hyperlink ref="F476" r:id="rId171" display="src/env_17.0/src/openupgrade/openupgrade_scripts/scripts/pos_epson_printer/17.0.1.0/upgrade_analysis.txt" xr:uid="{A3CB8CD5-9B3D-4380-B321-6F523F78C50A}"/>
    <hyperlink ref="F479" r:id="rId172" display="src/env_17.0/src/openupgrade/openupgrade_scripts/scripts/pos_hr/17.0.1.0/upgrade_analysis.txt" xr:uid="{0075D40A-C115-42DE-8843-4EB28A719C78}"/>
    <hyperlink ref="F482" r:id="rId173" display="src/env_17.0/src/openupgrade/openupgrade_scripts/scripts/pos_loyalty/17.0.2.0/upgrade_analysis.txt" xr:uid="{8842D0D8-4142-4E17-BF04-CACA103AA8E3}"/>
    <hyperlink ref="F484" r:id="rId174" display="src/env_17.0/src/openupgrade/openupgrade_scripts/scripts/pos_mercury/17.0.1.0/upgrade_analysis.txt" xr:uid="{02C47D29-F9AB-482C-8795-B7BFA0975AF3}"/>
    <hyperlink ref="F487" r:id="rId175" display="src/env_17.0/src/openupgrade/openupgrade_scripts/scripts/pos_restaurant/17.0.1.0/upgrade_analysis.txt" xr:uid="{5ED905B7-5C65-4C01-ABD0-177BC3B1D315}"/>
    <hyperlink ref="F498" r:id="rId176" display="src/env_17.0/src/openupgrade/openupgrade_scripts/scripts/product/17.0.1.2/upgrade_analysis.txt" xr:uid="{3A4B40BB-D177-4987-B256-BE469ABB596B}"/>
    <hyperlink ref="F501" r:id="rId177" display="src/env_17.0/src/openupgrade/openupgrade_scripts/scripts/product_expiry/17.0.1.0/upgrade_analysis.txt" xr:uid="{0492B311-AC4F-478B-BB5F-0E22B01DAA16}"/>
    <hyperlink ref="F506" r:id="rId178" display="src/env_17.0/src/openupgrade/openupgrade_scripts/scripts/project/17.0.1.3/upgrade_analysis.txt" xr:uid="{8903A084-A975-4FD1-895A-A788CAC73316}"/>
    <hyperlink ref="F514" r:id="rId179" display="src/env_17.0/src/openupgrade/openupgrade_scripts/scripts/project_timesheet_holidays/17.0.1.0/upgrade_analysis.txt" xr:uid="{278B5356-F572-469E-A970-9517F3564D3B}"/>
    <hyperlink ref="F516" r:id="rId180" display="src/env_17.0/src/openupgrade/openupgrade_scripts/scripts/project_todo/17.0.1.0/upgrade_analysis.txt" xr:uid="{374B6072-CB13-4F0E-ADBF-A954AEA3890B}"/>
    <hyperlink ref="F518" r:id="rId181" display="src/env_17.0/src/openupgrade/openupgrade_scripts/scripts/purchase/17.0.1.2/upgrade_analysis.txt" xr:uid="{5045D19C-2AF8-4B47-BAE7-A649C064B2C4}"/>
    <hyperlink ref="F520" r:id="rId182" display="src/env_17.0/src/openupgrade/openupgrade_scripts/scripts/purchase_mrp/17.0.1.0/upgrade_analysis.txt" xr:uid="{61E8DA21-9DBF-4596-BF24-3D2B9B39D6DE}"/>
    <hyperlink ref="F524" r:id="rId183" display="src/env_17.0/src/openupgrade/openupgrade_scripts/scripts/purchase_requisition/17.0.0.1/upgrade_analysis.txt" xr:uid="{AD3E3D27-6256-4922-8C7D-184669A079D1}"/>
    <hyperlink ref="F527" r:id="rId184" display="src/env_17.0/src/openupgrade/openupgrade_scripts/scripts/purchase_stock/17.0.1.2/upgrade_analysis.txt" xr:uid="{DC98D04F-1DD5-4A05-A288-80E2829887FB}"/>
    <hyperlink ref="F529" r:id="rId185" display="src/env_17.0/src/openupgrade/openupgrade_scripts/scripts/rating/17.0.1.1/upgrade_analysis.txt" xr:uid="{C17EA33E-FE3C-4560-9EC3-7990F301D2A7}"/>
    <hyperlink ref="F531" r:id="rId186" display="src/env_17.0/src/openupgrade/openupgrade_scripts/scripts/repair/17.0.1.0/upgrade_analysis.txt" xr:uid="{0CD99D6B-A353-4070-9A2E-C3B091958AFC}"/>
    <hyperlink ref="F533" r:id="rId187" display="src/env_17.0/src/openupgrade/openupgrade_scripts/scripts/resource/17.0.1.1/upgrade_analysis.txt" xr:uid="{FD2EC51C-B9C5-41EB-8DF8-DA45289193B0}"/>
    <hyperlink ref="F535" r:id="rId188" display="src/env_17.0/src/openupgrade/openupgrade_scripts/scripts/sale/17.0.1.2/upgrade_analysis.txt" xr:uid="{DAE19CE1-3762-40CE-A313-9F11B21A2984}"/>
    <hyperlink ref="F540" r:id="rId189" display="src/env_17.0/src/openupgrade/openupgrade_scripts/scripts/sale_loyalty/17.0.1.0/upgrade_analysis.txt" xr:uid="{63ACDC4E-58D4-426A-90CA-41E3231D7960}"/>
    <hyperlink ref="F542" r:id="rId190" display="src/env_17.0/src/openupgrade/openupgrade_scripts/scripts/sale_loyalty_delivery/17.0.1.0/upgrade_analysis.txt" xr:uid="{A9130E1D-4818-4CEB-A264-627786ED1214}"/>
    <hyperlink ref="F544" r:id="rId191" display="src/env_17.0/src/openupgrade/openupgrade_scripts/scripts/sale_management/17.0.1.0/upgrade_analysis.txt" xr:uid="{636AF9CE-D4EA-4309-8F81-1F0055266B0F}"/>
    <hyperlink ref="F549" r:id="rId192" display="src/env_17.0/src/openupgrade/openupgrade_scripts/scripts/sale_pdf_quote_builder/17.0.1.0/upgrade_analysis.txt" xr:uid="{62C340F9-EC09-48AD-A5EC-CCD36DF7D685}"/>
    <hyperlink ref="F551" r:id="rId193" display="src/env_17.0/src/openupgrade/openupgrade_scripts/scripts/sale_product_configurator/17.0.1.0/upgrade_analysis.txt" xr:uid="{86F60CC8-0F9B-4368-9381-2AC8E88AA6FA}"/>
    <hyperlink ref="F554" r:id="rId194" display="src/env_17.0/src/openupgrade/openupgrade_scripts/scripts/sale_project/17.0.1.0/upgrade_analysis.txt" xr:uid="{3AA65EA1-3C5C-42C7-96CA-F8892D837C13}"/>
    <hyperlink ref="F561" r:id="rId195" display="src/env_17.0/src/openupgrade/openupgrade_scripts/scripts/sale_stock/17.0.1.0/upgrade_analysis.txt" xr:uid="{E64B3286-0954-401A-8918-8C9B40D82945}"/>
    <hyperlink ref="F564" r:id="rId196" display="src/env_17.0/src/openupgrade/openupgrade_scripts/scripts/sale_timesheet/17.0.1.0/upgrade_analysis.txt" xr:uid="{C2016399-059F-42B1-A562-8089249078E0}"/>
    <hyperlink ref="F567" r:id="rId197" display="src/env_17.0/src/openupgrade/openupgrade_scripts/scripts/sales_team/17.0.1.1/upgrade_analysis.txt" xr:uid="{38AEE809-B31E-436F-B150-5E24EC42A034}"/>
    <hyperlink ref="F569" r:id="rId198" display="src/env_17.0/src/openupgrade/openupgrade_scripts/scripts/sms/17.0.3.0/upgrade_analysis.txt" xr:uid="{81715C73-99FD-4B9D-BE1B-84721A63B65F}"/>
    <hyperlink ref="F571" r:id="rId199" display="src/env_17.0/src/openupgrade/openupgrade_scripts/scripts/snailmail/17.0.0.4/upgrade_analysis.txt" xr:uid="{5B48A07B-001C-47A8-85F0-C78C1B96A86B}"/>
    <hyperlink ref="F573" r:id="rId200" display="src/env_17.0/src/openupgrade/openupgrade_scripts/scripts/snailmail_account/17.0.0.1/upgrade_analysis.txt" xr:uid="{030D553F-12E0-4F21-B191-5AD060F635F3}"/>
    <hyperlink ref="F575" r:id="rId201" display="src/env_17.0/src/openupgrade/openupgrade_scripts/scripts/social_media/17.0.0.1/upgrade_analysis.txt" xr:uid="{BA8E120E-2ED1-40D0-8E6E-697EB9127862}"/>
    <hyperlink ref="F577" r:id="rId202" display="src/env_17.0/src/openupgrade/openupgrade_scripts/scripts/spreadsheet/17.0.1.0/upgrade_analysis.txt" xr:uid="{A957AAA5-6861-4624-B42F-4A091C206B8D}"/>
    <hyperlink ref="F580" r:id="rId203" display="src/env_17.0/src/openupgrade/openupgrade_scripts/scripts/spreadsheet_dashboard/17.0.1.0/upgrade_analysis.txt" xr:uid="{FD83C71B-A132-4C94-823F-92F0FEA1D28F}"/>
    <hyperlink ref="F595" r:id="rId204" display="src/env_17.0/src/openupgrade/openupgrade_scripts/scripts/stock/17.0.1.1/upgrade_analysis.txt" xr:uid="{D123AC07-CE04-4431-A1D3-E26B851C5986}"/>
    <hyperlink ref="F597" r:id="rId205" display="src/env_17.0/src/openupgrade/openupgrade_scripts/scripts/stock_account/17.0.1.1/upgrade_analysis.txt" xr:uid="{98531F3F-8B3D-4B24-ABFA-6E10762AF769}"/>
    <hyperlink ref="F599" r:id="rId206" display="src/env_17.0/src/openupgrade/openupgrade_scripts/scripts/stock_dropshipping/17.0.1.0/upgrade_analysis.txt" xr:uid="{305366D3-3A0C-49A1-B8D1-2AC96FF6B026}"/>
    <hyperlink ref="F601" r:id="rId207" display="src/env_17.0/src/openupgrade/openupgrade_scripts/scripts/stock_landed_costs/17.0.1.1/upgrade_analysis.txt" xr:uid="{9BC766DA-1CC7-4CEE-A520-E86CFB137263}"/>
    <hyperlink ref="F603" r:id="rId208" display="src/env_17.0/src/openupgrade/openupgrade_scripts/scripts/stock_picking_batch/17.0.1.0/upgrade_analysis.txt" xr:uid="{7003EEEF-3E8E-46C0-B74F-CD064AFD12FC}"/>
    <hyperlink ref="F606" r:id="rId209" display="src/env_17.0/src/openupgrade/openupgrade_scripts/scripts/survey/17.0.3.6/upgrade_analysis.txt" xr:uid="{74C69F11-EBC2-40CE-A2FA-DFF7E4A20568}"/>
    <hyperlink ref="F625" r:id="rId210" display="src/env_17.0/src/openupgrade/openupgrade_scripts/scripts/utm/17.0.1.1/upgrade_analysis.txt" xr:uid="{EF8032FD-462B-46BE-8887-224B2748C845}"/>
    <hyperlink ref="F627" r:id="rId211" display="src/env_17.0/src/openupgrade/openupgrade_scripts/scripts/web/17.0.1.0/upgrade_analysis.txt" xr:uid="{7BD7A1C3-A20D-418D-85DA-245CBD0587B9}"/>
    <hyperlink ref="F629" r:id="rId212" display="src/env_17.0/src/openupgrade/openupgrade_scripts/scripts/web_editor/17.0.1.0/upgrade_analysis.txt" xr:uid="{F4055B10-0C55-4C25-B768-5E8D4597C546}"/>
    <hyperlink ref="F632" r:id="rId213" display="src/env_17.0/src/openupgrade/openupgrade_scripts/scripts/web_tour/17.0.0.1/upgrade_analysis.txt" xr:uid="{EB3DE323-D8D8-4D08-A3E5-2F36BE5ECE68}"/>
    <hyperlink ref="F635" r:id="rId214" display="src/env_17.0/src/openupgrade/openupgrade_scripts/scripts/website/17.0.1.0/upgrade_analysis.txt" xr:uid="{5EAB7301-5D29-4F08-B17E-8B0963E260AE}"/>
    <hyperlink ref="F637" r:id="rId215" display="src/env_17.0/src/openupgrade/openupgrade_scripts/scripts/website_blog/17.0.1.1/upgrade_analysis.txt" xr:uid="{03A02DD4-5840-4BE4-AD33-37548C64F50F}"/>
    <hyperlink ref="F642" r:id="rId216" display="src/env_17.0/src/openupgrade/openupgrade_scripts/scripts/website_crm_partner_assign/17.0.1.2/upgrade_analysis.txt" xr:uid="{3A9D1CAC-BEF6-4348-833C-87AA7121BA3F}"/>
    <hyperlink ref="F645" r:id="rId217" display="src/env_17.0/src/openupgrade/openupgrade_scripts/scripts/website_customer/17.0.1.0/upgrade_analysis.txt" xr:uid="{DF3C4A65-CECB-4659-9D2A-310AEED6A229}"/>
    <hyperlink ref="F647" r:id="rId218" display="src/env_17.0/src/openupgrade/openupgrade_scripts/scripts/website_event/17.0.1.4/upgrade_analysis.txt" xr:uid="{38DCF729-8C11-414A-A4E0-4310077CA4B8}"/>
    <hyperlink ref="F649" r:id="rId219" display="src/env_17.0/src/openupgrade/openupgrade_scripts/scripts/website_event_booth/17.0.1.0/upgrade_analysis.txt" xr:uid="{805021EA-E040-463A-869A-B002142B4CC6}"/>
    <hyperlink ref="F652" r:id="rId220" display="src/env_17.0/src/openupgrade/openupgrade_scripts/scripts/website_event_booth_sale/17.0.1.0/upgrade_analysis.txt" xr:uid="{18314F4D-0CEB-4B3F-A806-3E1585991122}"/>
    <hyperlink ref="F657" r:id="rId221" display="src/env_17.0/src/openupgrade/openupgrade_scripts/scripts/website_event_exhibitor/17.0.1.1/upgrade_analysis.txt" xr:uid="{1648A84B-D70D-4808-905F-7B8BFCAC5AAB}"/>
    <hyperlink ref="F660" r:id="rId222" display="src/env_17.0/src/openupgrade/openupgrade_scripts/scripts/website_event_meet/17.0.1.0/upgrade_analysis.txt" xr:uid="{C0DCFBEC-91D6-4C11-AD2C-C3257D6AF1D3}"/>
    <hyperlink ref="F664" r:id="rId223" display="src/env_17.0/src/openupgrade/openupgrade_scripts/scripts/website_event_sale/17.0.1.0/upgrade_analysis.txt" xr:uid="{45477917-0EC5-4432-96BF-3127485D4BDD}"/>
    <hyperlink ref="F666" r:id="rId224" display="src/env_17.0/src/openupgrade/openupgrade_scripts/scripts/website_event_track/17.0.1.3/upgrade_analysis.txt" xr:uid="{16F418B3-B142-4A90-9D60-B8602D054AF2}"/>
    <hyperlink ref="F671" r:id="rId225" display="src/env_17.0/src/openupgrade/openupgrade_scripts/scripts/website_form_project/17.0.1.0/upgrade_analysis.txt" xr:uid="{94A31588-320E-4A78-A6FF-7A7B7429166E}"/>
    <hyperlink ref="F673" r:id="rId226" display="src/env_17.0/src/openupgrade/openupgrade_scripts/scripts/website_forum/17.0.1.2/upgrade_analysis.txt" xr:uid="{E93B2C0E-ADCC-4698-B854-6F9898C58A86}"/>
    <hyperlink ref="F676" r:id="rId227" display="src/env_17.0/src/openupgrade/openupgrade_scripts/scripts/website_hr_recruitment/17.0.1.1/upgrade_analysis.txt" xr:uid="{A7689D55-D688-44F3-9AA3-A10F687CD961}"/>
    <hyperlink ref="F680" r:id="rId228" display="src/env_17.0/src/openupgrade/openupgrade_scripts/scripts/website_livechat/17.0.1.0/upgrade_analysis.txt" xr:uid="{CA3839F5-9F8E-440B-9941-3B2BB9BFBCD2}"/>
    <hyperlink ref="F684" r:id="rId229" display="src/env_17.0/src/openupgrade/openupgrade_scripts/scripts/website_mass_mailing/17.0.1.0/upgrade_analysis.txt" xr:uid="{EADF06F4-BF2B-46F0-9119-4152E7F19DFF}"/>
    <hyperlink ref="F687" r:id="rId230" display="src/env_17.0/src/openupgrade/openupgrade_scripts/scripts/website_membership/17.0.1.0/upgrade_analysis.txt" xr:uid="{BEFDC1DA-1196-4228-994C-DC68CC592A90}"/>
    <hyperlink ref="F690" r:id="rId231" display="src/env_17.0/src/openupgrade/openupgrade_scripts/scripts/website_payment/17.0.1.0/upgrade_analysis.txt" xr:uid="{63F2B8EC-F3F1-412E-B62F-C547EF4AD7E9}"/>
    <hyperlink ref="F694" r:id="rId232" display="src/env_17.0/src/openupgrade/openupgrade_scripts/scripts/website_profile/17.0.1.0/upgrade_analysis.txt" xr:uid="{4D962D11-4934-4715-B076-89903B7520FB}"/>
    <hyperlink ref="F696" r:id="rId233" display="src/env_17.0/src/openupgrade/openupgrade_scripts/scripts/website_sale/17.0.1.1/upgrade_analysis.txt" xr:uid="{6B5AFB7A-4E3C-4006-8015-D097614FD74B}"/>
    <hyperlink ref="F699" r:id="rId234" display="src/env_17.0/src/openupgrade/openupgrade_scripts/scripts/website_sale_comparison/17.0.1.0/upgrade_analysis.txt" xr:uid="{21A5286A-0431-47EA-BAAF-710FFF7471CD}"/>
    <hyperlink ref="F707" r:id="rId235" display="src/env_17.0/src/openupgrade/openupgrade_scripts/scripts/website_sale_mondialrelay/17.0.0.1/upgrade_analysis.txt" xr:uid="{75594D72-4AF2-4732-8DF5-02C5E8B8C6A9}"/>
    <hyperlink ref="F709" r:id="rId236" display="src/env_17.0/src/openupgrade/openupgrade_scripts/scripts/website_sale_picking/17.0.1.0/upgrade_analysis.txt" xr:uid="{70E8F511-8FC4-4450-B9A6-8FFDB9D77716}"/>
    <hyperlink ref="F711" r:id="rId237" display="src/env_17.0/src/openupgrade/openupgrade_scripts/scripts/website_sale_product_configurator/17.0.1.0/upgrade_analysis.txt" xr:uid="{5CBFC950-A7D1-4757-9914-89C559A07888}"/>
    <hyperlink ref="F713" r:id="rId238" display="src/env_17.0/src/openupgrade/openupgrade_scripts/scripts/website_sale_slides/17.0.1.0/upgrade_analysis.txt" xr:uid="{9561FB80-69FD-4C30-99AB-BB225BFED78C}"/>
    <hyperlink ref="F718" r:id="rId239" display="src/env_17.0/src/openupgrade/openupgrade_scripts/scripts/website_sale_wishlist/17.0.1.0/upgrade_analysis.txt" xr:uid="{10288D4B-1A1E-4868-AF85-4BEFBD2CC03E}"/>
    <hyperlink ref="F720" r:id="rId240" display="src/env_17.0/src/openupgrade/openupgrade_scripts/scripts/website_slides/17.0.2.7/upgrade_analysis.txt" xr:uid="{E2C1DC1F-3EB5-4B7F-BBBD-33E099E11871}"/>
    <hyperlink ref="F722" r:id="rId241" display="src/env_17.0/src/openupgrade/openupgrade_scripts/scripts/website_slides_forum/17.0.1.0/upgrade_analysis.txt" xr:uid="{67C4DE73-18A9-4EDB-A1F1-868F2C96ADA3}"/>
    <hyperlink ref="F724" r:id="rId242" display="src/env_17.0/src/openupgrade/openupgrade_scripts/scripts/website_slides_survey/17.0.1.0/upgrade_analysis.txt" xr:uid="{DBA4222B-4867-4F73-B34D-A54123B11889}"/>
    <hyperlink ref="F727" r:id="rId243" display="src/env_17.0/src/openupgrade/openupgrade_scripts/scripts/website_twitter/17.0.1.0/upgrade_analysis.txt" xr:uid="{F52CF53D-72EF-4FFE-A5CC-23682126DEB2}"/>
    <hyperlink ref="F732" r:id="rId244" display="src/env_18.0/src/openupgrade/openupgrade_scripts/scripts/account/18.0.1.3/upgrade_analysis.txt" xr:uid="{755CA548-635F-49E1-AF58-D507E325E230}"/>
    <hyperlink ref="F735" r:id="rId245" display="src/env_18.0/src/openupgrade/openupgrade_scripts/scripts/account_check_printing/18.0.1.0/upgrade_analysis.txt" xr:uid="{4B98B2C9-6545-469F-8E69-DDBF33ACC211}"/>
    <hyperlink ref="F737" r:id="rId246" display="src/env_18.0/src/openupgrade/openupgrade_scripts/scripts/account_debit_note/18.0.1.0/upgrade_analysis.txt" xr:uid="{9221FE9D-DAA5-44C9-A566-DA3240C8F6E4}"/>
    <hyperlink ref="F740" r:id="rId247" display="src/env_18.0/src/openupgrade/openupgrade_scripts/scripts/account_edi_proxy_client/18.0.1.0/upgrade_analysis.txt" xr:uid="{70A94A32-3DBB-43C5-8D48-F12D6E723D2E}"/>
    <hyperlink ref="F742" r:id="rId248" display="src/env_18.0/src/openupgrade/openupgrade_scripts/scripts/account_edi_ubl_cii/18.0.1.0/upgrade_analysis.txt" xr:uid="{85A01178-DF8D-4A26-94D5-457C52A88528}"/>
    <hyperlink ref="F745" r:id="rId249" display="src/env_18.0/src/openupgrade/openupgrade_scripts/scripts/account_fleet/18.0.1.0/upgrade_analysis.txt" xr:uid="{AA4A36F6-55BE-4C35-BF35-67FF1DA9BDC0}"/>
    <hyperlink ref="F748" r:id="rId250" display="src/env_18.0/src/openupgrade/openupgrade_scripts/scripts/account_payment/18.0.2.0/upgrade_analysis.txt" xr:uid="{AE7A7CBE-E7C3-4E4D-B1B2-6C1540F43895}"/>
    <hyperlink ref="F751" r:id="rId251" display="src/env_18.0/src/openupgrade/openupgrade_scripts/scripts/account_peppol/18.0.1.1/upgrade_analysis.txt" xr:uid="{4757E1F4-4409-40F0-9F86-128E9749137B}"/>
    <hyperlink ref="F753" r:id="rId252" display="src/env_18.0/src/openupgrade/openupgrade_scripts/scripts/account_qr_code_emv/18.0.1.0/upgrade_analysis.txt" xr:uid="{A6E1F95C-B161-40A1-90DD-747A48A58407}"/>
    <hyperlink ref="F756" r:id="rId253" display="src/env_18.0/src/openupgrade/openupgrade_scripts/scripts/account_tax_python/18.0.1.0/upgrade_analysis.txt" xr:uid="{EC34E790-CF3F-464D-B892-D8B3CA5CF55E}"/>
    <hyperlink ref="F760" r:id="rId254" display="src/env_18.0/src/openupgrade/openupgrade_scripts/scripts/analytic/18.0.1.2/upgrade_analysis.txt" xr:uid="{B1D90B6D-18C2-4019-8045-849AEBCC3653}"/>
    <hyperlink ref="F768" r:id="rId255" display="src/env_18.0/src/openupgrade/openupgrade_scripts/scripts/auth_signup/18.0.1.0/upgrade_analysis.txt" xr:uid="{9DB3F46B-0BAF-42ED-BFDC-FC19238E0E7C}"/>
    <hyperlink ref="F776" r:id="rId256" display="src/env_18.0/src/openupgrade/openupgrade_scripts/scripts/base/18.0.1.3/upgrade_analysis.txt" xr:uid="{9AEAED37-F5E3-4E60-927A-FAF23A3EF7E2}"/>
    <hyperlink ref="F779" r:id="rId257" display="src/env_18.0/src/openupgrade/openupgrade_scripts/scripts/base_automation/18.0.1.0/upgrade_analysis.txt" xr:uid="{CEBA1E39-5F9B-407E-A72A-6CCF26269751}"/>
    <hyperlink ref="F785" r:id="rId258" display="src/env_18.0/src/openupgrade/openupgrade_scripts/scripts/base_install_request/18.0.1.0/upgrade_analysis.txt" xr:uid="{65733C9A-F1D3-4607-94D7-2CA1F407AD3F}"/>
    <hyperlink ref="F787" r:id="rId259" display="src/env_18.0/src/openupgrade/openupgrade_scripts/scripts/base_setup/18.0.1.0/upgrade_analysis.txt" xr:uid="{9DCA976E-F4EE-4997-974C-AC08A1514FA5}"/>
    <hyperlink ref="F792" r:id="rId260" display="src/env_18.0/src/openupgrade/openupgrade_scripts/scripts/bus/18.0.1.0/upgrade_analysis.txt" xr:uid="{15EDF3AA-3D2D-4B3B-A90B-6F6B29F27621}"/>
    <hyperlink ref="F794" r:id="rId261" display="src/env_18.0/src/openupgrade/openupgrade_scripts/scripts/calendar/18.0.1.1/upgrade_analysis.txt" xr:uid="{5EA4A4D5-B0D8-47CD-A2F9-6F45CD179D9F}"/>
    <hyperlink ref="F798" r:id="rId262" display="src/env_18.0/src/openupgrade/openupgrade_scripts/scripts/crm/18.0.1.8/upgrade_analysis.txt" xr:uid="{9BF4DEB2-BA8E-433F-B35C-CF0A83C4D749}"/>
    <hyperlink ref="F806" r:id="rId263" display="src/env_18.0/src/openupgrade/openupgrade_scripts/scripts/delivery/18.0.1.0/upgrade_analysis.txt" xr:uid="{08F62415-BE17-4DB2-873C-16344D1016BA}"/>
    <hyperlink ref="F810" r:id="rId264" display="src/env_18.0/src/openupgrade/openupgrade_scripts/scripts/digest/18.0.1.1/upgrade_analysis.txt" xr:uid="{FA2D6A40-99D3-4DBA-8BAE-C0E1A2037008}"/>
    <hyperlink ref="F812" r:id="rId265" display="src/env_18.0/src/openupgrade/openupgrade_scripts/scripts/event/18.0.1.9/upgrade_analysis.txt" xr:uid="{8000A46D-F323-4E4B-98C9-CA31A9F39C27}"/>
    <hyperlink ref="F815" r:id="rId266" display="src/env_18.0/src/openupgrade/openupgrade_scripts/scripts/event_booth_sale/18.0.1.2/upgrade_analysis.txt" xr:uid="{7CB2F810-21C4-4352-B439-3E5709D56FDE}"/>
    <hyperlink ref="F817" r:id="rId267" display="src/env_18.0/src/openupgrade/openupgrade_scripts/scripts/event_crm/18.0.1.0/upgrade_analysis.txt" xr:uid="{70171728-F49C-4F0B-92A9-F13B7E3B7923}"/>
    <hyperlink ref="F820" r:id="rId268" display="src/env_18.0/src/openupgrade/openupgrade_scripts/scripts/event_sale/18.0.1.3/upgrade_analysis.txt" xr:uid="{6D6220A2-CC82-403B-AD24-82E468E5AEBB}"/>
    <hyperlink ref="F823" r:id="rId269" display="src/env_18.0/src/openupgrade/openupgrade_scripts/scripts/fleet/18.0.0.1/upgrade_analysis.txt" xr:uid="{047A0875-E9BC-4EA8-8CC5-F832E9A75116}"/>
    <hyperlink ref="F828" r:id="rId270" display="src/env_18.0/src/openupgrade/openupgrade_scripts/scripts/google_calendar/18.0.1.0/upgrade_analysis.txt" xr:uid="{7E11F99C-EA34-41F2-B94A-BACECF69D104}"/>
    <hyperlink ref="F832" r:id="rId271" display="src/env_18.0/src/openupgrade/openupgrade_scripts/scripts/hr/18.0.1.1/upgrade_analysis.txt" xr:uid="{370028AD-6AFB-4689-91D2-AD6C651F7FD9}"/>
    <hyperlink ref="F834" r:id="rId272" display="src/env_18.0/src/openupgrade/openupgrade_scripts/scripts/hr_attendance/18.0.2.0/upgrade_analysis.txt" xr:uid="{1BB3D0F0-AE29-47C0-A28F-523FF52CBA9F}"/>
    <hyperlink ref="F836" r:id="rId273" display="src/env_18.0/src/openupgrade/openupgrade_scripts/scripts/hr_contract/18.0.1.0/upgrade_analysis.txt" xr:uid="{42931F90-7D87-419D-8B33-FD1E646E1825}"/>
    <hyperlink ref="F838" r:id="rId274" display="src/env_18.0/src/openupgrade/openupgrade_scripts/scripts/hr_expense/18.0.2.0/upgrade_analysis.txt" xr:uid="{745A1BCA-0392-4DED-9D8F-31CE2AB5CA53}"/>
    <hyperlink ref="F840" r:id="rId275" display="src/env_18.0/src/openupgrade/openupgrade_scripts/scripts/hr_fleet/18.0.1.0/upgrade_analysis.txt" xr:uid="{970C99E2-60B8-4C1C-A998-33EF847252DC}"/>
    <hyperlink ref="F842" r:id="rId276" display="src/env_18.0/src/openupgrade/openupgrade_scripts/scripts/hr_gamification/18.0.1.0/upgrade_analysis.txt" xr:uid="{D0E071C7-9FCB-4701-BDB4-D02A1D741A2B}"/>
    <hyperlink ref="F844" r:id="rId277" display="src/env_18.0/src/openupgrade/openupgrade_scripts/scripts/hr_holidays/18.0.1.6/upgrade_analysis.txt" xr:uid="{2FC41866-1940-41EA-8B26-20399D2C6B01}"/>
    <hyperlink ref="F847" r:id="rId278" display="src/env_18.0/src/openupgrade/openupgrade_scripts/scripts/hr_homeworking/18.0.2.0/upgrade_analysis.txt" xr:uid="{67D26B5E-F7F5-433E-A58D-F251354178FF}"/>
    <hyperlink ref="F851" r:id="rId279" display="src/env_18.0/src/openupgrade/openupgrade_scripts/scripts/hr_maintenance/18.0.1.0/upgrade_analysis.txt" xr:uid="{49EA5AAD-3A09-4758-9060-F775D049F83A}"/>
    <hyperlink ref="F853" r:id="rId280" display="src/env_18.0/src/openupgrade/openupgrade_scripts/scripts/hr_org_chart/18.0.1.0/upgrade_analysis.txt" xr:uid="{77B4E53C-4C29-43E1-99A3-0511D270F929}"/>
    <hyperlink ref="F855" r:id="rId281" display="src/env_18.0/src/openupgrade/openupgrade_scripts/scripts/hr_presence/18.0.1.0/upgrade_analysis.txt" xr:uid="{B3A954D1-9130-48C2-B8E3-CAA44537B73F}"/>
    <hyperlink ref="F857" r:id="rId282" display="src/env_18.0/src/openupgrade/openupgrade_scripts/scripts/hr_recruitment/18.0.1.1/upgrade_analysis.txt" xr:uid="{EDAA641D-0D05-4231-887E-FFF94D00A207}"/>
    <hyperlink ref="F859" r:id="rId283" display="src/env_18.0/src/openupgrade/openupgrade_scripts/scripts/hr_recruitment_skills/18.0.1.0/upgrade_analysis.txt" xr:uid="{E29E11B3-65F2-487B-87DA-ADDCEBD71102}"/>
    <hyperlink ref="F861" r:id="rId284" display="src/env_18.0/src/openupgrade/openupgrade_scripts/scripts/hr_recruitment_survey/18.0.1.0/upgrade_analysis.txt" xr:uid="{82A0410A-0DA5-4087-B12D-E87B852480CB}"/>
    <hyperlink ref="F863" r:id="rId285" display="src/env_18.0/src/openupgrade/openupgrade_scripts/scripts/hr_skills/18.0.1.0/upgrade_analysis.txt" xr:uid="{6DC448B0-6A45-41FB-8AEB-21A7A71A4728}"/>
    <hyperlink ref="F866" r:id="rId286" display="src/env_18.0/src/openupgrade/openupgrade_scripts/scripts/hr_skills_survey/18.0.1.0/upgrade_analysis.txt" xr:uid="{66568785-CB83-4E75-9CEA-7F75DC4E5145}"/>
    <hyperlink ref="F868" r:id="rId287" display="src/env_18.0/src/openupgrade/openupgrade_scripts/scripts/hr_timesheet/18.0.1.0/upgrade_analysis.txt" xr:uid="{7E586025-C90B-4F5D-9E99-2C51DF6C4502}"/>
    <hyperlink ref="F871" r:id="rId288" display="src/env_18.0/src/openupgrade/openupgrade_scripts/scripts/hr_work_entry/18.0.1.0/upgrade_analysis.txt" xr:uid="{8551F32D-4BF8-4FE6-894D-9562481077CD}"/>
    <hyperlink ref="F874" r:id="rId289" display="src/env_18.0/src/openupgrade/openupgrade_scripts/scripts/hr_work_entry_holidays/18.0.1.0/upgrade_analysis.txt" xr:uid="{00C5D0A1-79CB-43EB-A76F-830BC4A6CF5E}"/>
    <hyperlink ref="F880" r:id="rId290" display="src/env_18.0/src/openupgrade/openupgrade_scripts/scripts/iap/18.0.1.1/upgrade_analysis.txt" xr:uid="{8FE4C28A-57FA-4E5E-8C1F-D7F819E1F0B8}"/>
    <hyperlink ref="F883" r:id="rId291" display="src/env_18.0/src/openupgrade/openupgrade_scripts/scripts/iap_mail/18.0.1.0/upgrade_analysis.txt" xr:uid="{DD53E6CF-5505-4ACB-A185-7D18BE521ADE}"/>
    <hyperlink ref="F885" r:id="rId292" display="src/env_18.0/src/openupgrade/openupgrade_scripts/scripts/im_livechat/18.0.1.0/upgrade_analysis.txt" xr:uid="{27DBE028-600E-42CC-A787-3A71E6A8F5C0}"/>
    <hyperlink ref="F889" r:id="rId293" display="src/env_18.0/src/openupgrade/openupgrade_scripts/scripts/l10n_ae/18.0.1.0/upgrade_analysis.txt" xr:uid="{094B4F6A-545A-462B-9788-EB106EA40E01}"/>
    <hyperlink ref="F891" r:id="rId294" display="src/env_18.0/src/openupgrade/openupgrade_scripts/scripts/l10n_anz_ubl_pint/18.0.1.0/upgrade_analysis.txt" xr:uid="{294A9659-C51A-4516-9A50-8F89099B85BF}"/>
    <hyperlink ref="F893" r:id="rId295" display="src/env_18.0/src/openupgrade/openupgrade_scripts/scripts/l10n_ar/18.0.3.7/upgrade_analysis.txt" xr:uid="{ED9E7D1F-FBF2-4E9A-B19C-DB8D1ED98060}"/>
    <hyperlink ref="F896" r:id="rId296" display="src/env_18.0/src/openupgrade/openupgrade_scripts/scripts/l10n_ar_website_sale/18.0.1.0/upgrade_analysis.txt" xr:uid="{8C74D2E4-820A-4984-A64B-22514D279535}"/>
    <hyperlink ref="F898" r:id="rId297" display="src/env_18.0/src/openupgrade/openupgrade_scripts/scripts/l10n_ar_withholding/18.0.1.0/upgrade_analysis.txt" xr:uid="{93E15301-369C-4B3E-9745-B44F4CA7CF14}"/>
    <hyperlink ref="F901" r:id="rId298" display="src/env_18.0/src/openupgrade/openupgrade_scripts/scripts/l10n_au/18.0.1.1/upgrade_analysis.txt" xr:uid="{756E3368-0D33-400F-8631-C4EC255FAE64}"/>
    <hyperlink ref="F904" r:id="rId299" display="src/env_18.0/src/openupgrade/openupgrade_scripts/scripts/l10n_be/18.0.2.0/upgrade_analysis.txt" xr:uid="{76C03925-6694-49D9-A180-5E06D4E29E04}"/>
    <hyperlink ref="F912" r:id="rId300" display="src/env_18.0/src/openupgrade/openupgrade_scripts/scripts/l10n_br/18.0.1.0/upgrade_analysis.txt" xr:uid="{A92F5590-692A-44A8-9FAF-A2DDD88D57FF}"/>
    <hyperlink ref="F916" r:id="rId301" display="src/env_18.0/src/openupgrade/openupgrade_scripts/scripts/l10n_br_website_sale/18.0.1.0/upgrade_analysis.txt" xr:uid="{DA40DC3F-E34E-4E7D-9E5F-81D5DAE22FB0}"/>
    <hyperlink ref="F918" r:id="rId302" display="src/env_18.0/src/openupgrade/openupgrade_scripts/scripts/l10n_ca/18.0.1.0/upgrade_analysis.txt" xr:uid="{4C55BCF8-C5D0-422B-99DF-9B315F1E8480}"/>
    <hyperlink ref="F923" r:id="rId303" display="src/env_18.0/src/openupgrade/openupgrade_scripts/scripts/l10n_ch/18.0.11.3/upgrade_analysis.txt" xr:uid="{58701152-1319-4EC2-9B22-2FDEB37A71D0}"/>
    <hyperlink ref="F931" r:id="rId304" display="src/env_18.0/src/openupgrade/openupgrade_scripts/scripts/l10n_co/18.0.0.9/upgrade_analysis.txt" xr:uid="{F7317791-A6F6-4F09-B74C-FA708F8BBC3B}"/>
    <hyperlink ref="F936" r:id="rId305" display="src/env_18.0/src/openupgrade/openupgrade_scripts/scripts/l10n_cz/18.0.1.1/upgrade_analysis.txt" xr:uid="{0B4CF0FA-F012-4F79-AB4A-A0A0D2D1591E}"/>
    <hyperlink ref="F938" r:id="rId306" display="src/env_18.0/src/openupgrade/openupgrade_scripts/scripts/l10n_de/18.0.2.0/upgrade_analysis.txt" xr:uid="{E39E8959-8E15-4A98-8769-081E239E4486}"/>
    <hyperlink ref="F941" r:id="rId307" display="src/env_18.0/src/openupgrade/openupgrade_scripts/scripts/l10n_din5008/18.0.1.0/upgrade_analysis.txt" xr:uid="{1059BE6A-0FC0-4848-9FF7-AC1247EFE1AA}"/>
    <hyperlink ref="F943" r:id="rId308" display="src/env_18.0/src/openupgrade/openupgrade_scripts/scripts/l10n_din5008_purchase/18.0.1.0/upgrade_analysis.txt" xr:uid="{F7A01C42-64CF-4AA3-A00F-722196047F11}"/>
    <hyperlink ref="F945" r:id="rId309" display="src/env_18.0/src/openupgrade/openupgrade_scripts/scripts/l10n_din5008_repair/18.0.1.0/upgrade_analysis.txt" xr:uid="{9388F965-0126-4DFE-A18A-34266D06EDDC}"/>
    <hyperlink ref="F947" r:id="rId310" display="src/env_18.0/src/openupgrade/openupgrade_scripts/scripts/l10n_din5008_sale/18.0.1.0/upgrade_analysis.txt" xr:uid="{E2F830A2-8C98-4D78-8713-9ADBBF5F2F35}"/>
    <hyperlink ref="F949" r:id="rId311" display="src/env_18.0/src/openupgrade/openupgrade_scripts/scripts/l10n_din5008_stock/18.0.1.0/upgrade_analysis.txt" xr:uid="{B9835CD4-CE75-4834-AFA4-92DB43D348E9}"/>
    <hyperlink ref="F951" r:id="rId312" display="src/env_18.0/src/openupgrade/openupgrade_scripts/scripts/l10n_dk/18.0.1.3/upgrade_analysis.txt" xr:uid="{53885017-3054-40D4-BB24-C249C7F2A787}"/>
    <hyperlink ref="F955" r:id="rId313" display="src/env_18.0/src/openupgrade/openupgrade_scripts/scripts/l10n_dk_oioubl/18.0.0.1/upgrade_analysis.txt" xr:uid="{3FA5A394-28D3-4A32-9715-80B34A52D650}"/>
    <hyperlink ref="F961" r:id="rId314" display="src/env_18.0/src/openupgrade/openupgrade_scripts/scripts/l10n_ec_website_sale/18.0.1.0/upgrade_analysis.txt" xr:uid="{A271B07D-E557-4658-90AC-4EA64A452854}"/>
    <hyperlink ref="F966" r:id="rId315" display="src/env_18.0/src/openupgrade/openupgrade_scripts/scripts/l10n_es/18.0.5.4/upgrade_analysis.txt" xr:uid="{9C2FC91D-B855-463C-BC7F-1C280CF6AE2B}"/>
    <hyperlink ref="F968" r:id="rId316" display="src/env_18.0/src/openupgrade/openupgrade_scripts/scripts/l10n_es_edi_facturae/18.0.1.0/upgrade_analysis.txt" xr:uid="{B6697F2F-57F5-4838-9F2B-7140C7AC6D5E}"/>
    <hyperlink ref="F972" r:id="rId317" display="src/env_18.0/src/openupgrade/openupgrade_scripts/scripts/l10n_es_edi_sii/18.0.1.1/upgrade_analysis.txt" xr:uid="{7636E2E8-4035-432B-AA33-E88773450C88}"/>
    <hyperlink ref="F974" r:id="rId318" display="src/env_18.0/src/openupgrade/openupgrade_scripts/scripts/l10n_es_edi_tbai/18.0.1.1/upgrade_analysis.txt" xr:uid="{7373B005-FC22-4B72-9AA8-A5C2696CFFD1}"/>
    <hyperlink ref="F977" r:id="rId319" display="src/env_18.0/src/openupgrade/openupgrade_scripts/scripts/l10n_es_edi_tbai_pos/18.0.1.0/upgrade_analysis.txt" xr:uid="{5FB2C7FA-B92D-4D15-BB6C-BA073A6EE9DD}"/>
    <hyperlink ref="F980" r:id="rId320" display="src/env_18.0/src/openupgrade/openupgrade_scripts/scripts/l10n_es_pos/18.0.1.0/upgrade_analysis.txt" xr:uid="{9F45C9EF-7645-4473-8D35-1012F76725E6}"/>
    <hyperlink ref="F987" r:id="rId321" display="src/env_18.0/src/openupgrade/openupgrade_scripts/scripts/l10n_fr/18.0.2.1/upgrade_analysis.txt" xr:uid="{273FCF6F-CF1F-4230-8B07-6E7063F6104D}"/>
    <hyperlink ref="F989" r:id="rId322" display="src/env_18.0/src/openupgrade/openupgrade_scripts/scripts/l10n_fr_account/18.0.2.2/upgrade_analysis.txt" xr:uid="{2254212C-C229-4753-BE66-49F102E21B32}"/>
    <hyperlink ref="F996" r:id="rId323" display="src/env_18.0/src/openupgrade/openupgrade_scripts/scripts/l10n_fr_pos_cert/18.0.1.0/upgrade_analysis.txt" xr:uid="{E93C728B-3C87-464F-BF37-66300E233DF7}"/>
    <hyperlink ref="F1012" r:id="rId324" display="src/env_18.0/src/openupgrade/openupgrade_scripts/scripts/l10n_hu_edi/18.0.1.0.0/upgrade_analysis.txt" xr:uid="{91157AC8-A058-496F-8BEB-934385219121}"/>
    <hyperlink ref="F1014" r:id="rId325" display="src/env_18.0/src/openupgrade/openupgrade_scripts/scripts/l10n_id/18.0.1.1/upgrade_analysis.txt" xr:uid="{DFAE905A-6A9D-410B-BD41-2CC4FFB8BF2B}"/>
    <hyperlink ref="F1016" r:id="rId326" display="src/env_18.0/src/openupgrade/openupgrade_scripts/scripts/l10n_id_efaktur/18.0.1.0/upgrade_analysis.txt" xr:uid="{1EEC38ED-FDCD-4B82-B243-CA37DBBCCFC3}"/>
    <hyperlink ref="F1021" r:id="rId327" display="src/env_18.0/src/openupgrade/openupgrade_scripts/scripts/l10n_in/18.0.2.0/upgrade_analysis.txt" xr:uid="{64F68228-76A1-4407-86C7-4C77AA27CD50}"/>
    <hyperlink ref="F1023" r:id="rId328" display="src/env_18.0/src/openupgrade/openupgrade_scripts/scripts/l10n_in_edi/18.0.1.03.00/upgrade_analysis.txt" xr:uid="{F8F1D5B2-4512-499B-9ADA-34C18DBA3DC3}"/>
    <hyperlink ref="F1027" r:id="rId329" display="src/env_18.0/src/openupgrade/openupgrade_scripts/scripts/l10n_in_pos/18.0.1.0/upgrade_analysis.txt" xr:uid="{45A81E6F-8884-40C2-A50B-E17AA5D17C4C}"/>
    <hyperlink ref="F1034" r:id="rId330" display="src/env_18.0/src/openupgrade/openupgrade_scripts/scripts/l10n_in_withholding/18.0.1.0/upgrade_analysis.txt" xr:uid="{690B4A93-9390-462C-9AF2-698811A1A7A5}"/>
    <hyperlink ref="F1037" r:id="rId331" display="src/env_18.0/src/openupgrade/openupgrade_scripts/scripts/l10n_it/18.0.0.7/upgrade_analysis.txt" xr:uid="{A2E78484-CD84-4F8D-A6DF-8C4DCD0BE0AE}"/>
    <hyperlink ref="F1039" r:id="rId332" display="src/env_18.0/src/openupgrade/openupgrade_scripts/scripts/l10n_it_edi/18.0.0.4/upgrade_analysis.txt" xr:uid="{0650A047-EF12-4CA8-A3E2-4E1F42AF10C9}"/>
    <hyperlink ref="F1041" r:id="rId333" display="src/env_18.0/src/openupgrade/openupgrade_scripts/scripts/l10n_it_edi_doi/18.0.0.1/upgrade_analysis.txt" xr:uid="{F948E101-DDCE-4582-B2D2-93F198E6C7DC}"/>
    <hyperlink ref="F1046" r:id="rId334" display="src/env_18.0/src/openupgrade/openupgrade_scripts/scripts/l10n_it_edi_withholding/18.0.0.1/upgrade_analysis.txt" xr:uid="{BA35A2B3-F998-439D-8BB4-E2D022CB37D3}"/>
    <hyperlink ref="F1050" r:id="rId335" display="src/env_18.0/src/openupgrade/openupgrade_scripts/scripts/l10n_jo_edi/18.0.1.0/upgrade_analysis.txt" xr:uid="{B0EF4415-865D-471E-AC7A-0E0F82A70F82}"/>
    <hyperlink ref="F1053" r:id="rId336" display="src/env_18.0/src/openupgrade/openupgrade_scripts/scripts/l10n_jp_ubl_pint/18.0.1.0/upgrade_analysis.txt" xr:uid="{9EF20C9A-979F-437C-97BF-1E53612FAC43}"/>
    <hyperlink ref="F1055" r:id="rId337" display="src/env_18.0/src/openupgrade/openupgrade_scripts/scripts/l10n_ke/18.0.1.0/upgrade_analysis.txt" xr:uid="{6BD32456-8DC1-422E-AEE4-A98608C70C6E}"/>
    <hyperlink ref="F1057" r:id="rId338" display="src/env_18.0/src/openupgrade/openupgrade_scripts/scripts/l10n_ke_edi_tremol/18.0.1.0/upgrade_analysis.txt" xr:uid="{92A32FFA-CA58-4D15-9F1B-458A8BD632FB}"/>
    <hyperlink ref="F1063" r:id="rId339" display="src/env_18.0/src/openupgrade/openupgrade_scripts/scripts/l10n_latam_check/18.0.1.0.0/upgrade_analysis.txt" xr:uid="{8C01ECF8-6965-44E3-9611-913FFBD550AC}"/>
    <hyperlink ref="F1065" r:id="rId340" display="src/env_18.0/src/openupgrade/openupgrade_scripts/scripts/l10n_latam_invoice_document/18.0.1.0/upgrade_analysis.txt" xr:uid="{740F38D8-7E8D-4FC9-92F8-55188E17830D}"/>
    <hyperlink ref="F1068" r:id="rId341" display="src/env_18.0/src/openupgrade/openupgrade_scripts/scripts/l10n_lt/18.0.1.0.0/upgrade_analysis.txt" xr:uid="{6D352A5C-4160-455D-B0AF-9BD63B9053AF}"/>
    <hyperlink ref="F1070" r:id="rId342" display="src/env_18.0/src/openupgrade/openupgrade_scripts/scripts/l10n_lu/18.0.2.2/upgrade_analysis.txt" xr:uid="{B7F04F95-CD3F-4B0E-BBA0-DCCC3C00472C}"/>
    <hyperlink ref="F1072" r:id="rId343" display="src/env_18.0/src/openupgrade/openupgrade_scripts/scripts/l10n_lv/18.0.1.0.0/upgrade_analysis.txt" xr:uid="{8DFAB907-9762-4C9F-8314-E2E016E9964C}"/>
    <hyperlink ref="F1074" r:id="rId344" display="src/env_18.0/src/openupgrade/openupgrade_scripts/scripts/l10n_ma/18.0.1.0/upgrade_analysis.txt" xr:uid="{127FEF78-E2E6-4FBC-A10C-55DF871BBEF8}"/>
    <hyperlink ref="F1080" r:id="rId345" display="src/env_18.0/src/openupgrade/openupgrade_scripts/scripts/l10n_mu_account/18.0.1.0/upgrade_analysis.txt" xr:uid="{CE61BC14-31CD-4FDA-8CB7-ADC459528699}"/>
    <hyperlink ref="F1082" r:id="rId346" display="src/env_18.0/src/openupgrade/openupgrade_scripts/scripts/l10n_mx/18.0.2.2/upgrade_analysis.txt" xr:uid="{41857527-EB11-4CDC-A6F1-92B1376E7801}"/>
    <hyperlink ref="F1084" r:id="rId347" display="src/env_18.0/src/openupgrade/openupgrade_scripts/scripts/l10n_mx_hr/18.0.1.0/upgrade_analysis.txt" xr:uid="{3C7DF304-458C-4D9C-BE9E-9FD9244C5BA6}"/>
    <hyperlink ref="F1087" r:id="rId348" display="src/env_18.0/src/openupgrade/openupgrade_scripts/scripts/l10n_my_edi/18.0.1.0/upgrade_analysis.txt" xr:uid="{4061F46D-55E0-4F46-9838-6A0841E3FD97}"/>
    <hyperlink ref="F1090" r:id="rId349" display="src/env_18.0/src/openupgrade/openupgrade_scripts/scripts/l10n_my_ubl_pint/18.0.1.0/upgrade_analysis.txt" xr:uid="{691A8C21-6E39-46A0-9EA6-255422DDC8B3}"/>
    <hyperlink ref="F1095" r:id="rId350" display="src/env_18.0/src/openupgrade/openupgrade_scripts/scripts/l10n_nl/18.0.3.4/upgrade_analysis.txt" xr:uid="{E685D93A-8B3A-455B-8A11-D6F576075DB9}"/>
    <hyperlink ref="F1100" r:id="rId351" display="src/env_18.0/src/openupgrade/openupgrade_scripts/scripts/l10n_pe/18.0.3.0/upgrade_analysis.txt" xr:uid="{21B2CD03-CD16-4F7E-8C9A-1E1FC3C471F5}"/>
    <hyperlink ref="F1104" r:id="rId352" display="src/env_18.0/src/openupgrade/openupgrade_scripts/scripts/l10n_ph/18.0.1.1/upgrade_analysis.txt" xr:uid="{A1E9D0D0-0A9C-473A-AF68-E2880569666E}"/>
    <hyperlink ref="F1106" r:id="rId353" display="src/env_18.0/src/openupgrade/openupgrade_scripts/scripts/l10n_pk/18.0.1.1/upgrade_analysis.txt" xr:uid="{E7288BD2-E78C-4869-B841-C6846127F820}"/>
    <hyperlink ref="F1112" r:id="rId354" display="src/env_18.0/src/openupgrade/openupgrade_scripts/scripts/l10n_ro_edi/18.0.1.0/upgrade_analysis.txt" xr:uid="{F8BBF02A-DC23-42FA-A8EB-1188CAFD0FFE}"/>
    <hyperlink ref="F1114" r:id="rId355" display="src/env_18.0/src/openupgrade/openupgrade_scripts/scripts/l10n_ro_edi_stock/18.0.1.0/upgrade_analysis.txt" xr:uid="{69AFF4AA-0864-42C2-9E33-02C4A9D6F61B}"/>
    <hyperlink ref="F1121" r:id="rId356" display="src/env_18.0/src/openupgrade/openupgrade_scripts/scripts/l10n_sa_edi/18.0.0.1/upgrade_analysis.txt" xr:uid="{FB8B6433-FD9E-4C7E-8D6E-8363573BB396}"/>
    <hyperlink ref="F1127" r:id="rId357" display="src/env_18.0/src/openupgrade/openupgrade_scripts/scripts/l10n_sg_ubl_pint/18.0.1.0/upgrade_analysis.txt" xr:uid="{E27253BE-8075-4959-A02F-8ADC3F7335C0}"/>
    <hyperlink ref="F1130" r:id="rId358" display="src/env_18.0/src/openupgrade/openupgrade_scripts/scripts/l10n_sk/18.0.1.0/upgrade_analysis.txt" xr:uid="{54396A79-D5CC-4897-8F86-568A67C877CC}"/>
    <hyperlink ref="F1138" r:id="rId359" display="src/env_18.0/src/openupgrade/openupgrade_scripts/scripts/l10n_tr/18.0.1.3/upgrade_analysis.txt" xr:uid="{EB3987D9-DF85-4945-ADB3-F95047EA1C26}"/>
    <hyperlink ref="F1140" r:id="rId360" display="src/env_18.0/src/openupgrade/openupgrade_scripts/scripts/l10n_tr_nilvera/18.0.1.0/upgrade_analysis.txt" xr:uid="{34781FEA-8A1D-472B-AD03-04A170842A08}"/>
    <hyperlink ref="F1142" r:id="rId361" display="src/env_18.0/src/openupgrade/openupgrade_scripts/scripts/l10n_tr_nilvera_einvoice/18.0.1.0/upgrade_analysis.txt" xr:uid="{F8E2CA1A-3191-4FC1-9D37-273E0F263DEF}"/>
    <hyperlink ref="F1147" r:id="rId362" display="src/env_18.0/src/openupgrade/openupgrade_scripts/scripts/l10n_ug/18.0.1.0.0/upgrade_analysis.txt" xr:uid="{0464B92E-D811-417D-B13E-140672985222}"/>
    <hyperlink ref="F1153" r:id="rId363" display="src/env_18.0/src/openupgrade/openupgrade_scripts/scripts/l10n_vn/18.0.2.0.3/upgrade_analysis.txt" xr:uid="{E53FFD7B-2026-4964-9D1F-4A598EFA59BA}"/>
    <hyperlink ref="F1155" r:id="rId364" display="src/env_18.0/src/openupgrade/openupgrade_scripts/scripts/l10n_vn_edi_viettel/18.0.1.0/upgrade_analysis.txt" xr:uid="{908F230E-C901-4BB6-9AC2-962233F2E406}"/>
    <hyperlink ref="F1160" r:id="rId365" display="src/env_18.0/src/openupgrade/openupgrade_scripts/scripts/loyalty/18.0.1.0/upgrade_analysis.txt" xr:uid="{4D3672BA-0AEF-4184-96A3-69705AD1537D}"/>
    <hyperlink ref="F1162" r:id="rId366" display="src/env_18.0/src/openupgrade/openupgrade_scripts/scripts/lunch/18.0.1.0/upgrade_analysis.txt" xr:uid="{D8AA9D4B-579A-4EA6-87DF-9F87C13C837A}"/>
    <hyperlink ref="F1164" r:id="rId367" display="src/env_18.0/src/openupgrade/openupgrade_scripts/scripts/mail/18.0.1.18/upgrade_analysis.txt" xr:uid="{2F31DA78-BDBB-4205-B660-ABB775C27882}"/>
    <hyperlink ref="F1166" r:id="rId368" display="src/env_18.0/src/openupgrade/openupgrade_scripts/scripts/mail_bot/18.0.1.2/upgrade_analysis.txt" xr:uid="{B0F5B7A3-247D-471C-B9FB-B660225C6460}"/>
    <hyperlink ref="F1171" r:id="rId369" display="src/env_18.0/src/openupgrade/openupgrade_scripts/scripts/maintenance/18.0.1.0/upgrade_analysis.txt" xr:uid="{38D79514-66B9-42E1-B271-8F3722B91683}"/>
    <hyperlink ref="F1173" r:id="rId370" display="src/env_18.0/src/openupgrade/openupgrade_scripts/scripts/mass_mailing/18.0.2.7/upgrade_analysis.txt" xr:uid="{B7095C7D-8FFF-4FAC-814F-7B1982F8E4CD}"/>
    <hyperlink ref="F1185" r:id="rId371" display="src/env_18.0/src/openupgrade/openupgrade_scripts/scripts/mass_mailing_themes/18.0.1.2/upgrade_analysis.txt" xr:uid="{0B7752A3-E0B0-4D71-A262-5749577220F5}"/>
    <hyperlink ref="F1187" r:id="rId372" display="src/env_18.0/src/openupgrade/openupgrade_scripts/scripts/membership/18.0.1.0/upgrade_analysis.txt" xr:uid="{9EA2D8D6-0B4A-4F44-8C54-8F0DF9B57449}"/>
    <hyperlink ref="F1190" r:id="rId373" display="src/env_18.0/src/openupgrade/openupgrade_scripts/scripts/microsoft_calendar/18.0.1.0/upgrade_analysis.txt" xr:uid="{1A58A902-076A-4EAD-91F7-72B83D75F5BD}"/>
    <hyperlink ref="F1193" r:id="rId374" display="src/env_18.0/src/openupgrade/openupgrade_scripts/scripts/mrp/18.0.2.0/upgrade_analysis.txt" xr:uid="{4B0E9275-FC16-4B97-8B33-E518CD4D0ADC}"/>
    <hyperlink ref="F1195" r:id="rId375" display="src/env_18.0/src/openupgrade/openupgrade_scripts/scripts/mrp_account/18.0.1.0/upgrade_analysis.txt" xr:uid="{1DD2C906-50B1-41E6-8A58-37B93579D298}"/>
    <hyperlink ref="F1199" r:id="rId376" display="src/env_18.0/src/openupgrade/openupgrade_scripts/scripts/mrp_repair/18.0.1.0/upgrade_analysis.txt" xr:uid="{01B2339B-3CAC-4F92-B25D-18DD2E4D89D6}"/>
    <hyperlink ref="F1201" r:id="rId377" display="src/env_18.0/src/openupgrade/openupgrade_scripts/scripts/mrp_subcontracting/18.0.0.1/upgrade_analysis.txt" xr:uid="{FBFEF9A2-3790-4CF6-A03B-5A5129C4FA0D}"/>
    <hyperlink ref="F1205" r:id="rId378" display="src/env_18.0/src/openupgrade/openupgrade_scripts/scripts/mrp_subcontracting_landed_costs/18.0.1.0/upgrade_analysis.txt" xr:uid="{2A264AF8-0D33-499D-A716-9E53570A2B6C}"/>
    <hyperlink ref="F1211" r:id="rId379" display="src/env_18.0/src/openupgrade/openupgrade_scripts/scripts/partner_autocomplete/18.0.1.1/upgrade_analysis.txt" xr:uid="{9FA57176-A203-4FB3-9090-CC88CF290AD3}"/>
    <hyperlink ref="F1213" r:id="rId380" display="src/env_18.0/src/openupgrade/openupgrade_scripts/scripts/payment/18.0.2.0/upgrade_analysis.txt" xr:uid="{48B90C83-D9C7-4FDB-B479-35FC8E0CC6F6}"/>
    <hyperlink ref="F1221" r:id="rId381" display="src/env_18.0/src/openupgrade/openupgrade_scripts/scripts/payment_custom/18.0.2.0/upgrade_analysis.txt" xr:uid="{D8C5D228-7556-4EEF-AF37-E99B917E9F4B}"/>
    <hyperlink ref="F1223" r:id="rId382" display="src/env_18.0/src/openupgrade/openupgrade_scripts/scripts/payment_demo/18.0.2.0/upgrade_analysis.txt" xr:uid="{FAB7F3CA-136D-4171-B834-8D8D08DA6FC2}"/>
    <hyperlink ref="F1229" r:id="rId383" display="src/env_18.0/src/openupgrade/openupgrade_scripts/scripts/payment_paypal/18.0.2.0/upgrade_analysis.txt" xr:uid="{5537A012-46D8-4B7A-AF9D-43FFE75A8B39}"/>
    <hyperlink ref="F1233" r:id="rId384" display="src/env_18.0/src/openupgrade/openupgrade_scripts/scripts/payment_razorpay/18.0.1.0/upgrade_analysis.txt" xr:uid="{A4C16E57-DBFE-46D7-9DCD-2BF99E082F89}"/>
    <hyperlink ref="F1237" r:id="rId385" display="src/env_18.0/src/openupgrade/openupgrade_scripts/scripts/payment_stripe/18.0.2.0/upgrade_analysis.txt" xr:uid="{9F324EBC-CDD9-414B-9A7F-6CC790B7F202}"/>
    <hyperlink ref="F1239" r:id="rId386" display="src/env_18.0/src/openupgrade/openupgrade_scripts/scripts/payment_worldline/18.0.1.0/upgrade_analysis.txt" xr:uid="{45977781-3A78-4CEF-A886-17E3D4B5454A}"/>
    <hyperlink ref="F1241" r:id="rId387" display="src/env_18.0/src/openupgrade/openupgrade_scripts/scripts/payment_xendit/18.0.1.0/upgrade_analysis.txt" xr:uid="{D957B8D0-235C-45AB-BE6B-419107853720}"/>
    <hyperlink ref="F1244" r:id="rId388" display="src/env_18.0/src/openupgrade/openupgrade_scripts/scripts/point_of_sale/18.0.1.0.2/upgrade_analysis.txt" xr:uid="{65B86F39-E0DE-4DF4-A982-21872BF9A607}"/>
    <hyperlink ref="F1246" r:id="rId389" display="src/env_18.0/src/openupgrade/openupgrade_scripts/scripts/portal/18.0.1.0/upgrade_analysis.txt" xr:uid="{F0714CD7-934C-47A9-8561-433C27BD858B}"/>
    <hyperlink ref="F1249" r:id="rId390" display="src/env_18.0/src/openupgrade/openupgrade_scripts/scripts/pos_adyen/18.0.1.0/upgrade_analysis.txt" xr:uid="{ECEFBA14-F249-4ECD-B3B2-568554180449}"/>
    <hyperlink ref="F1251" r:id="rId391" display="src/env_18.0/src/openupgrade/openupgrade_scripts/scripts/pos_discount/18.0.1.0/upgrade_analysis.txt" xr:uid="{5DABA44A-A16C-4523-BDEC-FF638BC1C81A}"/>
    <hyperlink ref="F1254" r:id="rId392" display="src/env_18.0/src/openupgrade/openupgrade_scripts/scripts/pos_hr/18.0.1.0/upgrade_analysis.txt" xr:uid="{3E08A69A-71D3-40BB-A392-00F847BDD85D}"/>
    <hyperlink ref="F1257" r:id="rId393" display="src/env_18.0/src/openupgrade/openupgrade_scripts/scripts/pos_loyalty/18.0.2.0/upgrade_analysis.txt" xr:uid="{1236BA2B-B75B-458B-B3A3-803847E8C6D3}"/>
    <hyperlink ref="F1264" r:id="rId394" display="src/env_18.0/src/openupgrade/openupgrade_scripts/scripts/pos_paytm/18.0.1.0/upgrade_analysis.txt" xr:uid="{EA3A2713-AE34-46A5-81C6-F055DB77C268}"/>
    <hyperlink ref="F1266" r:id="rId395" display="src/env_18.0/src/openupgrade/openupgrade_scripts/scripts/pos_razorpay/18.0.1.0/upgrade_analysis.txt" xr:uid="{5C1E212F-5C36-4A04-BBC9-2DD664EE3923}"/>
    <hyperlink ref="F1268" r:id="rId396" display="src/env_18.0/src/openupgrade/openupgrade_scripts/scripts/pos_restaurant/18.0.1.0/upgrade_analysis.txt" xr:uid="{FB740CBF-F32C-42AA-AE22-D267ABE8D5B6}"/>
    <hyperlink ref="F1273" r:id="rId397" display="src/env_18.0/src/openupgrade/openupgrade_scripts/scripts/pos_sale/18.0.1.1/upgrade_analysis.txt" xr:uid="{4211E9A4-C1F8-4F49-B5AE-6A9A8437695D}"/>
    <hyperlink ref="F1278" r:id="rId398" display="src/env_18.0/src/openupgrade/openupgrade_scripts/scripts/pos_self_order/18.0.1.0/upgrade_analysis.txt" xr:uid="{A76B4ADE-14D2-45D2-9A42-57C14E301687}"/>
    <hyperlink ref="F1288" r:id="rId399" display="src/env_18.0/src/openupgrade/openupgrade_scripts/scripts/product/18.0.1.2/upgrade_analysis.txt" xr:uid="{4C7EDB90-02EC-4098-BA3C-BAF2FE73A7B6}"/>
    <hyperlink ref="F1291" r:id="rId400" display="src/env_18.0/src/openupgrade/openupgrade_scripts/scripts/product_expiry/18.0.1.0/upgrade_analysis.txt" xr:uid="{DFDD4EEA-E2A5-408D-985A-17E2798C728F}"/>
    <hyperlink ref="F1296" r:id="rId401" display="src/env_18.0/src/openupgrade/openupgrade_scripts/scripts/project/18.0.1.3/upgrade_analysis.txt" xr:uid="{D7A742A4-CDE6-468B-9227-A4B90A443BB6}"/>
    <hyperlink ref="F1298" r:id="rId402" display="src/env_18.0/src/openupgrade/openupgrade_scripts/scripts/project_account/18.0.1.0/upgrade_analysis.txt" xr:uid="{662D530C-BC10-43F9-9C3B-0328D4877262}"/>
    <hyperlink ref="F1300" r:id="rId403" display="src/env_18.0/src/openupgrade/openupgrade_scripts/scripts/project_hr_expense/18.0.1.0/upgrade_analysis.txt" xr:uid="{995516C7-FECC-43AF-A95C-8E3A9E0A1695}"/>
    <hyperlink ref="F1303" r:id="rId404" display="src/env_18.0/src/openupgrade/openupgrade_scripts/scripts/project_mrp/18.0.1.0/upgrade_analysis.txt" xr:uid="{D1E79AFA-459D-4728-8C63-3C8042E85BF6}"/>
    <hyperlink ref="F1305" r:id="rId405" display="src/env_18.0/src/openupgrade/openupgrade_scripts/scripts/project_purchase/18.0.1.0/upgrade_analysis.txt" xr:uid="{50B3451D-842C-4552-B05F-27C939AA3D88}"/>
    <hyperlink ref="F1310" r:id="rId406" display="src/env_18.0/src/openupgrade/openupgrade_scripts/scripts/project_todo/18.0.1.0/upgrade_analysis.txt" xr:uid="{229B9D2F-70FE-4B18-8374-8A16D092665E}"/>
    <hyperlink ref="F1312" r:id="rId407" display="src/env_18.0/src/openupgrade/openupgrade_scripts/scripts/purchase/18.0.1.2/upgrade_analysis.txt" xr:uid="{0048F2F3-E39C-4C51-8900-F20F0AAA1058}"/>
    <hyperlink ref="F1315" r:id="rId408" display="src/env_18.0/src/openupgrade/openupgrade_scripts/scripts/purchase_product_matrix/18.0.1.0/upgrade_analysis.txt" xr:uid="{16B4E9F1-EC62-4B02-A411-0E039468AF2C}"/>
    <hyperlink ref="F1317" r:id="rId409" display="src/env_18.0/src/openupgrade/openupgrade_scripts/scripts/purchase_requisition/18.0.0.1/upgrade_analysis.txt" xr:uid="{5790D071-2341-4493-A933-3555F8EDD977}"/>
    <hyperlink ref="F1321" r:id="rId410" display="src/env_18.0/src/openupgrade/openupgrade_scripts/scripts/purchase_stock/18.0.1.2/upgrade_analysis.txt" xr:uid="{C9448B99-AEDC-4709-B413-4987CB77C4E4}"/>
    <hyperlink ref="F1323" r:id="rId411" display="src/env_18.0/src/openupgrade/openupgrade_scripts/scripts/rating/18.0.1.1/upgrade_analysis.txt" xr:uid="{E9CA228B-8D50-42A7-9644-2EFF9E28776D}"/>
    <hyperlink ref="F1325" r:id="rId412" display="src/env_18.0/src/openupgrade/openupgrade_scripts/scripts/repair/18.0.1.0/upgrade_analysis.txt" xr:uid="{81DC2D81-AD6D-496D-A2FE-F35EC91FEBA8}"/>
    <hyperlink ref="F1327" r:id="rId413" display="src/env_18.0/src/openupgrade/openupgrade_scripts/scripts/resource/18.0.1.1/upgrade_analysis.txt" xr:uid="{649E1436-CD27-49ED-BBC3-B4533564F999}"/>
    <hyperlink ref="F1329" r:id="rId414" display="src/env_18.0/src/openupgrade/openupgrade_scripts/scripts/sale/18.0.1.2/upgrade_analysis.txt" xr:uid="{10834429-8B60-48EA-AB95-6DA4EC820498}"/>
    <hyperlink ref="F1335" r:id="rId415" display="src/env_18.0/src/openupgrade/openupgrade_scripts/scripts/sale_loyalty/18.0.1.0/upgrade_analysis.txt" xr:uid="{CB049404-0BA2-474E-8F28-8BD7F4264878}"/>
    <hyperlink ref="F1338" r:id="rId416" display="src/env_18.0/src/openupgrade/openupgrade_scripts/scripts/sale_management/18.0.1.0/upgrade_analysis.txt" xr:uid="{87E9A6F0-D30C-4327-8C1D-B8D62536E60E}"/>
    <hyperlink ref="F1341" r:id="rId417" display="src/env_18.0/src/openupgrade/openupgrade_scripts/scripts/sale_mrp/18.0.1.0/upgrade_analysis.txt" xr:uid="{E0D13677-B827-425D-A470-1421C32E1FAD}"/>
    <hyperlink ref="F1344" r:id="rId418" display="src/env_18.0/src/openupgrade/openupgrade_scripts/scripts/sale_pdf_quote_builder/18.0.1.0/upgrade_analysis.txt" xr:uid="{5D79FDCC-FA05-4049-9F91-33417AFC6E5E}"/>
    <hyperlink ref="F1348" r:id="rId419" display="src/env_18.0/src/openupgrade/openupgrade_scripts/scripts/sale_project/18.0.1.0/upgrade_analysis.txt" xr:uid="{E1F49E3A-FF59-47AF-856C-B9A80509EA61}"/>
    <hyperlink ref="F1351" r:id="rId420" display="src/env_18.0/src/openupgrade/openupgrade_scripts/scripts/sale_purchase/18.0.1.0/upgrade_analysis.txt" xr:uid="{9C5E5111-68C4-4DBB-9CF8-5E5DDFA9C7B0}"/>
    <hyperlink ref="F1356" r:id="rId421" display="src/env_18.0/src/openupgrade/openupgrade_scripts/scripts/sale_stock/18.0.1.0/upgrade_analysis.txt" xr:uid="{8E29BA07-3E81-43D8-A5D1-303D696FF78C}"/>
    <hyperlink ref="F1359" r:id="rId422" display="src/env_18.0/src/openupgrade/openupgrade_scripts/scripts/sale_timesheet/18.0.1.0/upgrade_analysis.txt" xr:uid="{8FE5E85C-FED0-4AD8-A806-67B3ED5C7111}"/>
    <hyperlink ref="F1362" r:id="rId423" display="src/env_18.0/src/openupgrade/openupgrade_scripts/scripts/sales_team/18.0.1.1/upgrade_analysis.txt" xr:uid="{BABACD76-D434-4FD7-A036-3F895C739E3E}"/>
    <hyperlink ref="F1364" r:id="rId424" display="src/env_18.0/src/openupgrade/openupgrade_scripts/scripts/sms/18.0.3.0/upgrade_analysis.txt" xr:uid="{46CCEC41-FB91-4414-8E66-6F1B6D64EADE}"/>
    <hyperlink ref="F1366" r:id="rId425" display="src/env_18.0/src/openupgrade/openupgrade_scripts/scripts/snailmail/18.0.0.4/upgrade_analysis.txt" xr:uid="{B872FC9D-E0B6-4A9B-AE8D-0AB335C1A2D4}"/>
    <hyperlink ref="F1368" r:id="rId426" display="src/env_18.0/src/openupgrade/openupgrade_scripts/scripts/snailmail_account/18.0.0.1/upgrade_analysis.txt" xr:uid="{7928B745-D415-4133-B120-2F8AB6043C6D}"/>
    <hyperlink ref="F1373" r:id="rId427" display="src/env_18.0/src/openupgrade/openupgrade_scripts/scripts/spreadsheet_dashboard/18.0.1.0/upgrade_analysis.txt" xr:uid="{9A5A151E-E80B-4FB2-A9BC-6C22E88391D0}"/>
    <hyperlink ref="F1385" r:id="rId428" display="src/env_18.0/src/openupgrade/openupgrade_scripts/scripts/spreadsheet_dashboard_stock_account/18.0.1.0/upgrade_analysis.txt" xr:uid="{0EC3CAA2-1228-417F-A08A-D964AC5E3CF3}"/>
    <hyperlink ref="F1389" r:id="rId429" display="src/env_18.0/src/openupgrade/openupgrade_scripts/scripts/stock/18.0.1.1/upgrade_analysis.txt" xr:uid="{23E1A701-4709-4F7A-9CF5-25F43B3E74C4}"/>
    <hyperlink ref="F1391" r:id="rId430" display="src/env_18.0/src/openupgrade/openupgrade_scripts/scripts/stock_account/18.0.1.1/upgrade_analysis.txt" xr:uid="{347A92F0-6A50-4915-BB8B-7CC460C85F98}"/>
    <hyperlink ref="F1393" r:id="rId431" display="src/env_18.0/src/openupgrade/openupgrade_scripts/scripts/stock_delivery/18.0.1.0/upgrade_analysis.txt" xr:uid="{A2E01072-4648-4B39-9B64-D2515EC77AE5}"/>
    <hyperlink ref="F1395" r:id="rId432" display="src/env_18.0/src/openupgrade/openupgrade_scripts/scripts/stock_dropshipping/18.0.1.0/upgrade_analysis.txt" xr:uid="{CDC9DC76-B3BB-4144-97EB-3568A734B445}"/>
    <hyperlink ref="F1397" r:id="rId433" display="src/env_18.0/src/openupgrade/openupgrade_scripts/scripts/stock_landed_costs/18.0.1.1/upgrade_analysis.txt" xr:uid="{6E75EEE2-EBBA-4072-BD01-5D09CEC89386}"/>
    <hyperlink ref="F1400" r:id="rId434" display="src/env_18.0/src/openupgrade/openupgrade_scripts/scripts/stock_picking_batch/18.0.1.0/upgrade_analysis.txt" xr:uid="{F792FE59-E478-4688-BC9B-82E73D9C6C83}"/>
    <hyperlink ref="F1403" r:id="rId435" display="src/env_18.0/src/openupgrade/openupgrade_scripts/scripts/survey/18.0.3.7/upgrade_analysis.txt" xr:uid="{BB82313F-0075-4E32-81BF-F44C2EFE289A}"/>
    <hyperlink ref="F1454" r:id="rId436" display="src/env_18.0/src/openupgrade/openupgrade_scripts/scripts/utm/18.0.1.1/upgrade_analysis.txt" xr:uid="{57E9D6CC-9123-47E9-A124-7A75B752BF88}"/>
    <hyperlink ref="F1456" r:id="rId437" display="src/env_18.0/src/openupgrade/openupgrade_scripts/scripts/web/18.0.1.0/upgrade_analysis.txt" xr:uid="{A4EE4762-B14E-43AA-81CC-F153A712E942}"/>
    <hyperlink ref="F1458" r:id="rId438" display="src/env_18.0/src/openupgrade/openupgrade_scripts/scripts/web_editor/18.0.1.0/upgrade_analysis.txt" xr:uid="{715EF906-9090-4CFC-9D00-9CC9189B11D2}"/>
    <hyperlink ref="F1460" r:id="rId439" display="src/env_18.0/src/openupgrade/openupgrade_scripts/scripts/web_hierarchy/18.0.1.0/upgrade_analysis.txt" xr:uid="{C4EEFCFF-79B4-4206-8272-B5D042B96218}"/>
    <hyperlink ref="F1462" r:id="rId440" display="src/env_18.0/src/openupgrade/openupgrade_scripts/scripts/web_tour/18.0.1.0/upgrade_analysis.txt" xr:uid="{0B8BDB01-F570-4DAB-8A57-B5B4D7DA0E75}"/>
    <hyperlink ref="F1465" r:id="rId441" display="src/env_18.0/src/openupgrade/openupgrade_scripts/scripts/website/18.0.1.0/upgrade_analysis.txt" xr:uid="{1ABE308B-89E3-49A2-AAD5-CB604F89D3FE}"/>
    <hyperlink ref="F1467" r:id="rId442" display="src/env_18.0/src/openupgrade/openupgrade_scripts/scripts/website_blog/18.0.1.1/upgrade_analysis.txt" xr:uid="{94C63706-F8BC-4586-AE2A-775DD8170AAC}"/>
    <hyperlink ref="F1476" r:id="rId443" display="src/env_18.0/src/openupgrade/openupgrade_scripts/scripts/website_event/18.0.1.4/upgrade_analysis.txt" xr:uid="{A682F581-FD82-45A3-A3F7-4346EFF63A81}"/>
    <hyperlink ref="F1483" r:id="rId444" display="src/env_18.0/src/openupgrade/openupgrade_scripts/scripts/website_event_exhibitor/18.0.1.1/upgrade_analysis.txt" xr:uid="{658BD8E0-71EE-4E33-B4FD-09771A6821CD}"/>
    <hyperlink ref="F1489" r:id="rId445" display="src/env_18.0/src/openupgrade/openupgrade_scripts/scripts/website_event_track/18.0.1.3/upgrade_analysis.txt" xr:uid="{4BD9DA9C-B932-4BD0-8D2B-886BB4C8F94B}"/>
    <hyperlink ref="F1495" r:id="rId446" display="src/env_18.0/src/openupgrade/openupgrade_scripts/scripts/website_forum/18.0.1.2/upgrade_analysis.txt" xr:uid="{DC9A6A47-5065-45A5-8FA5-9D5DC52D68E6}"/>
    <hyperlink ref="F1498" r:id="rId447" display="src/env_18.0/src/openupgrade/openupgrade_scripts/scripts/website_hr_recruitment/18.0.1.1/upgrade_analysis.txt" xr:uid="{7A2755C6-1052-4B1B-8A6C-213BFD4DF036}"/>
    <hyperlink ref="F1509" r:id="rId448" display="src/env_18.0/src/openupgrade/openupgrade_scripts/scripts/website_payment/18.0.1.0/upgrade_analysis.txt" xr:uid="{916FC9F1-6EEF-4C46-AF14-9B678BAF2907}"/>
    <hyperlink ref="F1513" r:id="rId449" display="src/env_18.0/src/openupgrade/openupgrade_scripts/scripts/website_project/18.0.1.0/upgrade_analysis.txt" xr:uid="{6A67AA2F-8FC5-443A-B619-3EFDBF4A2AA9}"/>
    <hyperlink ref="F1515" r:id="rId450" display="src/env_18.0/src/openupgrade/openupgrade_scripts/scripts/website_sale/18.0.1.1/upgrade_analysis.txt" xr:uid="{5613D8B1-5253-4534-B195-3B42C907EA7E}"/>
    <hyperlink ref="F1518" r:id="rId451" display="src/env_18.0/src/openupgrade/openupgrade_scripts/scripts/website_sale_collect/18.0.1.0/upgrade_analysis.txt" xr:uid="{313D27E0-9ED0-4C7F-ADA2-B184772325E8}"/>
    <hyperlink ref="F1520" r:id="rId452" display="src/env_18.0/src/openupgrade/openupgrade_scripts/scripts/website_sale_comparison/18.0.1.0/upgrade_analysis.txt" xr:uid="{7CFC36D8-7828-4015-AE3B-6DD1AE5B62DA}"/>
    <hyperlink ref="F1524" r:id="rId453" display="src/env_18.0/src/openupgrade/openupgrade_scripts/scripts/website_sale_mondialrelay/18.0.0.1/upgrade_analysis.txt" xr:uid="{830CB380-80C4-4872-BF20-88CD0D03D583}"/>
    <hyperlink ref="F1528" r:id="rId454" display="src/env_18.0/src/openupgrade/openupgrade_scripts/scripts/website_sale_slides/18.0.1.0/upgrade_analysis.txt" xr:uid="{D3D8D7F1-34B5-47F1-AF4E-16679D4FB490}"/>
    <hyperlink ref="F1532" r:id="rId455" display="src/env_18.0/src/openupgrade/openupgrade_scripts/scripts/website_sale_wishlist/18.0.1.0/upgrade_analysis.txt" xr:uid="{0ACE375E-4673-4621-9974-0A383EF52294}"/>
    <hyperlink ref="F1534" r:id="rId456" display="src/env_18.0/src/openupgrade/openupgrade_scripts/scripts/website_slides/18.0.2.7/upgrade_analysis.txt" xr:uid="{563A7187-538D-45A0-8E18-A93C7A08EBC5}"/>
    <hyperlink ref="F1537" r:id="rId457" display="src/env_18.0/src/openupgrade/openupgrade_scripts/scripts/website_slides_survey/18.0.1.0/upgrade_analysis.txt" xr:uid="{CBD567DE-C641-4EF7-B588-AB3F67A0FFE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8D08-C1E9-4955-B248-9369C1F8F124}">
  <dimension ref="C1:I230"/>
  <sheetViews>
    <sheetView topLeftCell="A25" workbookViewId="0">
      <selection activeCell="D45" sqref="D45:E230"/>
    </sheetView>
  </sheetViews>
  <sheetFormatPr baseColWidth="10" defaultRowHeight="15" x14ac:dyDescent="0.25"/>
  <cols>
    <col min="6" max="6" width="27.5703125" customWidth="1"/>
  </cols>
  <sheetData>
    <row r="1" spans="6:6" ht="18.75" x14ac:dyDescent="0.3">
      <c r="F1" s="15" t="s">
        <v>1140</v>
      </c>
    </row>
    <row r="2" spans="6:6" ht="18.75" x14ac:dyDescent="0.3">
      <c r="F2" s="15" t="s">
        <v>1139</v>
      </c>
    </row>
    <row r="3" spans="6:6" x14ac:dyDescent="0.25">
      <c r="F3" t="s">
        <v>1118</v>
      </c>
    </row>
    <row r="5" spans="6:6" x14ac:dyDescent="0.25">
      <c r="F5" t="s">
        <v>1119</v>
      </c>
    </row>
    <row r="6" spans="6:6" x14ac:dyDescent="0.25">
      <c r="F6" t="s">
        <v>1115</v>
      </c>
    </row>
    <row r="7" spans="6:6" x14ac:dyDescent="0.25">
      <c r="F7" t="s">
        <v>1114</v>
      </c>
    </row>
    <row r="8" spans="6:6" x14ac:dyDescent="0.25">
      <c r="F8" t="s">
        <v>1115</v>
      </c>
    </row>
    <row r="9" spans="6:6" x14ac:dyDescent="0.25">
      <c r="F9" t="s">
        <v>1120</v>
      </c>
    </row>
    <row r="11" spans="6:6" x14ac:dyDescent="0.25">
      <c r="F11" t="s">
        <v>1121</v>
      </c>
    </row>
    <row r="12" spans="6:6" x14ac:dyDescent="0.25">
      <c r="F12" t="s">
        <v>1115</v>
      </c>
    </row>
    <row r="13" spans="6:6" x14ac:dyDescent="0.25">
      <c r="F13" t="s">
        <v>1116</v>
      </c>
    </row>
    <row r="14" spans="6:6" x14ac:dyDescent="0.25">
      <c r="F14" t="s">
        <v>1115</v>
      </c>
    </row>
    <row r="15" spans="6:6" x14ac:dyDescent="0.25">
      <c r="F15" t="s">
        <v>1122</v>
      </c>
    </row>
    <row r="16" spans="6:6" x14ac:dyDescent="0.25">
      <c r="F16" t="s">
        <v>1123</v>
      </c>
    </row>
    <row r="17" spans="3:9" x14ac:dyDescent="0.25">
      <c r="F17" t="s">
        <v>1124</v>
      </c>
    </row>
    <row r="18" spans="3:9" x14ac:dyDescent="0.25">
      <c r="F18" t="s">
        <v>1125</v>
      </c>
    </row>
    <row r="19" spans="3:9" x14ac:dyDescent="0.25">
      <c r="F19" t="s">
        <v>1126</v>
      </c>
    </row>
    <row r="20" spans="3:9" x14ac:dyDescent="0.25">
      <c r="F20" t="s">
        <v>1127</v>
      </c>
    </row>
    <row r="22" spans="3:9" x14ac:dyDescent="0.25">
      <c r="F22" t="s">
        <v>1117</v>
      </c>
    </row>
    <row r="23" spans="3:9" x14ac:dyDescent="0.25">
      <c r="F23" t="s">
        <v>1128</v>
      </c>
    </row>
    <row r="24" spans="3:9" x14ac:dyDescent="0.25">
      <c r="F24" t="s">
        <v>1132</v>
      </c>
    </row>
    <row r="25" spans="3:9" x14ac:dyDescent="0.25">
      <c r="F25" t="s">
        <v>1129</v>
      </c>
    </row>
    <row r="26" spans="3:9" x14ac:dyDescent="0.25">
      <c r="F26" t="s">
        <v>1130</v>
      </c>
    </row>
    <row r="27" spans="3:9" x14ac:dyDescent="0.25">
      <c r="F27" t="s">
        <v>1131</v>
      </c>
    </row>
    <row r="29" spans="3:9" ht="18.75" x14ac:dyDescent="0.3">
      <c r="C29">
        <v>50</v>
      </c>
      <c r="D29">
        <v>50</v>
      </c>
      <c r="E29">
        <v>3</v>
      </c>
      <c r="F29" s="15" t="s">
        <v>1138</v>
      </c>
    </row>
    <row r="31" spans="3:9" x14ac:dyDescent="0.25">
      <c r="C31" t="s">
        <v>761</v>
      </c>
      <c r="D31" t="s">
        <v>761</v>
      </c>
      <c r="E31" t="s">
        <v>1162</v>
      </c>
      <c r="F31" t="s">
        <v>1133</v>
      </c>
      <c r="G31" t="s">
        <v>1134</v>
      </c>
      <c r="H31" t="s">
        <v>1135</v>
      </c>
      <c r="I31" t="s">
        <v>1136</v>
      </c>
    </row>
    <row r="32" spans="3:9" x14ac:dyDescent="0.25">
      <c r="C32" s="16" t="str">
        <f>IFERROR(IF(VLOOKUP(F32,'Pivot Analysis'!B:B,1,0)=F32,"",""),G32/$C$29)</f>
        <v/>
      </c>
      <c r="D32" s="16">
        <f t="shared" ref="D32:D44" si="0">G32/$D$29</f>
        <v>996.12</v>
      </c>
      <c r="E32" s="16">
        <f>D32*$E$29</f>
        <v>2988.36</v>
      </c>
      <c r="F32" t="s">
        <v>0</v>
      </c>
      <c r="G32">
        <v>49806</v>
      </c>
      <c r="H32">
        <v>13020</v>
      </c>
      <c r="I32">
        <v>36786</v>
      </c>
    </row>
    <row r="33" spans="3:9" x14ac:dyDescent="0.25">
      <c r="C33" s="16" t="str">
        <f>IFERROR(IF(VLOOKUP(F33,'Pivot Analysis'!B:B,1,0)=F33,"",""),G33/$C$29)</f>
        <v/>
      </c>
      <c r="D33" s="16">
        <f t="shared" si="0"/>
        <v>94.7</v>
      </c>
      <c r="E33" s="16">
        <f t="shared" ref="E33:E96" si="1">D33*$E$29</f>
        <v>284.10000000000002</v>
      </c>
      <c r="F33" t="s">
        <v>14</v>
      </c>
      <c r="G33">
        <v>4735</v>
      </c>
      <c r="H33">
        <v>1302</v>
      </c>
      <c r="I33">
        <v>3433</v>
      </c>
    </row>
    <row r="34" spans="3:9" x14ac:dyDescent="0.25">
      <c r="C34" s="16" t="str">
        <f>IFERROR(IF(VLOOKUP(F34,'Pivot Analysis'!B:B,1,0)=F34,"",""),G34/$C$29)</f>
        <v/>
      </c>
      <c r="D34" s="16">
        <f t="shared" si="0"/>
        <v>5.76</v>
      </c>
      <c r="E34" s="16">
        <f t="shared" si="1"/>
        <v>17.28</v>
      </c>
      <c r="F34" t="s">
        <v>18</v>
      </c>
      <c r="G34">
        <v>288</v>
      </c>
      <c r="H34">
        <v>56</v>
      </c>
      <c r="I34">
        <v>232</v>
      </c>
    </row>
    <row r="35" spans="3:9" x14ac:dyDescent="0.25">
      <c r="C35" s="16" t="str">
        <f>IFERROR(IF(VLOOKUP(F35,'Pivot Analysis'!B:B,1,0)=F35,"",""),G35/$C$29)</f>
        <v/>
      </c>
      <c r="D35" s="16">
        <f t="shared" si="0"/>
        <v>46.98</v>
      </c>
      <c r="E35" s="16">
        <f t="shared" si="1"/>
        <v>140.94</v>
      </c>
      <c r="F35" t="s">
        <v>20</v>
      </c>
      <c r="G35">
        <v>2349</v>
      </c>
      <c r="H35">
        <v>585</v>
      </c>
      <c r="I35">
        <v>1764</v>
      </c>
    </row>
    <row r="36" spans="3:9" x14ac:dyDescent="0.25">
      <c r="C36" s="16" t="str">
        <f>IFERROR(IF(VLOOKUP(F36,'Pivot Analysis'!B:B,1,0)=F36,"",""),G36/$C$29)</f>
        <v/>
      </c>
      <c r="D36" s="16">
        <f t="shared" si="0"/>
        <v>50</v>
      </c>
      <c r="E36" s="16">
        <f t="shared" si="1"/>
        <v>150</v>
      </c>
      <c r="F36" t="s">
        <v>32</v>
      </c>
      <c r="G36">
        <v>2500</v>
      </c>
      <c r="H36">
        <v>464</v>
      </c>
      <c r="I36">
        <v>2036</v>
      </c>
    </row>
    <row r="37" spans="3:9" x14ac:dyDescent="0.25">
      <c r="C37" s="16" t="str">
        <f>IFERROR(IF(VLOOKUP(F37,'Pivot Analysis'!B:B,1,0)=F37,"",""),G37/$C$29)</f>
        <v/>
      </c>
      <c r="D37" s="16">
        <f t="shared" si="0"/>
        <v>3.1</v>
      </c>
      <c r="E37" s="16">
        <f t="shared" si="1"/>
        <v>9.3000000000000007</v>
      </c>
      <c r="F37" t="s">
        <v>36</v>
      </c>
      <c r="G37">
        <v>155</v>
      </c>
      <c r="H37">
        <v>31</v>
      </c>
      <c r="I37">
        <v>124</v>
      </c>
    </row>
    <row r="38" spans="3:9" x14ac:dyDescent="0.25">
      <c r="C38" s="16" t="str">
        <f>IFERROR(IF(VLOOKUP(F38,'Pivot Analysis'!B:B,1,0)=F38,"",""),G38/$C$29)</f>
        <v/>
      </c>
      <c r="D38" s="16">
        <f t="shared" si="0"/>
        <v>29.1</v>
      </c>
      <c r="E38" s="16">
        <f t="shared" si="1"/>
        <v>87.300000000000011</v>
      </c>
      <c r="F38" t="s">
        <v>42</v>
      </c>
      <c r="G38">
        <v>1455</v>
      </c>
      <c r="H38">
        <v>285</v>
      </c>
      <c r="I38">
        <v>1170</v>
      </c>
    </row>
    <row r="39" spans="3:9" x14ac:dyDescent="0.25">
      <c r="C39" s="16" t="str">
        <f>IFERROR(IF(VLOOKUP(F39,'Pivot Analysis'!B:B,1,0)=F39,"",""),G39/$C$29)</f>
        <v/>
      </c>
      <c r="D39" s="16">
        <f t="shared" si="0"/>
        <v>14.62</v>
      </c>
      <c r="E39" s="16">
        <f t="shared" si="1"/>
        <v>43.86</v>
      </c>
      <c r="F39" t="s">
        <v>44</v>
      </c>
      <c r="G39">
        <v>731</v>
      </c>
      <c r="H39">
        <v>152</v>
      </c>
      <c r="I39">
        <v>579</v>
      </c>
    </row>
    <row r="40" spans="3:9" x14ac:dyDescent="0.25">
      <c r="C40" s="16" t="str">
        <f>IFERROR(IF(VLOOKUP(F40,'Pivot Analysis'!B:B,1,0)=F40,"",""),G40/$C$29)</f>
        <v/>
      </c>
      <c r="D40" s="16">
        <f t="shared" si="0"/>
        <v>5.0199999999999996</v>
      </c>
      <c r="E40" s="16">
        <f t="shared" si="1"/>
        <v>15.059999999999999</v>
      </c>
      <c r="F40" t="s">
        <v>45</v>
      </c>
      <c r="G40">
        <v>251</v>
      </c>
      <c r="H40">
        <v>58</v>
      </c>
      <c r="I40">
        <v>193</v>
      </c>
    </row>
    <row r="41" spans="3:9" x14ac:dyDescent="0.25">
      <c r="C41" s="16" t="str">
        <f>IFERROR(IF(VLOOKUP(F41,'Pivot Analysis'!B:B,1,0)=F41,"",""),G41/$C$29)</f>
        <v/>
      </c>
      <c r="D41" s="16">
        <f t="shared" si="0"/>
        <v>8.08</v>
      </c>
      <c r="E41" s="16">
        <f t="shared" si="1"/>
        <v>24.240000000000002</v>
      </c>
      <c r="F41" t="s">
        <v>47</v>
      </c>
      <c r="G41">
        <v>404</v>
      </c>
      <c r="H41">
        <v>76</v>
      </c>
      <c r="I41">
        <v>328</v>
      </c>
    </row>
    <row r="42" spans="3:9" x14ac:dyDescent="0.25">
      <c r="C42" s="16" t="str">
        <f>IFERROR(IF(VLOOKUP(F42,'Pivot Analysis'!B:B,1,0)=F42,"",""),G42/$C$29)</f>
        <v/>
      </c>
      <c r="D42" s="16">
        <f t="shared" si="0"/>
        <v>22.9</v>
      </c>
      <c r="E42" s="16">
        <f t="shared" si="1"/>
        <v>68.699999999999989</v>
      </c>
      <c r="F42" t="s">
        <v>48</v>
      </c>
      <c r="G42">
        <v>1145</v>
      </c>
      <c r="H42">
        <v>273</v>
      </c>
      <c r="I42">
        <v>872</v>
      </c>
    </row>
    <row r="43" spans="3:9" x14ac:dyDescent="0.25">
      <c r="C43" s="16" t="str">
        <f>IFERROR(IF(VLOOKUP(F43,'Pivot Analysis'!B:B,1,0)=F43,"",""),G43/$C$29)</f>
        <v/>
      </c>
      <c r="D43" s="16">
        <f t="shared" si="0"/>
        <v>22.46</v>
      </c>
      <c r="E43" s="16">
        <f t="shared" si="1"/>
        <v>67.38</v>
      </c>
      <c r="F43" t="s">
        <v>49</v>
      </c>
      <c r="G43">
        <v>1123</v>
      </c>
      <c r="H43">
        <v>193</v>
      </c>
      <c r="I43">
        <v>930</v>
      </c>
    </row>
    <row r="44" spans="3:9" x14ac:dyDescent="0.25">
      <c r="C44" s="16" t="str">
        <f>IFERROR(IF(VLOOKUP(F44,'Pivot Analysis'!B:B,1,0)=F44,"",""),G44/$C$29)</f>
        <v/>
      </c>
      <c r="D44" s="16">
        <f t="shared" si="0"/>
        <v>810.66</v>
      </c>
      <c r="E44" s="16">
        <f t="shared" si="1"/>
        <v>2431.98</v>
      </c>
      <c r="F44" t="s">
        <v>775</v>
      </c>
      <c r="G44">
        <v>40533</v>
      </c>
      <c r="H44">
        <v>10820</v>
      </c>
      <c r="I44">
        <v>29713</v>
      </c>
    </row>
    <row r="45" spans="3:9" x14ac:dyDescent="0.25">
      <c r="C45" s="16">
        <f>IFERROR(IF(VLOOKUP(F45,'Pivot Analysis'!B:B,1,0)=F45,"",""),G45/$C$29)</f>
        <v>2.96</v>
      </c>
      <c r="D45" s="16">
        <f>G45/$D$29</f>
        <v>2.96</v>
      </c>
      <c r="E45" s="16">
        <f t="shared" si="1"/>
        <v>8.879999999999999</v>
      </c>
      <c r="F45" t="s">
        <v>1137</v>
      </c>
      <c r="G45">
        <v>148</v>
      </c>
      <c r="H45">
        <v>25</v>
      </c>
      <c r="I45">
        <v>123</v>
      </c>
    </row>
    <row r="46" spans="3:9" x14ac:dyDescent="0.25">
      <c r="C46" s="16" t="str">
        <f>IFERROR(IF(VLOOKUP(F46,'Pivot Analysis'!B:B,1,0)=F46,"",""),G46/$C$29)</f>
        <v/>
      </c>
      <c r="D46" s="16">
        <f t="shared" ref="D46:D109" si="2">G46/$D$29</f>
        <v>81.3</v>
      </c>
      <c r="E46" s="16">
        <f t="shared" si="1"/>
        <v>243.89999999999998</v>
      </c>
      <c r="F46" t="s">
        <v>56</v>
      </c>
      <c r="G46">
        <v>4065</v>
      </c>
      <c r="H46">
        <v>1214</v>
      </c>
      <c r="I46">
        <v>2851</v>
      </c>
    </row>
    <row r="47" spans="3:9" x14ac:dyDescent="0.25">
      <c r="C47" s="16" t="str">
        <f>IFERROR(IF(VLOOKUP(F47,'Pivot Analysis'!B:B,1,0)=F47,"",""),G47/$C$29)</f>
        <v/>
      </c>
      <c r="D47" s="16">
        <f t="shared" si="2"/>
        <v>17.16</v>
      </c>
      <c r="E47" s="16">
        <f t="shared" si="1"/>
        <v>51.480000000000004</v>
      </c>
      <c r="F47" t="s">
        <v>58</v>
      </c>
      <c r="G47">
        <v>858</v>
      </c>
      <c r="H47">
        <v>169</v>
      </c>
      <c r="I47">
        <v>689</v>
      </c>
    </row>
    <row r="48" spans="3:9" x14ac:dyDescent="0.25">
      <c r="C48" s="16" t="str">
        <f>IFERROR(IF(VLOOKUP(F48,'Pivot Analysis'!B:B,1,0)=F48,"",""),G48/$C$29)</f>
        <v/>
      </c>
      <c r="D48" s="16">
        <f t="shared" si="2"/>
        <v>5.24</v>
      </c>
      <c r="E48" s="16">
        <f t="shared" si="1"/>
        <v>15.72</v>
      </c>
      <c r="F48" t="s">
        <v>60</v>
      </c>
      <c r="G48">
        <v>262</v>
      </c>
      <c r="H48">
        <v>45</v>
      </c>
      <c r="I48">
        <v>217</v>
      </c>
    </row>
    <row r="49" spans="3:9" x14ac:dyDescent="0.25">
      <c r="C49" s="16" t="str">
        <f>IFERROR(IF(VLOOKUP(F49,'Pivot Analysis'!B:B,1,0)=F49,"",""),G49/$C$29)</f>
        <v/>
      </c>
      <c r="D49" s="16">
        <f t="shared" si="2"/>
        <v>10.18</v>
      </c>
      <c r="E49" s="16">
        <f t="shared" si="1"/>
        <v>30.54</v>
      </c>
      <c r="F49" t="s">
        <v>61</v>
      </c>
      <c r="G49">
        <v>509</v>
      </c>
      <c r="H49">
        <v>104</v>
      </c>
      <c r="I49">
        <v>405</v>
      </c>
    </row>
    <row r="50" spans="3:9" x14ac:dyDescent="0.25">
      <c r="C50" s="16" t="str">
        <f>IFERROR(IF(VLOOKUP(F50,'Pivot Analysis'!B:B,1,0)=F50,"",""),G50/$C$29)</f>
        <v/>
      </c>
      <c r="D50" s="16">
        <f t="shared" si="2"/>
        <v>68.7</v>
      </c>
      <c r="E50" s="16">
        <f t="shared" si="1"/>
        <v>206.10000000000002</v>
      </c>
      <c r="F50" t="s">
        <v>66</v>
      </c>
      <c r="G50">
        <v>3435</v>
      </c>
      <c r="H50">
        <v>1167</v>
      </c>
      <c r="I50">
        <v>2268</v>
      </c>
    </row>
    <row r="51" spans="3:9" x14ac:dyDescent="0.25">
      <c r="C51" s="16" t="str">
        <f>IFERROR(IF(VLOOKUP(F51,'Pivot Analysis'!B:B,1,0)=F51,"",""),G51/$C$29)</f>
        <v/>
      </c>
      <c r="D51" s="16">
        <f t="shared" si="2"/>
        <v>130.24</v>
      </c>
      <c r="E51" s="16">
        <f t="shared" si="1"/>
        <v>390.72</v>
      </c>
      <c r="F51" t="s">
        <v>67</v>
      </c>
      <c r="G51">
        <v>6512</v>
      </c>
      <c r="H51">
        <v>1413</v>
      </c>
      <c r="I51">
        <v>5099</v>
      </c>
    </row>
    <row r="52" spans="3:9" x14ac:dyDescent="0.25">
      <c r="C52" s="16" t="str">
        <f>IFERROR(IF(VLOOKUP(F52,'Pivot Analysis'!B:B,1,0)=F52,"",""),G52/$C$29)</f>
        <v/>
      </c>
      <c r="D52" s="16">
        <f t="shared" si="2"/>
        <v>3.42</v>
      </c>
      <c r="E52" s="16">
        <f t="shared" si="1"/>
        <v>10.26</v>
      </c>
      <c r="F52" t="s">
        <v>69</v>
      </c>
      <c r="G52">
        <v>171</v>
      </c>
      <c r="H52">
        <v>37</v>
      </c>
      <c r="I52">
        <v>134</v>
      </c>
    </row>
    <row r="53" spans="3:9" x14ac:dyDescent="0.25">
      <c r="C53" s="16" t="str">
        <f>IFERROR(IF(VLOOKUP(F53,'Pivot Analysis'!B:B,1,0)=F53,"",""),G53/$C$29)</f>
        <v/>
      </c>
      <c r="D53" s="16">
        <f t="shared" si="2"/>
        <v>2.8</v>
      </c>
      <c r="E53" s="16">
        <f t="shared" si="1"/>
        <v>8.3999999999999986</v>
      </c>
      <c r="F53" t="s">
        <v>71</v>
      </c>
      <c r="G53">
        <v>140</v>
      </c>
      <c r="H53">
        <v>32</v>
      </c>
      <c r="I53">
        <v>108</v>
      </c>
    </row>
    <row r="54" spans="3:9" x14ac:dyDescent="0.25">
      <c r="C54" s="16" t="str">
        <f>IFERROR(IF(VLOOKUP(F54,'Pivot Analysis'!B:B,1,0)=F54,"",""),G54/$C$29)</f>
        <v/>
      </c>
      <c r="D54" s="16">
        <f t="shared" si="2"/>
        <v>185.38</v>
      </c>
      <c r="E54" s="16">
        <f t="shared" si="1"/>
        <v>556.14</v>
      </c>
      <c r="F54" t="s">
        <v>72</v>
      </c>
      <c r="G54">
        <v>9269</v>
      </c>
      <c r="H54">
        <v>2248</v>
      </c>
      <c r="I54">
        <v>7021</v>
      </c>
    </row>
    <row r="55" spans="3:9" x14ac:dyDescent="0.25">
      <c r="C55" s="16" t="str">
        <f>IFERROR(IF(VLOOKUP(F55,'Pivot Analysis'!B:B,1,0)=F55,"",""),G55/$C$29)</f>
        <v/>
      </c>
      <c r="D55" s="16">
        <f t="shared" si="2"/>
        <v>5.76</v>
      </c>
      <c r="E55" s="16">
        <f t="shared" si="1"/>
        <v>17.28</v>
      </c>
      <c r="F55" t="s">
        <v>74</v>
      </c>
      <c r="G55">
        <v>288</v>
      </c>
      <c r="H55">
        <v>64</v>
      </c>
      <c r="I55">
        <v>224</v>
      </c>
    </row>
    <row r="56" spans="3:9" x14ac:dyDescent="0.25">
      <c r="C56" s="16" t="str">
        <f>IFERROR(IF(VLOOKUP(F56,'Pivot Analysis'!B:B,1,0)=F56,"",""),G56/$C$29)</f>
        <v/>
      </c>
      <c r="D56" s="16">
        <f t="shared" si="2"/>
        <v>18.28</v>
      </c>
      <c r="E56" s="16">
        <f t="shared" si="1"/>
        <v>54.84</v>
      </c>
      <c r="F56" t="s">
        <v>75</v>
      </c>
      <c r="G56">
        <v>914</v>
      </c>
      <c r="H56">
        <v>180</v>
      </c>
      <c r="I56">
        <v>734</v>
      </c>
    </row>
    <row r="57" spans="3:9" x14ac:dyDescent="0.25">
      <c r="C57" s="16" t="str">
        <f>IFERROR(IF(VLOOKUP(F57,'Pivot Analysis'!B:B,1,0)=F57,"",""),G57/$C$29)</f>
        <v/>
      </c>
      <c r="D57" s="16">
        <f t="shared" si="2"/>
        <v>5.0599999999999996</v>
      </c>
      <c r="E57" s="16">
        <f t="shared" si="1"/>
        <v>15.18</v>
      </c>
      <c r="F57" t="s">
        <v>76</v>
      </c>
      <c r="G57">
        <v>253</v>
      </c>
      <c r="H57">
        <v>81</v>
      </c>
      <c r="I57">
        <v>172</v>
      </c>
    </row>
    <row r="58" spans="3:9" x14ac:dyDescent="0.25">
      <c r="C58" s="16" t="str">
        <f>IFERROR(IF(VLOOKUP(F58,'Pivot Analysis'!B:B,1,0)=F58,"",""),G58/$C$29)</f>
        <v/>
      </c>
      <c r="D58" s="16">
        <f t="shared" si="2"/>
        <v>1.3</v>
      </c>
      <c r="E58" s="16">
        <f t="shared" si="1"/>
        <v>3.9000000000000004</v>
      </c>
      <c r="F58" t="s">
        <v>78</v>
      </c>
      <c r="G58">
        <v>65</v>
      </c>
      <c r="H58">
        <v>6</v>
      </c>
      <c r="I58">
        <v>59</v>
      </c>
    </row>
    <row r="59" spans="3:9" x14ac:dyDescent="0.25">
      <c r="C59" s="16" t="str">
        <f>IFERROR(IF(VLOOKUP(F59,'Pivot Analysis'!B:B,1,0)=F59,"",""),G59/$C$29)</f>
        <v/>
      </c>
      <c r="D59" s="16">
        <f t="shared" si="2"/>
        <v>11.78</v>
      </c>
      <c r="E59" s="16">
        <f t="shared" si="1"/>
        <v>35.339999999999996</v>
      </c>
      <c r="F59" t="s">
        <v>79</v>
      </c>
      <c r="G59">
        <v>589</v>
      </c>
      <c r="H59">
        <v>103</v>
      </c>
      <c r="I59">
        <v>486</v>
      </c>
    </row>
    <row r="60" spans="3:9" x14ac:dyDescent="0.25">
      <c r="C60" s="16" t="str">
        <f>IFERROR(IF(VLOOKUP(F60,'Pivot Analysis'!B:B,1,0)=F60,"",""),G60/$C$29)</f>
        <v/>
      </c>
      <c r="D60" s="16">
        <f t="shared" si="2"/>
        <v>49.62</v>
      </c>
      <c r="E60" s="16">
        <f t="shared" si="1"/>
        <v>148.85999999999999</v>
      </c>
      <c r="F60" t="s">
        <v>80</v>
      </c>
      <c r="G60">
        <v>2481</v>
      </c>
      <c r="H60">
        <v>550</v>
      </c>
      <c r="I60">
        <v>1931</v>
      </c>
    </row>
    <row r="61" spans="3:9" x14ac:dyDescent="0.25">
      <c r="C61" s="16" t="str">
        <f>IFERROR(IF(VLOOKUP(F61,'Pivot Analysis'!B:B,1,0)=F61,"",""),G61/$C$29)</f>
        <v/>
      </c>
      <c r="D61" s="16">
        <f t="shared" si="2"/>
        <v>29.06</v>
      </c>
      <c r="E61" s="16">
        <f t="shared" si="1"/>
        <v>87.179999999999993</v>
      </c>
      <c r="F61" t="s">
        <v>84</v>
      </c>
      <c r="G61">
        <v>1453</v>
      </c>
      <c r="H61">
        <v>222</v>
      </c>
      <c r="I61">
        <v>1231</v>
      </c>
    </row>
    <row r="62" spans="3:9" x14ac:dyDescent="0.25">
      <c r="C62" s="16" t="str">
        <f>IFERROR(IF(VLOOKUP(F62,'Pivot Analysis'!B:B,1,0)=F62,"",""),G62/$C$29)</f>
        <v/>
      </c>
      <c r="D62" s="16">
        <f t="shared" si="2"/>
        <v>142.47999999999999</v>
      </c>
      <c r="E62" s="16">
        <f t="shared" si="1"/>
        <v>427.43999999999994</v>
      </c>
      <c r="F62" t="s">
        <v>86</v>
      </c>
      <c r="G62">
        <v>7124</v>
      </c>
      <c r="H62">
        <v>1257</v>
      </c>
      <c r="I62">
        <v>5867</v>
      </c>
    </row>
    <row r="63" spans="3:9" x14ac:dyDescent="0.25">
      <c r="C63" s="16" t="str">
        <f>IFERROR(IF(VLOOKUP(F63,'Pivot Analysis'!B:B,1,0)=F63,"",""),G63/$C$29)</f>
        <v/>
      </c>
      <c r="D63" s="16">
        <f t="shared" si="2"/>
        <v>21.16</v>
      </c>
      <c r="E63" s="16">
        <f t="shared" si="1"/>
        <v>63.480000000000004</v>
      </c>
      <c r="F63" t="s">
        <v>92</v>
      </c>
      <c r="G63">
        <v>1058</v>
      </c>
      <c r="H63">
        <v>386</v>
      </c>
      <c r="I63">
        <v>672</v>
      </c>
    </row>
    <row r="64" spans="3:9" x14ac:dyDescent="0.25">
      <c r="C64" s="16" t="str">
        <f>IFERROR(IF(VLOOKUP(F64,'Pivot Analysis'!B:B,1,0)=F64,"",""),G64/$C$29)</f>
        <v/>
      </c>
      <c r="D64" s="16">
        <f t="shared" si="2"/>
        <v>1.6</v>
      </c>
      <c r="E64" s="16">
        <f t="shared" si="1"/>
        <v>4.8000000000000007</v>
      </c>
      <c r="F64" t="s">
        <v>93</v>
      </c>
      <c r="G64">
        <v>80</v>
      </c>
      <c r="H64">
        <v>28</v>
      </c>
      <c r="I64">
        <v>52</v>
      </c>
    </row>
    <row r="65" spans="3:9" x14ac:dyDescent="0.25">
      <c r="C65" s="16">
        <f>IFERROR(IF(VLOOKUP(F65,'Pivot Analysis'!B:B,1,0)=F65,"",""),G65/$C$29)</f>
        <v>6.12</v>
      </c>
      <c r="D65" s="16">
        <f t="shared" si="2"/>
        <v>6.12</v>
      </c>
      <c r="E65" s="16">
        <f t="shared" si="1"/>
        <v>18.36</v>
      </c>
      <c r="F65" t="s">
        <v>1049</v>
      </c>
      <c r="G65">
        <v>306</v>
      </c>
      <c r="H65">
        <v>56</v>
      </c>
      <c r="I65">
        <v>250</v>
      </c>
    </row>
    <row r="66" spans="3:9" x14ac:dyDescent="0.25">
      <c r="C66" s="16" t="str">
        <f>IFERROR(IF(VLOOKUP(F66,'Pivot Analysis'!B:B,1,0)=F66,"",""),G66/$C$29)</f>
        <v/>
      </c>
      <c r="D66" s="16">
        <f t="shared" si="2"/>
        <v>26.08</v>
      </c>
      <c r="E66" s="16">
        <f t="shared" si="1"/>
        <v>78.239999999999995</v>
      </c>
      <c r="F66" t="s">
        <v>94</v>
      </c>
      <c r="G66">
        <v>1304</v>
      </c>
      <c r="H66">
        <v>270</v>
      </c>
      <c r="I66">
        <v>1034</v>
      </c>
    </row>
    <row r="67" spans="3:9" x14ac:dyDescent="0.25">
      <c r="C67" s="16" t="str">
        <f>IFERROR(IF(VLOOKUP(F67,'Pivot Analysis'!B:B,1,0)=F67,"",""),G67/$C$29)</f>
        <v/>
      </c>
      <c r="D67" s="16">
        <f t="shared" si="2"/>
        <v>2.94</v>
      </c>
      <c r="E67" s="16">
        <f t="shared" si="1"/>
        <v>8.82</v>
      </c>
      <c r="F67" t="s">
        <v>96</v>
      </c>
      <c r="G67">
        <v>147</v>
      </c>
      <c r="H67">
        <v>42</v>
      </c>
      <c r="I67">
        <v>105</v>
      </c>
    </row>
    <row r="68" spans="3:9" x14ac:dyDescent="0.25">
      <c r="C68" s="16" t="str">
        <f>IFERROR(IF(VLOOKUP(F68,'Pivot Analysis'!B:B,1,0)=F68,"",""),G68/$C$29)</f>
        <v/>
      </c>
      <c r="D68" s="16">
        <f t="shared" si="2"/>
        <v>63.12</v>
      </c>
      <c r="E68" s="16">
        <f t="shared" si="1"/>
        <v>189.35999999999999</v>
      </c>
      <c r="F68" t="s">
        <v>97</v>
      </c>
      <c r="G68">
        <v>3156</v>
      </c>
      <c r="H68">
        <v>448</v>
      </c>
      <c r="I68">
        <v>2708</v>
      </c>
    </row>
    <row r="69" spans="3:9" x14ac:dyDescent="0.25">
      <c r="C69" s="16" t="str">
        <f>IFERROR(IF(VLOOKUP(F69,'Pivot Analysis'!B:B,1,0)=F69,"",""),G69/$C$29)</f>
        <v/>
      </c>
      <c r="D69" s="16">
        <f t="shared" si="2"/>
        <v>76.62</v>
      </c>
      <c r="E69" s="16">
        <f t="shared" si="1"/>
        <v>229.86</v>
      </c>
      <c r="F69" t="s">
        <v>99</v>
      </c>
      <c r="G69">
        <v>3831</v>
      </c>
      <c r="H69">
        <v>935</v>
      </c>
      <c r="I69">
        <v>2896</v>
      </c>
    </row>
    <row r="70" spans="3:9" x14ac:dyDescent="0.25">
      <c r="C70" s="16" t="str">
        <f>IFERROR(IF(VLOOKUP(F70,'Pivot Analysis'!B:B,1,0)=F70,"",""),G70/$C$29)</f>
        <v/>
      </c>
      <c r="D70" s="16">
        <f t="shared" si="2"/>
        <v>3.86</v>
      </c>
      <c r="E70" s="16">
        <f t="shared" si="1"/>
        <v>11.58</v>
      </c>
      <c r="F70" t="s">
        <v>101</v>
      </c>
      <c r="G70">
        <v>193</v>
      </c>
      <c r="H70">
        <v>24</v>
      </c>
      <c r="I70">
        <v>169</v>
      </c>
    </row>
    <row r="71" spans="3:9" x14ac:dyDescent="0.25">
      <c r="C71" s="16" t="str">
        <f>IFERROR(IF(VLOOKUP(F71,'Pivot Analysis'!B:B,1,0)=F71,"",""),G71/$C$29)</f>
        <v/>
      </c>
      <c r="D71" s="16">
        <f t="shared" si="2"/>
        <v>10.3</v>
      </c>
      <c r="E71" s="16">
        <f t="shared" si="1"/>
        <v>30.900000000000002</v>
      </c>
      <c r="F71" t="s">
        <v>104</v>
      </c>
      <c r="G71">
        <v>515</v>
      </c>
      <c r="H71">
        <v>153</v>
      </c>
      <c r="I71">
        <v>362</v>
      </c>
    </row>
    <row r="72" spans="3:9" x14ac:dyDescent="0.25">
      <c r="C72" s="16" t="str">
        <f>IFERROR(IF(VLOOKUP(F72,'Pivot Analysis'!B:B,1,0)=F72,"",""),G72/$C$29)</f>
        <v/>
      </c>
      <c r="D72" s="16">
        <f t="shared" si="2"/>
        <v>6.08</v>
      </c>
      <c r="E72" s="16">
        <f t="shared" si="1"/>
        <v>18.240000000000002</v>
      </c>
      <c r="F72" t="s">
        <v>105</v>
      </c>
      <c r="G72">
        <v>304</v>
      </c>
      <c r="H72">
        <v>76</v>
      </c>
      <c r="I72">
        <v>228</v>
      </c>
    </row>
    <row r="73" spans="3:9" x14ac:dyDescent="0.25">
      <c r="C73" s="16" t="str">
        <f>IFERROR(IF(VLOOKUP(F73,'Pivot Analysis'!B:B,1,0)=F73,"",""),G73/$C$29)</f>
        <v/>
      </c>
      <c r="D73" s="16">
        <f t="shared" si="2"/>
        <v>120.58</v>
      </c>
      <c r="E73" s="16">
        <f t="shared" si="1"/>
        <v>361.74</v>
      </c>
      <c r="F73" t="s">
        <v>106</v>
      </c>
      <c r="G73">
        <v>6029</v>
      </c>
      <c r="H73">
        <v>901</v>
      </c>
      <c r="I73">
        <v>5128</v>
      </c>
    </row>
    <row r="74" spans="3:9" x14ac:dyDescent="0.25">
      <c r="C74" s="16" t="str">
        <f>IFERROR(IF(VLOOKUP(F74,'Pivot Analysis'!B:B,1,0)=F74,"",""),G74/$C$29)</f>
        <v/>
      </c>
      <c r="D74" s="16">
        <f t="shared" si="2"/>
        <v>82.52</v>
      </c>
      <c r="E74" s="16">
        <f t="shared" si="1"/>
        <v>247.56</v>
      </c>
      <c r="F74" t="s">
        <v>108</v>
      </c>
      <c r="G74">
        <v>4126</v>
      </c>
      <c r="H74">
        <v>575</v>
      </c>
      <c r="I74">
        <v>3551</v>
      </c>
    </row>
    <row r="75" spans="3:9" x14ac:dyDescent="0.25">
      <c r="C75" s="16">
        <f>IFERROR(IF(VLOOKUP(F75,'Pivot Analysis'!B:B,1,0)=F75,"",""),G75/$C$29)</f>
        <v>7</v>
      </c>
      <c r="D75" s="16">
        <f t="shared" si="2"/>
        <v>7</v>
      </c>
      <c r="E75" s="16">
        <f t="shared" si="1"/>
        <v>21</v>
      </c>
      <c r="F75" t="s">
        <v>1045</v>
      </c>
      <c r="G75">
        <v>350</v>
      </c>
      <c r="H75">
        <v>81</v>
      </c>
      <c r="I75">
        <v>269</v>
      </c>
    </row>
    <row r="76" spans="3:9" x14ac:dyDescent="0.25">
      <c r="C76" s="16" t="str">
        <f>IFERROR(IF(VLOOKUP(F76,'Pivot Analysis'!B:B,1,0)=F76,"",""),G76/$C$29)</f>
        <v/>
      </c>
      <c r="D76" s="16">
        <f t="shared" si="2"/>
        <v>40.24</v>
      </c>
      <c r="E76" s="16">
        <f t="shared" si="1"/>
        <v>120.72</v>
      </c>
      <c r="F76" t="s">
        <v>110</v>
      </c>
      <c r="G76">
        <v>2012</v>
      </c>
      <c r="H76">
        <v>345</v>
      </c>
      <c r="I76">
        <v>1667</v>
      </c>
    </row>
    <row r="77" spans="3:9" x14ac:dyDescent="0.25">
      <c r="C77" s="16" t="str">
        <f>IFERROR(IF(VLOOKUP(F77,'Pivot Analysis'!B:B,1,0)=F77,"",""),G77/$C$29)</f>
        <v/>
      </c>
      <c r="D77" s="16">
        <f t="shared" si="2"/>
        <v>124.34</v>
      </c>
      <c r="E77" s="16">
        <f t="shared" si="1"/>
        <v>373.02</v>
      </c>
      <c r="F77" t="s">
        <v>112</v>
      </c>
      <c r="G77">
        <v>6217</v>
      </c>
      <c r="H77">
        <v>1117</v>
      </c>
      <c r="I77">
        <v>5100</v>
      </c>
    </row>
    <row r="78" spans="3:9" x14ac:dyDescent="0.25">
      <c r="C78" s="16" t="str">
        <f>IFERROR(IF(VLOOKUP(F78,'Pivot Analysis'!B:B,1,0)=F78,"",""),G78/$C$29)</f>
        <v/>
      </c>
      <c r="D78" s="16">
        <f t="shared" si="2"/>
        <v>16.22</v>
      </c>
      <c r="E78" s="16">
        <f t="shared" si="1"/>
        <v>48.66</v>
      </c>
      <c r="F78" t="s">
        <v>114</v>
      </c>
      <c r="G78">
        <v>811</v>
      </c>
      <c r="H78">
        <v>145</v>
      </c>
      <c r="I78">
        <v>666</v>
      </c>
    </row>
    <row r="79" spans="3:9" x14ac:dyDescent="0.25">
      <c r="C79" s="16" t="str">
        <f>IFERROR(IF(VLOOKUP(F79,'Pivot Analysis'!B:B,1,0)=F79,"",""),G79/$C$29)</f>
        <v/>
      </c>
      <c r="D79" s="16">
        <f t="shared" si="2"/>
        <v>6.68</v>
      </c>
      <c r="E79" s="16">
        <f t="shared" si="1"/>
        <v>20.04</v>
      </c>
      <c r="F79" t="s">
        <v>117</v>
      </c>
      <c r="G79">
        <v>334</v>
      </c>
      <c r="H79">
        <v>73</v>
      </c>
      <c r="I79">
        <v>261</v>
      </c>
    </row>
    <row r="80" spans="3:9" x14ac:dyDescent="0.25">
      <c r="C80" s="16" t="str">
        <f>IFERROR(IF(VLOOKUP(F80,'Pivot Analysis'!B:B,1,0)=F80,"",""),G80/$C$29)</f>
        <v/>
      </c>
      <c r="D80" s="16">
        <f t="shared" si="2"/>
        <v>230.6</v>
      </c>
      <c r="E80" s="16">
        <f t="shared" si="1"/>
        <v>691.8</v>
      </c>
      <c r="F80" t="s">
        <v>118</v>
      </c>
      <c r="G80">
        <v>11530</v>
      </c>
      <c r="H80">
        <v>2001</v>
      </c>
      <c r="I80">
        <v>9529</v>
      </c>
    </row>
    <row r="81" spans="3:9" x14ac:dyDescent="0.25">
      <c r="C81" s="16" t="str">
        <f>IFERROR(IF(VLOOKUP(F81,'Pivot Analysis'!B:B,1,0)=F81,"",""),G81/$C$29)</f>
        <v/>
      </c>
      <c r="D81" s="16">
        <f t="shared" si="2"/>
        <v>10.72</v>
      </c>
      <c r="E81" s="16">
        <f t="shared" si="1"/>
        <v>32.160000000000004</v>
      </c>
      <c r="F81" t="s">
        <v>120</v>
      </c>
      <c r="G81">
        <v>536</v>
      </c>
      <c r="H81">
        <v>95</v>
      </c>
      <c r="I81">
        <v>441</v>
      </c>
    </row>
    <row r="82" spans="3:9" x14ac:dyDescent="0.25">
      <c r="C82" s="16">
        <f>IFERROR(IF(VLOOKUP(F82,'Pivot Analysis'!B:B,1,0)=F82,"",""),G82/$C$29)</f>
        <v>4.12</v>
      </c>
      <c r="D82" s="16">
        <f t="shared" si="2"/>
        <v>4.12</v>
      </c>
      <c r="E82" s="16">
        <f t="shared" si="1"/>
        <v>12.36</v>
      </c>
      <c r="F82" t="s">
        <v>1050</v>
      </c>
      <c r="G82">
        <v>206</v>
      </c>
      <c r="H82">
        <v>69</v>
      </c>
      <c r="I82">
        <v>137</v>
      </c>
    </row>
    <row r="83" spans="3:9" x14ac:dyDescent="0.25">
      <c r="C83" s="16" t="str">
        <f>IFERROR(IF(VLOOKUP(F83,'Pivot Analysis'!B:B,1,0)=F83,"",""),G83/$C$29)</f>
        <v/>
      </c>
      <c r="D83" s="16">
        <f t="shared" si="2"/>
        <v>0.32</v>
      </c>
      <c r="E83" s="16">
        <f t="shared" si="1"/>
        <v>0.96</v>
      </c>
      <c r="F83" t="s">
        <v>795</v>
      </c>
      <c r="G83">
        <v>16</v>
      </c>
      <c r="H83">
        <v>1</v>
      </c>
      <c r="I83">
        <v>15</v>
      </c>
    </row>
    <row r="84" spans="3:9" x14ac:dyDescent="0.25">
      <c r="C84" s="16" t="str">
        <f>IFERROR(IF(VLOOKUP(F84,'Pivot Analysis'!B:B,1,0)=F84,"",""),G84/$C$29)</f>
        <v/>
      </c>
      <c r="D84" s="16">
        <f t="shared" si="2"/>
        <v>7.3</v>
      </c>
      <c r="E84" s="16">
        <f t="shared" si="1"/>
        <v>21.9</v>
      </c>
      <c r="F84" t="s">
        <v>123</v>
      </c>
      <c r="G84">
        <v>365</v>
      </c>
      <c r="H84">
        <v>60</v>
      </c>
      <c r="I84">
        <v>305</v>
      </c>
    </row>
    <row r="85" spans="3:9" x14ac:dyDescent="0.25">
      <c r="C85" s="16" t="str">
        <f>IFERROR(IF(VLOOKUP(F85,'Pivot Analysis'!B:B,1,0)=F85,"",""),G85/$C$29)</f>
        <v/>
      </c>
      <c r="D85" s="16">
        <f t="shared" si="2"/>
        <v>18.64</v>
      </c>
      <c r="E85" s="16">
        <f t="shared" si="1"/>
        <v>55.92</v>
      </c>
      <c r="F85" t="s">
        <v>124</v>
      </c>
      <c r="G85">
        <v>932</v>
      </c>
      <c r="H85">
        <v>179</v>
      </c>
      <c r="I85">
        <v>753</v>
      </c>
    </row>
    <row r="86" spans="3:9" x14ac:dyDescent="0.25">
      <c r="C86" s="16" t="str">
        <f>IFERROR(IF(VLOOKUP(F86,'Pivot Analysis'!B:B,1,0)=F86,"",""),G86/$C$29)</f>
        <v/>
      </c>
      <c r="D86" s="16">
        <f t="shared" si="2"/>
        <v>121.6</v>
      </c>
      <c r="E86" s="16">
        <f t="shared" si="1"/>
        <v>364.79999999999995</v>
      </c>
      <c r="F86" t="s">
        <v>126</v>
      </c>
      <c r="G86">
        <v>6080</v>
      </c>
      <c r="H86">
        <v>867</v>
      </c>
      <c r="I86">
        <v>5213</v>
      </c>
    </row>
    <row r="87" spans="3:9" x14ac:dyDescent="0.25">
      <c r="C87" s="16" t="str">
        <f>IFERROR(IF(VLOOKUP(F87,'Pivot Analysis'!B:B,1,0)=F87,"",""),G87/$C$29)</f>
        <v/>
      </c>
      <c r="D87" s="16">
        <f t="shared" si="2"/>
        <v>8.94</v>
      </c>
      <c r="E87" s="16">
        <f t="shared" si="1"/>
        <v>26.82</v>
      </c>
      <c r="F87" t="s">
        <v>128</v>
      </c>
      <c r="G87">
        <v>447</v>
      </c>
      <c r="H87">
        <v>67</v>
      </c>
      <c r="I87">
        <v>380</v>
      </c>
    </row>
    <row r="88" spans="3:9" x14ac:dyDescent="0.25">
      <c r="C88" s="16" t="str">
        <f>IFERROR(IF(VLOOKUP(F88,'Pivot Analysis'!B:B,1,0)=F88,"",""),G88/$C$29)</f>
        <v/>
      </c>
      <c r="D88" s="16">
        <f t="shared" si="2"/>
        <v>61.14</v>
      </c>
      <c r="E88" s="16">
        <f t="shared" si="1"/>
        <v>183.42000000000002</v>
      </c>
      <c r="F88" t="s">
        <v>131</v>
      </c>
      <c r="G88">
        <v>3057</v>
      </c>
      <c r="H88">
        <v>420</v>
      </c>
      <c r="I88">
        <v>2637</v>
      </c>
    </row>
    <row r="89" spans="3:9" x14ac:dyDescent="0.25">
      <c r="C89" s="16" t="str">
        <f>IFERROR(IF(VLOOKUP(F89,'Pivot Analysis'!B:B,1,0)=F89,"",""),G89/$C$29)</f>
        <v/>
      </c>
      <c r="D89" s="16">
        <f t="shared" si="2"/>
        <v>5.72</v>
      </c>
      <c r="E89" s="16">
        <f t="shared" si="1"/>
        <v>17.16</v>
      </c>
      <c r="F89" t="s">
        <v>134</v>
      </c>
      <c r="G89">
        <v>286</v>
      </c>
      <c r="H89">
        <v>53</v>
      </c>
      <c r="I89">
        <v>233</v>
      </c>
    </row>
    <row r="90" spans="3:9" x14ac:dyDescent="0.25">
      <c r="C90" s="16" t="str">
        <f>IFERROR(IF(VLOOKUP(F90,'Pivot Analysis'!B:B,1,0)=F90,"",""),G90/$C$29)</f>
        <v/>
      </c>
      <c r="D90" s="16">
        <f t="shared" si="2"/>
        <v>5.52</v>
      </c>
      <c r="E90" s="16">
        <f t="shared" si="1"/>
        <v>16.559999999999999</v>
      </c>
      <c r="F90" t="s">
        <v>135</v>
      </c>
      <c r="G90">
        <v>276</v>
      </c>
      <c r="H90">
        <v>42</v>
      </c>
      <c r="I90">
        <v>234</v>
      </c>
    </row>
    <row r="91" spans="3:9" x14ac:dyDescent="0.25">
      <c r="C91" s="16">
        <f>IFERROR(IF(VLOOKUP(F91,'Pivot Analysis'!B:B,1,0)=F91,"",""),G91/$C$29)</f>
        <v>673.22</v>
      </c>
      <c r="D91" s="16">
        <f t="shared" si="2"/>
        <v>673.22</v>
      </c>
      <c r="E91" s="16">
        <f t="shared" si="1"/>
        <v>2019.66</v>
      </c>
      <c r="F91" t="s">
        <v>1042</v>
      </c>
      <c r="G91">
        <v>33661</v>
      </c>
      <c r="H91">
        <v>7549</v>
      </c>
      <c r="I91">
        <v>26112</v>
      </c>
    </row>
    <row r="92" spans="3:9" x14ac:dyDescent="0.25">
      <c r="C92" s="16" t="str">
        <f>IFERROR(IF(VLOOKUP(F92,'Pivot Analysis'!B:B,1,0)=F92,"",""),G92/$C$29)</f>
        <v/>
      </c>
      <c r="D92" s="16">
        <f t="shared" si="2"/>
        <v>19.32</v>
      </c>
      <c r="E92" s="16">
        <f t="shared" si="1"/>
        <v>57.96</v>
      </c>
      <c r="F92" t="s">
        <v>144</v>
      </c>
      <c r="G92">
        <v>966</v>
      </c>
      <c r="H92">
        <v>313</v>
      </c>
      <c r="I92">
        <v>653</v>
      </c>
    </row>
    <row r="93" spans="3:9" x14ac:dyDescent="0.25">
      <c r="C93" s="16" t="str">
        <f>IFERROR(IF(VLOOKUP(F93,'Pivot Analysis'!B:B,1,0)=F93,"",""),G93/$C$29)</f>
        <v/>
      </c>
      <c r="D93" s="16">
        <f t="shared" si="2"/>
        <v>16.8</v>
      </c>
      <c r="E93" s="16">
        <f t="shared" si="1"/>
        <v>50.400000000000006</v>
      </c>
      <c r="F93" t="s">
        <v>148</v>
      </c>
      <c r="G93">
        <v>840</v>
      </c>
      <c r="H93">
        <v>217</v>
      </c>
      <c r="I93">
        <v>623</v>
      </c>
    </row>
    <row r="94" spans="3:9" x14ac:dyDescent="0.25">
      <c r="C94" s="16" t="str">
        <f>IFERROR(IF(VLOOKUP(F94,'Pivot Analysis'!B:B,1,0)=F94,"",""),G94/$C$29)</f>
        <v/>
      </c>
      <c r="D94" s="16">
        <f t="shared" si="2"/>
        <v>0.42</v>
      </c>
      <c r="E94" s="16">
        <f t="shared" si="1"/>
        <v>1.26</v>
      </c>
      <c r="F94" t="s">
        <v>150</v>
      </c>
      <c r="G94">
        <v>21</v>
      </c>
      <c r="H94">
        <v>13</v>
      </c>
      <c r="I94">
        <v>8</v>
      </c>
    </row>
    <row r="95" spans="3:9" x14ac:dyDescent="0.25">
      <c r="C95" s="16" t="str">
        <f>IFERROR(IF(VLOOKUP(F95,'Pivot Analysis'!B:B,1,0)=F95,"",""),G95/$C$29)</f>
        <v/>
      </c>
      <c r="D95" s="16">
        <f t="shared" si="2"/>
        <v>4.6399999999999997</v>
      </c>
      <c r="E95" s="16">
        <f t="shared" si="1"/>
        <v>13.919999999999998</v>
      </c>
      <c r="F95" t="s">
        <v>151</v>
      </c>
      <c r="G95">
        <v>232</v>
      </c>
      <c r="H95">
        <v>30</v>
      </c>
      <c r="I95">
        <v>202</v>
      </c>
    </row>
    <row r="96" spans="3:9" x14ac:dyDescent="0.25">
      <c r="C96" s="16" t="str">
        <f>IFERROR(IF(VLOOKUP(F96,'Pivot Analysis'!B:B,1,0)=F96,"",""),G96/$C$29)</f>
        <v/>
      </c>
      <c r="D96" s="16">
        <f t="shared" si="2"/>
        <v>146</v>
      </c>
      <c r="E96" s="16">
        <f t="shared" si="1"/>
        <v>438</v>
      </c>
      <c r="F96" t="s">
        <v>152</v>
      </c>
      <c r="G96">
        <v>7300</v>
      </c>
      <c r="H96">
        <v>1657</v>
      </c>
      <c r="I96">
        <v>5643</v>
      </c>
    </row>
    <row r="97" spans="3:9" x14ac:dyDescent="0.25">
      <c r="C97" s="16" t="str">
        <f>IFERROR(IF(VLOOKUP(F97,'Pivot Analysis'!B:B,1,0)=F97,"",""),G97/$C$29)</f>
        <v/>
      </c>
      <c r="D97" s="16">
        <f t="shared" si="2"/>
        <v>16</v>
      </c>
      <c r="E97" s="16">
        <f t="shared" ref="E97:E160" si="3">D97*$E$29</f>
        <v>48</v>
      </c>
      <c r="F97" t="s">
        <v>430</v>
      </c>
      <c r="G97">
        <v>800</v>
      </c>
      <c r="H97">
        <v>203</v>
      </c>
      <c r="I97">
        <v>597</v>
      </c>
    </row>
    <row r="98" spans="3:9" x14ac:dyDescent="0.25">
      <c r="C98" s="16" t="str">
        <f>IFERROR(IF(VLOOKUP(F98,'Pivot Analysis'!B:B,1,0)=F98,"",""),G98/$C$29)</f>
        <v/>
      </c>
      <c r="D98" s="16">
        <f t="shared" si="2"/>
        <v>73.680000000000007</v>
      </c>
      <c r="E98" s="16">
        <f t="shared" si="3"/>
        <v>221.04000000000002</v>
      </c>
      <c r="F98" t="s">
        <v>435</v>
      </c>
      <c r="G98">
        <v>3684</v>
      </c>
      <c r="H98">
        <v>555</v>
      </c>
      <c r="I98">
        <v>3129</v>
      </c>
    </row>
    <row r="99" spans="3:9" x14ac:dyDescent="0.25">
      <c r="C99" s="16" t="str">
        <f>IFERROR(IF(VLOOKUP(F99,'Pivot Analysis'!B:B,1,0)=F99,"",""),G99/$C$29)</f>
        <v/>
      </c>
      <c r="D99" s="16">
        <f t="shared" si="2"/>
        <v>1370.7</v>
      </c>
      <c r="E99" s="16">
        <f t="shared" si="3"/>
        <v>4112.1000000000004</v>
      </c>
      <c r="F99" t="s">
        <v>437</v>
      </c>
      <c r="G99">
        <v>68535</v>
      </c>
      <c r="H99">
        <v>15086</v>
      </c>
      <c r="I99">
        <v>53449</v>
      </c>
    </row>
    <row r="100" spans="3:9" x14ac:dyDescent="0.25">
      <c r="C100" s="16" t="str">
        <f>IFERROR(IF(VLOOKUP(F100,'Pivot Analysis'!B:B,1,0)=F100,"",""),G100/$C$29)</f>
        <v/>
      </c>
      <c r="D100" s="16">
        <f t="shared" si="2"/>
        <v>8.9600000000000009</v>
      </c>
      <c r="E100" s="16">
        <f t="shared" si="3"/>
        <v>26.880000000000003</v>
      </c>
      <c r="F100" t="s">
        <v>439</v>
      </c>
      <c r="G100">
        <v>448</v>
      </c>
      <c r="H100">
        <v>73</v>
      </c>
      <c r="I100">
        <v>375</v>
      </c>
    </row>
    <row r="101" spans="3:9" x14ac:dyDescent="0.25">
      <c r="C101" s="16" t="str">
        <f>IFERROR(IF(VLOOKUP(F101,'Pivot Analysis'!B:B,1,0)=F101,"",""),G101/$C$29)</f>
        <v/>
      </c>
      <c r="D101" s="16">
        <f t="shared" si="2"/>
        <v>0.84</v>
      </c>
      <c r="E101" s="16">
        <f t="shared" si="3"/>
        <v>2.52</v>
      </c>
      <c r="F101" t="s">
        <v>440</v>
      </c>
      <c r="G101">
        <v>42</v>
      </c>
      <c r="H101">
        <v>3</v>
      </c>
      <c r="I101">
        <v>39</v>
      </c>
    </row>
    <row r="102" spans="3:9" x14ac:dyDescent="0.25">
      <c r="C102" s="16" t="str">
        <f>IFERROR(IF(VLOOKUP(F102,'Pivot Analysis'!B:B,1,0)=F102,"",""),G102/$C$29)</f>
        <v/>
      </c>
      <c r="D102" s="16">
        <f t="shared" si="2"/>
        <v>37.159999999999997</v>
      </c>
      <c r="E102" s="16">
        <f t="shared" si="3"/>
        <v>111.47999999999999</v>
      </c>
      <c r="F102" t="s">
        <v>445</v>
      </c>
      <c r="G102">
        <v>1858</v>
      </c>
      <c r="H102">
        <v>207</v>
      </c>
      <c r="I102">
        <v>1651</v>
      </c>
    </row>
    <row r="103" spans="3:9" x14ac:dyDescent="0.25">
      <c r="C103" s="16">
        <f>IFERROR(IF(VLOOKUP(F103,'Pivot Analysis'!B:B,1,0)=F103,"",""),G103/$C$29)</f>
        <v>39.5</v>
      </c>
      <c r="D103" s="16">
        <f t="shared" si="2"/>
        <v>39.5</v>
      </c>
      <c r="E103" s="16">
        <f t="shared" si="3"/>
        <v>118.5</v>
      </c>
      <c r="F103" t="s">
        <v>1062</v>
      </c>
      <c r="G103">
        <v>1975</v>
      </c>
      <c r="H103">
        <v>272</v>
      </c>
      <c r="I103">
        <v>1703</v>
      </c>
    </row>
    <row r="104" spans="3:9" x14ac:dyDescent="0.25">
      <c r="C104" s="16" t="str">
        <f>IFERROR(IF(VLOOKUP(F104,'Pivot Analysis'!B:B,1,0)=F104,"",""),G104/$C$29)</f>
        <v/>
      </c>
      <c r="D104" s="16">
        <f t="shared" si="2"/>
        <v>272.18</v>
      </c>
      <c r="E104" s="16">
        <f t="shared" si="3"/>
        <v>816.54</v>
      </c>
      <c r="F104" t="s">
        <v>447</v>
      </c>
      <c r="G104">
        <v>13609</v>
      </c>
      <c r="H104">
        <v>2723</v>
      </c>
      <c r="I104">
        <v>10886</v>
      </c>
    </row>
    <row r="105" spans="3:9" x14ac:dyDescent="0.25">
      <c r="C105" s="16" t="str">
        <f>IFERROR(IF(VLOOKUP(F105,'Pivot Analysis'!B:B,1,0)=F105,"",""),G105/$C$29)</f>
        <v/>
      </c>
      <c r="D105" s="16">
        <f t="shared" si="2"/>
        <v>2.2599999999999998</v>
      </c>
      <c r="E105" s="16">
        <f t="shared" si="3"/>
        <v>6.7799999999999994</v>
      </c>
      <c r="F105" t="s">
        <v>450</v>
      </c>
      <c r="G105">
        <v>113</v>
      </c>
      <c r="H105">
        <v>32</v>
      </c>
      <c r="I105">
        <v>81</v>
      </c>
    </row>
    <row r="106" spans="3:9" x14ac:dyDescent="0.25">
      <c r="C106" s="16" t="str">
        <f>IFERROR(IF(VLOOKUP(F106,'Pivot Analysis'!B:B,1,0)=F106,"",""),G106/$C$29)</f>
        <v/>
      </c>
      <c r="D106" s="16">
        <f t="shared" si="2"/>
        <v>0.36</v>
      </c>
      <c r="E106" s="16">
        <f t="shared" si="3"/>
        <v>1.08</v>
      </c>
      <c r="F106" t="s">
        <v>451</v>
      </c>
      <c r="G106">
        <v>18</v>
      </c>
      <c r="H106">
        <v>12</v>
      </c>
      <c r="I106">
        <v>6</v>
      </c>
    </row>
    <row r="107" spans="3:9" x14ac:dyDescent="0.25">
      <c r="C107" s="16" t="str">
        <f>IFERROR(IF(VLOOKUP(F107,'Pivot Analysis'!B:B,1,0)=F107,"",""),G107/$C$29)</f>
        <v/>
      </c>
      <c r="D107" s="16">
        <f t="shared" si="2"/>
        <v>1.74</v>
      </c>
      <c r="E107" s="16">
        <f t="shared" si="3"/>
        <v>5.22</v>
      </c>
      <c r="F107" t="s">
        <v>452</v>
      </c>
      <c r="G107">
        <v>87</v>
      </c>
      <c r="H107">
        <v>24</v>
      </c>
      <c r="I107">
        <v>63</v>
      </c>
    </row>
    <row r="108" spans="3:9" x14ac:dyDescent="0.25">
      <c r="C108" s="16" t="str">
        <f>IFERROR(IF(VLOOKUP(F108,'Pivot Analysis'!B:B,1,0)=F108,"",""),G108/$C$29)</f>
        <v/>
      </c>
      <c r="D108" s="16">
        <f t="shared" si="2"/>
        <v>0.56000000000000005</v>
      </c>
      <c r="E108" s="16">
        <f t="shared" si="3"/>
        <v>1.6800000000000002</v>
      </c>
      <c r="F108" t="s">
        <v>453</v>
      </c>
      <c r="G108">
        <v>28</v>
      </c>
      <c r="H108">
        <v>15</v>
      </c>
      <c r="I108">
        <v>13</v>
      </c>
    </row>
    <row r="109" spans="3:9" x14ac:dyDescent="0.25">
      <c r="C109" s="16" t="str">
        <f>IFERROR(IF(VLOOKUP(F109,'Pivot Analysis'!B:B,1,0)=F109,"",""),G109/$C$29)</f>
        <v/>
      </c>
      <c r="D109" s="16">
        <f t="shared" si="2"/>
        <v>3.32</v>
      </c>
      <c r="E109" s="16">
        <f t="shared" si="3"/>
        <v>9.9599999999999991</v>
      </c>
      <c r="F109" t="s">
        <v>456</v>
      </c>
      <c r="G109">
        <v>166</v>
      </c>
      <c r="H109">
        <v>45</v>
      </c>
      <c r="I109">
        <v>121</v>
      </c>
    </row>
    <row r="110" spans="3:9" x14ac:dyDescent="0.25">
      <c r="C110" s="16" t="str">
        <f>IFERROR(IF(VLOOKUP(F110,'Pivot Analysis'!B:B,1,0)=F110,"",""),G110/$C$29)</f>
        <v/>
      </c>
      <c r="D110" s="16">
        <f t="shared" ref="D110:D173" si="4">G110/$D$29</f>
        <v>0.42</v>
      </c>
      <c r="E110" s="16">
        <f t="shared" si="3"/>
        <v>1.26</v>
      </c>
      <c r="F110" t="s">
        <v>457</v>
      </c>
      <c r="G110">
        <v>21</v>
      </c>
      <c r="H110">
        <v>13</v>
      </c>
      <c r="I110">
        <v>8</v>
      </c>
    </row>
    <row r="111" spans="3:9" x14ac:dyDescent="0.25">
      <c r="C111" s="16" t="str">
        <f>IFERROR(IF(VLOOKUP(F111,'Pivot Analysis'!B:B,1,0)=F111,"",""),G111/$C$29)</f>
        <v/>
      </c>
      <c r="D111" s="16">
        <f t="shared" si="4"/>
        <v>1.22</v>
      </c>
      <c r="E111" s="16">
        <f t="shared" si="3"/>
        <v>3.66</v>
      </c>
      <c r="F111" t="s">
        <v>458</v>
      </c>
      <c r="G111">
        <v>61</v>
      </c>
      <c r="H111">
        <v>15</v>
      </c>
      <c r="I111">
        <v>46</v>
      </c>
    </row>
    <row r="112" spans="3:9" x14ac:dyDescent="0.25">
      <c r="C112" s="16" t="str">
        <f>IFERROR(IF(VLOOKUP(F112,'Pivot Analysis'!B:B,1,0)=F112,"",""),G112/$C$29)</f>
        <v/>
      </c>
      <c r="D112" s="16">
        <f t="shared" si="4"/>
        <v>42.7</v>
      </c>
      <c r="E112" s="16">
        <f t="shared" si="3"/>
        <v>128.10000000000002</v>
      </c>
      <c r="F112" t="s">
        <v>459</v>
      </c>
      <c r="G112">
        <v>2135</v>
      </c>
      <c r="H112">
        <v>430</v>
      </c>
      <c r="I112">
        <v>1705</v>
      </c>
    </row>
    <row r="113" spans="3:9" x14ac:dyDescent="0.25">
      <c r="C113" s="16" t="str">
        <f>IFERROR(IF(VLOOKUP(F113,'Pivot Analysis'!B:B,1,0)=F113,"",""),G113/$C$29)</f>
        <v/>
      </c>
      <c r="D113" s="16">
        <f t="shared" si="4"/>
        <v>33.44</v>
      </c>
      <c r="E113" s="16">
        <f t="shared" si="3"/>
        <v>100.32</v>
      </c>
      <c r="F113" t="s">
        <v>462</v>
      </c>
      <c r="G113">
        <v>1672</v>
      </c>
      <c r="H113">
        <v>24</v>
      </c>
      <c r="I113">
        <v>1648</v>
      </c>
    </row>
    <row r="114" spans="3:9" x14ac:dyDescent="0.25">
      <c r="C114" s="16" t="str">
        <f>IFERROR(IF(VLOOKUP(F114,'Pivot Analysis'!B:B,1,0)=F114,"",""),G114/$C$29)</f>
        <v/>
      </c>
      <c r="D114" s="16">
        <f t="shared" si="4"/>
        <v>377.2</v>
      </c>
      <c r="E114" s="16">
        <f t="shared" si="3"/>
        <v>1131.5999999999999</v>
      </c>
      <c r="F114" t="s">
        <v>470</v>
      </c>
      <c r="G114">
        <v>18860</v>
      </c>
      <c r="H114">
        <v>2935</v>
      </c>
      <c r="I114">
        <v>15925</v>
      </c>
    </row>
    <row r="115" spans="3:9" x14ac:dyDescent="0.25">
      <c r="C115" s="16" t="str">
        <f>IFERROR(IF(VLOOKUP(F115,'Pivot Analysis'!B:B,1,0)=F115,"",""),G115/$C$29)</f>
        <v/>
      </c>
      <c r="D115" s="16">
        <f t="shared" si="4"/>
        <v>21.78</v>
      </c>
      <c r="E115" s="16">
        <f t="shared" si="3"/>
        <v>65.34</v>
      </c>
      <c r="F115" t="s">
        <v>472</v>
      </c>
      <c r="G115">
        <v>1089</v>
      </c>
      <c r="H115">
        <v>195</v>
      </c>
      <c r="I115">
        <v>894</v>
      </c>
    </row>
    <row r="116" spans="3:9" x14ac:dyDescent="0.25">
      <c r="C116" s="16" t="str">
        <f>IFERROR(IF(VLOOKUP(F116,'Pivot Analysis'!B:B,1,0)=F116,"",""),G116/$C$29)</f>
        <v/>
      </c>
      <c r="D116" s="16">
        <f t="shared" si="4"/>
        <v>3.6</v>
      </c>
      <c r="E116" s="16">
        <f t="shared" si="3"/>
        <v>10.8</v>
      </c>
      <c r="F116" t="s">
        <v>476</v>
      </c>
      <c r="G116">
        <v>180</v>
      </c>
      <c r="H116">
        <v>36</v>
      </c>
      <c r="I116">
        <v>144</v>
      </c>
    </row>
    <row r="117" spans="3:9" x14ac:dyDescent="0.25">
      <c r="C117" s="16" t="str">
        <f>IFERROR(IF(VLOOKUP(F117,'Pivot Analysis'!B:B,1,0)=F117,"",""),G117/$C$29)</f>
        <v/>
      </c>
      <c r="D117" s="16">
        <f t="shared" si="4"/>
        <v>16.88</v>
      </c>
      <c r="E117" s="16">
        <f t="shared" si="3"/>
        <v>50.64</v>
      </c>
      <c r="F117" t="s">
        <v>485</v>
      </c>
      <c r="G117">
        <v>844</v>
      </c>
      <c r="H117">
        <v>205</v>
      </c>
      <c r="I117">
        <v>639</v>
      </c>
    </row>
    <row r="118" spans="3:9" x14ac:dyDescent="0.25">
      <c r="C118" s="16" t="str">
        <f>IFERROR(IF(VLOOKUP(F118,'Pivot Analysis'!B:B,1,0)=F118,"",""),G118/$C$29)</f>
        <v/>
      </c>
      <c r="D118" s="16">
        <f t="shared" si="4"/>
        <v>23.1</v>
      </c>
      <c r="E118" s="16">
        <f t="shared" si="3"/>
        <v>69.300000000000011</v>
      </c>
      <c r="F118" t="s">
        <v>487</v>
      </c>
      <c r="G118">
        <v>1155</v>
      </c>
      <c r="H118">
        <v>278</v>
      </c>
      <c r="I118">
        <v>877</v>
      </c>
    </row>
    <row r="119" spans="3:9" x14ac:dyDescent="0.25">
      <c r="C119" s="16" t="str">
        <f>IFERROR(IF(VLOOKUP(F119,'Pivot Analysis'!B:B,1,0)=F119,"",""),G119/$C$29)</f>
        <v/>
      </c>
      <c r="D119" s="16">
        <f t="shared" si="4"/>
        <v>229</v>
      </c>
      <c r="E119" s="16">
        <f t="shared" si="3"/>
        <v>687</v>
      </c>
      <c r="F119" t="s">
        <v>488</v>
      </c>
      <c r="G119">
        <v>11450</v>
      </c>
      <c r="H119">
        <v>2702</v>
      </c>
      <c r="I119">
        <v>8748</v>
      </c>
    </row>
    <row r="120" spans="3:9" x14ac:dyDescent="0.25">
      <c r="C120" s="16" t="str">
        <f>IFERROR(IF(VLOOKUP(F120,'Pivot Analysis'!B:B,1,0)=F120,"",""),G120/$C$29)</f>
        <v/>
      </c>
      <c r="D120" s="16">
        <f t="shared" si="4"/>
        <v>21.84</v>
      </c>
      <c r="E120" s="16">
        <f t="shared" si="3"/>
        <v>65.52</v>
      </c>
      <c r="F120" t="s">
        <v>510</v>
      </c>
      <c r="G120">
        <v>1092</v>
      </c>
      <c r="H120">
        <v>345</v>
      </c>
      <c r="I120">
        <v>747</v>
      </c>
    </row>
    <row r="121" spans="3:9" x14ac:dyDescent="0.25">
      <c r="C121" s="16" t="str">
        <f>IFERROR(IF(VLOOKUP(F121,'Pivot Analysis'!B:B,1,0)=F121,"",""),G121/$C$29)</f>
        <v/>
      </c>
      <c r="D121" s="16">
        <f t="shared" si="4"/>
        <v>706.8</v>
      </c>
      <c r="E121" s="16">
        <f t="shared" si="3"/>
        <v>2120.3999999999996</v>
      </c>
      <c r="F121" t="s">
        <v>511</v>
      </c>
      <c r="G121">
        <v>35340</v>
      </c>
      <c r="H121">
        <v>5446</v>
      </c>
      <c r="I121">
        <v>29894</v>
      </c>
    </row>
    <row r="122" spans="3:9" x14ac:dyDescent="0.25">
      <c r="C122" s="16" t="str">
        <f>IFERROR(IF(VLOOKUP(F122,'Pivot Analysis'!B:B,1,0)=F122,"",""),G122/$C$29)</f>
        <v/>
      </c>
      <c r="D122" s="16">
        <f t="shared" si="4"/>
        <v>93.92</v>
      </c>
      <c r="E122" s="16">
        <f t="shared" si="3"/>
        <v>281.76</v>
      </c>
      <c r="F122" t="s">
        <v>513</v>
      </c>
      <c r="G122">
        <v>4696</v>
      </c>
      <c r="H122">
        <v>1150</v>
      </c>
      <c r="I122">
        <v>3546</v>
      </c>
    </row>
    <row r="123" spans="3:9" x14ac:dyDescent="0.25">
      <c r="C123" s="16" t="str">
        <f>IFERROR(IF(VLOOKUP(F123,'Pivot Analysis'!B:B,1,0)=F123,"",""),G123/$C$29)</f>
        <v/>
      </c>
      <c r="D123" s="16">
        <f t="shared" si="4"/>
        <v>20.66</v>
      </c>
      <c r="E123" s="16">
        <f t="shared" si="3"/>
        <v>61.980000000000004</v>
      </c>
      <c r="F123" t="s">
        <v>515</v>
      </c>
      <c r="G123">
        <v>1033</v>
      </c>
      <c r="H123">
        <v>248</v>
      </c>
      <c r="I123">
        <v>785</v>
      </c>
    </row>
    <row r="124" spans="3:9" x14ac:dyDescent="0.25">
      <c r="C124" s="16" t="str">
        <f>IFERROR(IF(VLOOKUP(F124,'Pivot Analysis'!B:B,1,0)=F124,"",""),G124/$C$29)</f>
        <v/>
      </c>
      <c r="D124" s="16">
        <f t="shared" si="4"/>
        <v>7.32</v>
      </c>
      <c r="E124" s="16">
        <f t="shared" si="3"/>
        <v>21.96</v>
      </c>
      <c r="F124" t="s">
        <v>521</v>
      </c>
      <c r="G124">
        <v>366</v>
      </c>
      <c r="H124">
        <v>86</v>
      </c>
      <c r="I124">
        <v>280</v>
      </c>
    </row>
    <row r="125" spans="3:9" x14ac:dyDescent="0.25">
      <c r="C125" s="16">
        <f>IFERROR(IF(VLOOKUP(F125,'Pivot Analysis'!B:B,1,0)=F125,"",""),G125/$C$29)</f>
        <v>20.48</v>
      </c>
      <c r="D125" s="16">
        <f t="shared" si="4"/>
        <v>20.48</v>
      </c>
      <c r="E125" s="16">
        <f t="shared" si="3"/>
        <v>61.44</v>
      </c>
      <c r="F125" t="s">
        <v>1051</v>
      </c>
      <c r="G125">
        <v>1024</v>
      </c>
      <c r="H125">
        <v>146</v>
      </c>
      <c r="I125">
        <v>878</v>
      </c>
    </row>
    <row r="126" spans="3:9" x14ac:dyDescent="0.25">
      <c r="C126" s="16" t="str">
        <f>IFERROR(IF(VLOOKUP(F126,'Pivot Analysis'!B:B,1,0)=F126,"",""),G126/$C$29)</f>
        <v/>
      </c>
      <c r="D126" s="16">
        <f t="shared" si="4"/>
        <v>26.44</v>
      </c>
      <c r="E126" s="16">
        <f t="shared" si="3"/>
        <v>79.320000000000007</v>
      </c>
      <c r="F126" t="s">
        <v>523</v>
      </c>
      <c r="G126">
        <v>1322</v>
      </c>
      <c r="H126">
        <v>207</v>
      </c>
      <c r="I126">
        <v>1115</v>
      </c>
    </row>
    <row r="127" spans="3:9" x14ac:dyDescent="0.25">
      <c r="C127" s="16" t="str">
        <f>IFERROR(IF(VLOOKUP(F127,'Pivot Analysis'!B:B,1,0)=F127,"",""),G127/$C$29)</f>
        <v/>
      </c>
      <c r="D127" s="16">
        <f t="shared" si="4"/>
        <v>0.52</v>
      </c>
      <c r="E127" s="16">
        <f t="shared" si="3"/>
        <v>1.56</v>
      </c>
      <c r="F127" t="s">
        <v>524</v>
      </c>
      <c r="G127">
        <v>26</v>
      </c>
      <c r="H127">
        <v>4</v>
      </c>
      <c r="I127">
        <v>22</v>
      </c>
    </row>
    <row r="128" spans="3:9" x14ac:dyDescent="0.25">
      <c r="C128" s="16" t="str">
        <f>IFERROR(IF(VLOOKUP(F128,'Pivot Analysis'!B:B,1,0)=F128,"",""),G128/$C$29)</f>
        <v/>
      </c>
      <c r="D128" s="16">
        <f t="shared" si="4"/>
        <v>0.84</v>
      </c>
      <c r="E128" s="16">
        <f t="shared" si="3"/>
        <v>2.52</v>
      </c>
      <c r="F128" t="s">
        <v>527</v>
      </c>
      <c r="G128">
        <v>42</v>
      </c>
      <c r="H128">
        <v>14</v>
      </c>
      <c r="I128">
        <v>28</v>
      </c>
    </row>
    <row r="129" spans="3:9" x14ac:dyDescent="0.25">
      <c r="C129" s="16" t="str">
        <f>IFERROR(IF(VLOOKUP(F129,'Pivot Analysis'!B:B,1,0)=F129,"",""),G129/$C$29)</f>
        <v/>
      </c>
      <c r="D129" s="16">
        <f t="shared" si="4"/>
        <v>28.76</v>
      </c>
      <c r="E129" s="16">
        <f t="shared" si="3"/>
        <v>86.28</v>
      </c>
      <c r="F129" t="s">
        <v>945</v>
      </c>
      <c r="G129">
        <v>1438</v>
      </c>
      <c r="H129">
        <v>297</v>
      </c>
      <c r="I129">
        <v>1141</v>
      </c>
    </row>
    <row r="130" spans="3:9" x14ac:dyDescent="0.25">
      <c r="C130" s="16" t="str">
        <f>IFERROR(IF(VLOOKUP(F130,'Pivot Analysis'!B:B,1,0)=F130,"",""),G130/$C$29)</f>
        <v/>
      </c>
      <c r="D130" s="16">
        <f t="shared" si="4"/>
        <v>7.26</v>
      </c>
      <c r="E130" s="16">
        <f t="shared" si="3"/>
        <v>21.78</v>
      </c>
      <c r="F130" t="s">
        <v>946</v>
      </c>
      <c r="G130">
        <v>363</v>
      </c>
      <c r="H130">
        <v>76</v>
      </c>
      <c r="I130">
        <v>287</v>
      </c>
    </row>
    <row r="131" spans="3:9" x14ac:dyDescent="0.25">
      <c r="C131" s="16" t="str">
        <f>IFERROR(IF(VLOOKUP(F131,'Pivot Analysis'!B:B,1,0)=F131,"",""),G131/$C$29)</f>
        <v/>
      </c>
      <c r="D131" s="16">
        <f t="shared" si="4"/>
        <v>111.34</v>
      </c>
      <c r="E131" s="16">
        <f t="shared" si="3"/>
        <v>334.02</v>
      </c>
      <c r="F131" t="s">
        <v>528</v>
      </c>
      <c r="G131">
        <v>5567</v>
      </c>
      <c r="H131">
        <v>512</v>
      </c>
      <c r="I131">
        <v>5055</v>
      </c>
    </row>
    <row r="132" spans="3:9" x14ac:dyDescent="0.25">
      <c r="C132" s="16" t="str">
        <f>IFERROR(IF(VLOOKUP(F132,'Pivot Analysis'!B:B,1,0)=F132,"",""),G132/$C$29)</f>
        <v/>
      </c>
      <c r="D132" s="16">
        <f t="shared" si="4"/>
        <v>29.72</v>
      </c>
      <c r="E132" s="16">
        <f t="shared" si="3"/>
        <v>89.16</v>
      </c>
      <c r="F132" t="s">
        <v>533</v>
      </c>
      <c r="G132">
        <v>1486</v>
      </c>
      <c r="H132">
        <v>309</v>
      </c>
      <c r="I132">
        <v>1177</v>
      </c>
    </row>
    <row r="133" spans="3:9" x14ac:dyDescent="0.25">
      <c r="C133" s="16" t="str">
        <f>IFERROR(IF(VLOOKUP(F133,'Pivot Analysis'!B:B,1,0)=F133,"",""),G133/$C$29)</f>
        <v/>
      </c>
      <c r="D133" s="16">
        <f t="shared" si="4"/>
        <v>126.82</v>
      </c>
      <c r="E133" s="16">
        <f t="shared" si="3"/>
        <v>380.46</v>
      </c>
      <c r="F133" t="s">
        <v>953</v>
      </c>
      <c r="G133">
        <v>6341</v>
      </c>
      <c r="H133">
        <v>926</v>
      </c>
      <c r="I133">
        <v>5415</v>
      </c>
    </row>
    <row r="134" spans="3:9" x14ac:dyDescent="0.25">
      <c r="C134" s="16" t="str">
        <f>IFERROR(IF(VLOOKUP(F134,'Pivot Analysis'!B:B,1,0)=F134,"",""),G134/$C$29)</f>
        <v/>
      </c>
      <c r="D134" s="16">
        <f t="shared" si="4"/>
        <v>0.48</v>
      </c>
      <c r="E134" s="16">
        <f t="shared" si="3"/>
        <v>1.44</v>
      </c>
      <c r="F134" t="s">
        <v>956</v>
      </c>
      <c r="G134">
        <v>24</v>
      </c>
      <c r="H134">
        <v>2</v>
      </c>
      <c r="I134">
        <v>22</v>
      </c>
    </row>
    <row r="135" spans="3:9" x14ac:dyDescent="0.25">
      <c r="C135" s="16" t="str">
        <f>IFERROR(IF(VLOOKUP(F135,'Pivot Analysis'!B:B,1,0)=F135,"",""),G135/$C$29)</f>
        <v/>
      </c>
      <c r="D135" s="16">
        <f t="shared" si="4"/>
        <v>1.74</v>
      </c>
      <c r="E135" s="16">
        <f t="shared" si="3"/>
        <v>5.22</v>
      </c>
      <c r="F135" t="s">
        <v>957</v>
      </c>
      <c r="G135">
        <v>87</v>
      </c>
      <c r="H135">
        <v>14</v>
      </c>
      <c r="I135">
        <v>73</v>
      </c>
    </row>
    <row r="136" spans="3:9" x14ac:dyDescent="0.25">
      <c r="C136" s="16">
        <f>IFERROR(IF(VLOOKUP(F136,'Pivot Analysis'!B:B,1,0)=F136,"",""),G136/$C$29)</f>
        <v>2.2000000000000002</v>
      </c>
      <c r="D136" s="16">
        <f t="shared" si="4"/>
        <v>2.2000000000000002</v>
      </c>
      <c r="E136" s="16">
        <f t="shared" si="3"/>
        <v>6.6000000000000005</v>
      </c>
      <c r="F136" t="s">
        <v>1052</v>
      </c>
      <c r="G136">
        <v>110</v>
      </c>
      <c r="H136">
        <v>13</v>
      </c>
      <c r="I136">
        <v>97</v>
      </c>
    </row>
    <row r="137" spans="3:9" x14ac:dyDescent="0.25">
      <c r="C137" s="16" t="str">
        <f>IFERROR(IF(VLOOKUP(F137,'Pivot Analysis'!B:B,1,0)=F137,"",""),G137/$C$29)</f>
        <v/>
      </c>
      <c r="D137" s="16">
        <f t="shared" si="4"/>
        <v>12.24</v>
      </c>
      <c r="E137" s="16">
        <f t="shared" si="3"/>
        <v>36.72</v>
      </c>
      <c r="F137" t="s">
        <v>539</v>
      </c>
      <c r="G137">
        <v>612</v>
      </c>
      <c r="H137">
        <v>139</v>
      </c>
      <c r="I137">
        <v>473</v>
      </c>
    </row>
    <row r="138" spans="3:9" x14ac:dyDescent="0.25">
      <c r="C138" s="16" t="str">
        <f>IFERROR(IF(VLOOKUP(F138,'Pivot Analysis'!B:B,1,0)=F138,"",""),G138/$C$29)</f>
        <v/>
      </c>
      <c r="D138" s="16">
        <f t="shared" si="4"/>
        <v>196.1</v>
      </c>
      <c r="E138" s="16">
        <f t="shared" si="3"/>
        <v>588.29999999999995</v>
      </c>
      <c r="F138" t="s">
        <v>540</v>
      </c>
      <c r="G138">
        <v>9805</v>
      </c>
      <c r="H138">
        <v>2369</v>
      </c>
      <c r="I138">
        <v>7436</v>
      </c>
    </row>
    <row r="139" spans="3:9" x14ac:dyDescent="0.25">
      <c r="C139" s="16" t="str">
        <f>IFERROR(IF(VLOOKUP(F139,'Pivot Analysis'!B:B,1,0)=F139,"",""),G139/$C$29)</f>
        <v/>
      </c>
      <c r="D139" s="16">
        <f t="shared" si="4"/>
        <v>320.74</v>
      </c>
      <c r="E139" s="16">
        <f t="shared" si="3"/>
        <v>962.22</v>
      </c>
      <c r="F139" t="s">
        <v>547</v>
      </c>
      <c r="G139">
        <v>16037</v>
      </c>
      <c r="H139">
        <v>2726</v>
      </c>
      <c r="I139">
        <v>13311</v>
      </c>
    </row>
    <row r="140" spans="3:9" x14ac:dyDescent="0.25">
      <c r="C140" s="16" t="str">
        <f>IFERROR(IF(VLOOKUP(F140,'Pivot Analysis'!B:B,1,0)=F140,"",""),G140/$C$29)</f>
        <v/>
      </c>
      <c r="D140" s="16">
        <f t="shared" si="4"/>
        <v>6.4</v>
      </c>
      <c r="E140" s="16">
        <f t="shared" si="3"/>
        <v>19.200000000000003</v>
      </c>
      <c r="F140" t="s">
        <v>964</v>
      </c>
      <c r="G140">
        <v>320</v>
      </c>
      <c r="H140">
        <v>61</v>
      </c>
      <c r="I140">
        <v>259</v>
      </c>
    </row>
    <row r="141" spans="3:9" x14ac:dyDescent="0.25">
      <c r="C141" s="16" t="str">
        <f>IFERROR(IF(VLOOKUP(F141,'Pivot Analysis'!B:B,1,0)=F141,"",""),G141/$C$29)</f>
        <v/>
      </c>
      <c r="D141" s="16">
        <f t="shared" si="4"/>
        <v>3.34</v>
      </c>
      <c r="E141" s="16">
        <f t="shared" si="3"/>
        <v>10.02</v>
      </c>
      <c r="F141" t="s">
        <v>549</v>
      </c>
      <c r="G141">
        <v>167</v>
      </c>
      <c r="H141">
        <v>43</v>
      </c>
      <c r="I141">
        <v>124</v>
      </c>
    </row>
    <row r="142" spans="3:9" x14ac:dyDescent="0.25">
      <c r="C142" s="16">
        <f>IFERROR(IF(VLOOKUP(F142,'Pivot Analysis'!B:B,1,0)=F142,"",""),G142/$C$29)</f>
        <v>0.78</v>
      </c>
      <c r="D142" s="16">
        <f t="shared" si="4"/>
        <v>0.78</v>
      </c>
      <c r="E142" s="16">
        <f t="shared" si="3"/>
        <v>2.34</v>
      </c>
      <c r="F142" t="s">
        <v>1053</v>
      </c>
      <c r="G142">
        <v>39</v>
      </c>
      <c r="H142">
        <v>14</v>
      </c>
      <c r="I142">
        <v>25</v>
      </c>
    </row>
    <row r="143" spans="3:9" x14ac:dyDescent="0.25">
      <c r="C143" s="16" t="str">
        <f>IFERROR(IF(VLOOKUP(F143,'Pivot Analysis'!B:B,1,0)=F143,"",""),G143/$C$29)</f>
        <v/>
      </c>
      <c r="D143" s="16">
        <f t="shared" si="4"/>
        <v>4.28</v>
      </c>
      <c r="E143" s="16">
        <f t="shared" si="3"/>
        <v>12.84</v>
      </c>
      <c r="F143" t="s">
        <v>551</v>
      </c>
      <c r="G143">
        <v>214</v>
      </c>
      <c r="H143">
        <v>45</v>
      </c>
      <c r="I143">
        <v>169</v>
      </c>
    </row>
    <row r="144" spans="3:9" x14ac:dyDescent="0.25">
      <c r="C144" s="16">
        <f>IFERROR(IF(VLOOKUP(F144,'Pivot Analysis'!B:B,1,0)=F144,"",""),G144/$C$29)</f>
        <v>3.6</v>
      </c>
      <c r="D144" s="16">
        <f t="shared" si="4"/>
        <v>3.6</v>
      </c>
      <c r="E144" s="16">
        <f t="shared" si="3"/>
        <v>10.8</v>
      </c>
      <c r="F144" t="s">
        <v>1063</v>
      </c>
      <c r="G144">
        <v>180</v>
      </c>
      <c r="H144">
        <v>48</v>
      </c>
      <c r="I144">
        <v>132</v>
      </c>
    </row>
    <row r="145" spans="3:9" x14ac:dyDescent="0.25">
      <c r="C145" s="16">
        <f>IFERROR(IF(VLOOKUP(F145,'Pivot Analysis'!B:B,1,0)=F145,"",""),G145/$C$29)</f>
        <v>0.4</v>
      </c>
      <c r="D145" s="16">
        <f t="shared" si="4"/>
        <v>0.4</v>
      </c>
      <c r="E145" s="16">
        <f t="shared" si="3"/>
        <v>1.2000000000000002</v>
      </c>
      <c r="F145" t="s">
        <v>1064</v>
      </c>
      <c r="G145">
        <v>20</v>
      </c>
      <c r="H145">
        <v>9</v>
      </c>
      <c r="I145">
        <v>11</v>
      </c>
    </row>
    <row r="146" spans="3:9" x14ac:dyDescent="0.25">
      <c r="C146" s="16" t="str">
        <f>IFERROR(IF(VLOOKUP(F146,'Pivot Analysis'!B:B,1,0)=F146,"",""),G146/$C$29)</f>
        <v/>
      </c>
      <c r="D146" s="16">
        <f t="shared" si="4"/>
        <v>5.86</v>
      </c>
      <c r="E146" s="16">
        <f t="shared" si="3"/>
        <v>17.580000000000002</v>
      </c>
      <c r="F146" t="s">
        <v>552</v>
      </c>
      <c r="G146">
        <v>293</v>
      </c>
      <c r="H146">
        <v>77</v>
      </c>
      <c r="I146">
        <v>216</v>
      </c>
    </row>
    <row r="147" spans="3:9" x14ac:dyDescent="0.25">
      <c r="C147" s="16">
        <f>IFERROR(IF(VLOOKUP(F147,'Pivot Analysis'!B:B,1,0)=F147,"",""),G147/$C$29)</f>
        <v>0.72</v>
      </c>
      <c r="D147" s="16">
        <f t="shared" si="4"/>
        <v>0.72</v>
      </c>
      <c r="E147" s="16">
        <f t="shared" si="3"/>
        <v>2.16</v>
      </c>
      <c r="F147" t="s">
        <v>1054</v>
      </c>
      <c r="G147">
        <v>36</v>
      </c>
      <c r="H147">
        <v>15</v>
      </c>
      <c r="I147">
        <v>21</v>
      </c>
    </row>
    <row r="148" spans="3:9" x14ac:dyDescent="0.25">
      <c r="C148" s="16" t="str">
        <f>IFERROR(IF(VLOOKUP(F148,'Pivot Analysis'!B:B,1,0)=F148,"",""),G148/$C$29)</f>
        <v/>
      </c>
      <c r="D148" s="16">
        <f t="shared" si="4"/>
        <v>3.3</v>
      </c>
      <c r="E148" s="16">
        <f t="shared" si="3"/>
        <v>9.8999999999999986</v>
      </c>
      <c r="F148" t="s">
        <v>553</v>
      </c>
      <c r="G148">
        <v>165</v>
      </c>
      <c r="H148">
        <v>45</v>
      </c>
      <c r="I148">
        <v>120</v>
      </c>
    </row>
    <row r="149" spans="3:9" x14ac:dyDescent="0.25">
      <c r="C149" s="16" t="str">
        <f>IFERROR(IF(VLOOKUP(F149,'Pivot Analysis'!B:B,1,0)=F149,"",""),G149/$C$29)</f>
        <v/>
      </c>
      <c r="D149" s="16">
        <f t="shared" si="4"/>
        <v>4.0999999999999996</v>
      </c>
      <c r="E149" s="16">
        <f t="shared" si="3"/>
        <v>12.299999999999999</v>
      </c>
      <c r="F149" t="s">
        <v>554</v>
      </c>
      <c r="G149">
        <v>205</v>
      </c>
      <c r="H149">
        <v>42</v>
      </c>
      <c r="I149">
        <v>163</v>
      </c>
    </row>
    <row r="150" spans="3:9" x14ac:dyDescent="0.25">
      <c r="C150" s="16">
        <f>IFERROR(IF(VLOOKUP(F150,'Pivot Analysis'!B:B,1,0)=F150,"",""),G150/$C$29)</f>
        <v>2</v>
      </c>
      <c r="D150" s="16">
        <f t="shared" si="4"/>
        <v>2</v>
      </c>
      <c r="E150" s="16">
        <f t="shared" si="3"/>
        <v>6</v>
      </c>
      <c r="F150" t="s">
        <v>1055</v>
      </c>
      <c r="G150">
        <v>100</v>
      </c>
      <c r="H150">
        <v>22</v>
      </c>
      <c r="I150">
        <v>78</v>
      </c>
    </row>
    <row r="151" spans="3:9" x14ac:dyDescent="0.25">
      <c r="C151" s="16">
        <f>IFERROR(IF(VLOOKUP(F151,'Pivot Analysis'!B:B,1,0)=F151,"",""),G151/$C$29)</f>
        <v>3.34</v>
      </c>
      <c r="D151" s="16">
        <f t="shared" si="4"/>
        <v>3.34</v>
      </c>
      <c r="E151" s="16">
        <f t="shared" si="3"/>
        <v>10.02</v>
      </c>
      <c r="F151" t="s">
        <v>1056</v>
      </c>
      <c r="G151">
        <v>167</v>
      </c>
      <c r="H151">
        <v>50</v>
      </c>
      <c r="I151">
        <v>117</v>
      </c>
    </row>
    <row r="152" spans="3:9" x14ac:dyDescent="0.25">
      <c r="C152" s="16" t="str">
        <f>IFERROR(IF(VLOOKUP(F152,'Pivot Analysis'!B:B,1,0)=F152,"",""),G152/$C$29)</f>
        <v/>
      </c>
      <c r="D152" s="16">
        <f t="shared" si="4"/>
        <v>24.46</v>
      </c>
      <c r="E152" s="16">
        <f t="shared" si="3"/>
        <v>73.38</v>
      </c>
      <c r="F152" t="s">
        <v>556</v>
      </c>
      <c r="G152">
        <v>1223</v>
      </c>
      <c r="H152">
        <v>200</v>
      </c>
      <c r="I152">
        <v>1023</v>
      </c>
    </row>
    <row r="153" spans="3:9" x14ac:dyDescent="0.25">
      <c r="C153" s="16" t="str">
        <f>IFERROR(IF(VLOOKUP(F153,'Pivot Analysis'!B:B,1,0)=F153,"",""),G153/$C$29)</f>
        <v/>
      </c>
      <c r="D153" s="16">
        <f t="shared" si="4"/>
        <v>140.63999999999999</v>
      </c>
      <c r="E153" s="16">
        <f t="shared" si="3"/>
        <v>421.91999999999996</v>
      </c>
      <c r="F153" t="s">
        <v>559</v>
      </c>
      <c r="G153">
        <v>7032</v>
      </c>
      <c r="H153">
        <v>1374</v>
      </c>
      <c r="I153">
        <v>5658</v>
      </c>
    </row>
    <row r="154" spans="3:9" x14ac:dyDescent="0.25">
      <c r="C154" s="16">
        <f>IFERROR(IF(VLOOKUP(F154,'Pivot Analysis'!B:B,1,0)=F154,"",""),G154/$C$29)</f>
        <v>10.08</v>
      </c>
      <c r="D154" s="16">
        <f t="shared" si="4"/>
        <v>10.08</v>
      </c>
      <c r="E154" s="16">
        <f t="shared" si="3"/>
        <v>30.240000000000002</v>
      </c>
      <c r="F154" t="s">
        <v>1057</v>
      </c>
      <c r="G154">
        <v>504</v>
      </c>
      <c r="H154">
        <v>77</v>
      </c>
      <c r="I154">
        <v>427</v>
      </c>
    </row>
    <row r="155" spans="3:9" x14ac:dyDescent="0.25">
      <c r="C155" s="16" t="str">
        <f>IFERROR(IF(VLOOKUP(F155,'Pivot Analysis'!B:B,1,0)=F155,"",""),G155/$C$29)</f>
        <v/>
      </c>
      <c r="D155" s="16">
        <f t="shared" si="4"/>
        <v>10.38</v>
      </c>
      <c r="E155" s="16">
        <f t="shared" si="3"/>
        <v>31.14</v>
      </c>
      <c r="F155" t="s">
        <v>561</v>
      </c>
      <c r="G155">
        <v>519</v>
      </c>
      <c r="H155">
        <v>121</v>
      </c>
      <c r="I155">
        <v>398</v>
      </c>
    </row>
    <row r="156" spans="3:9" x14ac:dyDescent="0.25">
      <c r="C156" s="16">
        <f>IFERROR(IF(VLOOKUP(F156,'Pivot Analysis'!B:B,1,0)=F156,"",""),G156/$C$29)</f>
        <v>2.1</v>
      </c>
      <c r="D156" s="16">
        <f t="shared" si="4"/>
        <v>2.1</v>
      </c>
      <c r="E156" s="16">
        <f t="shared" si="3"/>
        <v>6.3000000000000007</v>
      </c>
      <c r="F156" t="s">
        <v>1065</v>
      </c>
      <c r="G156">
        <v>105</v>
      </c>
      <c r="H156">
        <v>18</v>
      </c>
      <c r="I156">
        <v>87</v>
      </c>
    </row>
    <row r="157" spans="3:9" x14ac:dyDescent="0.25">
      <c r="C157" s="16" t="str">
        <f>IFERROR(IF(VLOOKUP(F157,'Pivot Analysis'!B:B,1,0)=F157,"",""),G157/$C$29)</f>
        <v/>
      </c>
      <c r="D157" s="16">
        <f t="shared" si="4"/>
        <v>69.84</v>
      </c>
      <c r="E157" s="16">
        <f t="shared" si="3"/>
        <v>209.52</v>
      </c>
      <c r="F157" t="s">
        <v>568</v>
      </c>
      <c r="G157">
        <v>3492</v>
      </c>
      <c r="H157">
        <v>831</v>
      </c>
      <c r="I157">
        <v>2661</v>
      </c>
    </row>
    <row r="158" spans="3:9" x14ac:dyDescent="0.25">
      <c r="C158" s="16" t="str">
        <f>IFERROR(IF(VLOOKUP(F158,'Pivot Analysis'!B:B,1,0)=F158,"",""),G158/$C$29)</f>
        <v/>
      </c>
      <c r="D158" s="16">
        <f t="shared" si="4"/>
        <v>26.66</v>
      </c>
      <c r="E158" s="16">
        <f t="shared" si="3"/>
        <v>79.98</v>
      </c>
      <c r="F158" t="s">
        <v>570</v>
      </c>
      <c r="G158">
        <v>1333</v>
      </c>
      <c r="H158">
        <v>304</v>
      </c>
      <c r="I158">
        <v>1029</v>
      </c>
    </row>
    <row r="159" spans="3:9" x14ac:dyDescent="0.25">
      <c r="C159" s="16" t="str">
        <f>IFERROR(IF(VLOOKUP(F159,'Pivot Analysis'!B:B,1,0)=F159,"",""),G159/$C$29)</f>
        <v/>
      </c>
      <c r="D159" s="16">
        <f t="shared" si="4"/>
        <v>51.82</v>
      </c>
      <c r="E159" s="16">
        <f t="shared" si="3"/>
        <v>155.46</v>
      </c>
      <c r="F159" t="s">
        <v>572</v>
      </c>
      <c r="G159">
        <v>2591</v>
      </c>
      <c r="H159">
        <v>429</v>
      </c>
      <c r="I159">
        <v>2162</v>
      </c>
    </row>
    <row r="160" spans="3:9" x14ac:dyDescent="0.25">
      <c r="C160" s="16" t="str">
        <f>IFERROR(IF(VLOOKUP(F160,'Pivot Analysis'!B:B,1,0)=F160,"",""),G160/$C$29)</f>
        <v/>
      </c>
      <c r="D160" s="16">
        <f t="shared" si="4"/>
        <v>47.88</v>
      </c>
      <c r="E160" s="16">
        <f t="shared" si="3"/>
        <v>143.64000000000001</v>
      </c>
      <c r="F160" t="s">
        <v>575</v>
      </c>
      <c r="G160">
        <v>2394</v>
      </c>
      <c r="H160">
        <v>588</v>
      </c>
      <c r="I160">
        <v>1806</v>
      </c>
    </row>
    <row r="161" spans="3:9" x14ac:dyDescent="0.25">
      <c r="C161" s="16">
        <f>IFERROR(IF(VLOOKUP(F161,'Pivot Analysis'!B:B,1,0)=F161,"",""),G161/$C$29)</f>
        <v>6.9</v>
      </c>
      <c r="D161" s="16">
        <f t="shared" si="4"/>
        <v>6.9</v>
      </c>
      <c r="E161" s="16">
        <f t="shared" ref="E161:E224" si="5">D161*$E$29</f>
        <v>20.700000000000003</v>
      </c>
      <c r="F161" t="s">
        <v>1043</v>
      </c>
      <c r="G161">
        <v>345</v>
      </c>
      <c r="H161">
        <v>67</v>
      </c>
      <c r="I161">
        <v>278</v>
      </c>
    </row>
    <row r="162" spans="3:9" x14ac:dyDescent="0.25">
      <c r="C162" s="16" t="str">
        <f>IFERROR(IF(VLOOKUP(F162,'Pivot Analysis'!B:B,1,0)=F162,"",""),G162/$C$29)</f>
        <v/>
      </c>
      <c r="D162" s="16">
        <f t="shared" si="4"/>
        <v>321</v>
      </c>
      <c r="E162" s="16">
        <f t="shared" si="5"/>
        <v>963</v>
      </c>
      <c r="F162" t="s">
        <v>577</v>
      </c>
      <c r="G162">
        <v>16050</v>
      </c>
      <c r="H162">
        <v>3847</v>
      </c>
      <c r="I162">
        <v>12203</v>
      </c>
    </row>
    <row r="163" spans="3:9" x14ac:dyDescent="0.25">
      <c r="C163" s="16" t="str">
        <f>IFERROR(IF(VLOOKUP(F163,'Pivot Analysis'!B:B,1,0)=F163,"",""),G163/$C$29)</f>
        <v/>
      </c>
      <c r="D163" s="16">
        <f t="shared" si="4"/>
        <v>1.5</v>
      </c>
      <c r="E163" s="16">
        <f t="shared" si="5"/>
        <v>4.5</v>
      </c>
      <c r="F163" t="s">
        <v>973</v>
      </c>
      <c r="G163">
        <v>75</v>
      </c>
      <c r="H163">
        <v>24</v>
      </c>
      <c r="I163">
        <v>51</v>
      </c>
    </row>
    <row r="164" spans="3:9" x14ac:dyDescent="0.25">
      <c r="C164" s="16" t="str">
        <f>IFERROR(IF(VLOOKUP(F164,'Pivot Analysis'!B:B,1,0)=F164,"",""),G164/$C$29)</f>
        <v/>
      </c>
      <c r="D164" s="16">
        <f t="shared" si="4"/>
        <v>8.6199999999999992</v>
      </c>
      <c r="E164" s="16">
        <f t="shared" si="5"/>
        <v>25.86</v>
      </c>
      <c r="F164" t="s">
        <v>579</v>
      </c>
      <c r="G164">
        <v>431</v>
      </c>
      <c r="H164">
        <v>88</v>
      </c>
      <c r="I164">
        <v>343</v>
      </c>
    </row>
    <row r="165" spans="3:9" x14ac:dyDescent="0.25">
      <c r="C165" s="16">
        <f>IFERROR(IF(VLOOKUP(F165,'Pivot Analysis'!B:B,1,0)=F165,"",""),G165/$C$29)</f>
        <v>5.0999999999999996</v>
      </c>
      <c r="D165" s="16">
        <f t="shared" si="4"/>
        <v>5.0999999999999996</v>
      </c>
      <c r="E165" s="16">
        <f t="shared" si="5"/>
        <v>15.299999999999999</v>
      </c>
      <c r="F165" t="s">
        <v>1046</v>
      </c>
      <c r="G165">
        <v>255</v>
      </c>
      <c r="H165">
        <v>92</v>
      </c>
      <c r="I165">
        <v>163</v>
      </c>
    </row>
    <row r="166" spans="3:9" x14ac:dyDescent="0.25">
      <c r="C166" s="16" t="str">
        <f>IFERROR(IF(VLOOKUP(F166,'Pivot Analysis'!B:B,1,0)=F166,"",""),G166/$C$29)</f>
        <v/>
      </c>
      <c r="D166" s="16">
        <f t="shared" si="4"/>
        <v>11.42</v>
      </c>
      <c r="E166" s="16">
        <f t="shared" si="5"/>
        <v>34.26</v>
      </c>
      <c r="F166" t="s">
        <v>580</v>
      </c>
      <c r="G166">
        <v>571</v>
      </c>
      <c r="H166">
        <v>144</v>
      </c>
      <c r="I166">
        <v>427</v>
      </c>
    </row>
    <row r="167" spans="3:9" x14ac:dyDescent="0.25">
      <c r="C167" s="16" t="str">
        <f>IFERROR(IF(VLOOKUP(F167,'Pivot Analysis'!B:B,1,0)=F167,"",""),G167/$C$29)</f>
        <v/>
      </c>
      <c r="D167" s="16">
        <f t="shared" si="4"/>
        <v>31.34</v>
      </c>
      <c r="E167" s="16">
        <f t="shared" si="5"/>
        <v>94.02</v>
      </c>
      <c r="F167" t="s">
        <v>585</v>
      </c>
      <c r="G167">
        <v>1567</v>
      </c>
      <c r="H167">
        <v>371</v>
      </c>
      <c r="I167">
        <v>1196</v>
      </c>
    </row>
    <row r="168" spans="3:9" x14ac:dyDescent="0.25">
      <c r="C168" s="16" t="str">
        <f>IFERROR(IF(VLOOKUP(F168,'Pivot Analysis'!B:B,1,0)=F168,"",""),G168/$C$29)</f>
        <v/>
      </c>
      <c r="D168" s="16">
        <f t="shared" si="4"/>
        <v>9.66</v>
      </c>
      <c r="E168" s="16">
        <f t="shared" si="5"/>
        <v>28.98</v>
      </c>
      <c r="F168" t="s">
        <v>588</v>
      </c>
      <c r="G168">
        <v>483</v>
      </c>
      <c r="H168">
        <v>110</v>
      </c>
      <c r="I168">
        <v>373</v>
      </c>
    </row>
    <row r="169" spans="3:9" x14ac:dyDescent="0.25">
      <c r="C169" s="16" t="str">
        <f>IFERROR(IF(VLOOKUP(F169,'Pivot Analysis'!B:B,1,0)=F169,"",""),G169/$C$29)</f>
        <v/>
      </c>
      <c r="D169" s="16">
        <f t="shared" si="4"/>
        <v>33.520000000000003</v>
      </c>
      <c r="E169" s="16">
        <f t="shared" si="5"/>
        <v>100.56</v>
      </c>
      <c r="F169" t="s">
        <v>590</v>
      </c>
      <c r="G169">
        <v>1676</v>
      </c>
      <c r="H169">
        <v>398</v>
      </c>
      <c r="I169">
        <v>1278</v>
      </c>
    </row>
    <row r="170" spans="3:9" x14ac:dyDescent="0.25">
      <c r="C170" s="16" t="str">
        <f>IFERROR(IF(VLOOKUP(F170,'Pivot Analysis'!B:B,1,0)=F170,"",""),G170/$C$29)</f>
        <v/>
      </c>
      <c r="D170" s="16">
        <f t="shared" si="4"/>
        <v>67.599999999999994</v>
      </c>
      <c r="E170" s="16">
        <f t="shared" si="5"/>
        <v>202.79999999999998</v>
      </c>
      <c r="F170" t="s">
        <v>595</v>
      </c>
      <c r="G170">
        <v>3380</v>
      </c>
      <c r="H170">
        <v>683</v>
      </c>
      <c r="I170">
        <v>2697</v>
      </c>
    </row>
    <row r="171" spans="3:9" x14ac:dyDescent="0.25">
      <c r="C171" s="16" t="str">
        <f>IFERROR(IF(VLOOKUP(F171,'Pivot Analysis'!B:B,1,0)=F171,"",""),G171/$C$29)</f>
        <v/>
      </c>
      <c r="D171" s="16">
        <f t="shared" si="4"/>
        <v>4.12</v>
      </c>
      <c r="E171" s="16">
        <f t="shared" si="5"/>
        <v>12.36</v>
      </c>
      <c r="F171" t="s">
        <v>597</v>
      </c>
      <c r="G171">
        <v>206</v>
      </c>
      <c r="H171">
        <v>65</v>
      </c>
      <c r="I171">
        <v>141</v>
      </c>
    </row>
    <row r="172" spans="3:9" x14ac:dyDescent="0.25">
      <c r="C172" s="16">
        <f>IFERROR(IF(VLOOKUP(F172,'Pivot Analysis'!B:B,1,0)=F172,"",""),G172/$C$29)</f>
        <v>0.42</v>
      </c>
      <c r="D172" s="16">
        <f t="shared" si="4"/>
        <v>0.42</v>
      </c>
      <c r="E172" s="16">
        <f t="shared" si="5"/>
        <v>1.26</v>
      </c>
      <c r="F172" t="s">
        <v>1058</v>
      </c>
      <c r="G172">
        <v>21</v>
      </c>
      <c r="H172">
        <v>10</v>
      </c>
      <c r="I172">
        <v>11</v>
      </c>
    </row>
    <row r="173" spans="3:9" x14ac:dyDescent="0.25">
      <c r="C173" s="16" t="str">
        <f>IFERROR(IF(VLOOKUP(F173,'Pivot Analysis'!B:B,1,0)=F173,"",""),G173/$C$29)</f>
        <v/>
      </c>
      <c r="D173" s="16">
        <f t="shared" si="4"/>
        <v>13.02</v>
      </c>
      <c r="E173" s="16">
        <f t="shared" si="5"/>
        <v>39.06</v>
      </c>
      <c r="F173" t="s">
        <v>598</v>
      </c>
      <c r="G173">
        <v>651</v>
      </c>
      <c r="H173">
        <v>163</v>
      </c>
      <c r="I173">
        <v>488</v>
      </c>
    </row>
    <row r="174" spans="3:9" x14ac:dyDescent="0.25">
      <c r="C174" s="16">
        <f>IFERROR(IF(VLOOKUP(F174,'Pivot Analysis'!B:B,1,0)=F174,"",""),G174/$C$29)</f>
        <v>0.52</v>
      </c>
      <c r="D174" s="16">
        <f t="shared" ref="D174:D230" si="6">G174/$D$29</f>
        <v>0.52</v>
      </c>
      <c r="E174" s="16">
        <f t="shared" si="5"/>
        <v>1.56</v>
      </c>
      <c r="F174" t="s">
        <v>1059</v>
      </c>
      <c r="G174">
        <v>26</v>
      </c>
      <c r="H174">
        <v>11</v>
      </c>
      <c r="I174">
        <v>15</v>
      </c>
    </row>
    <row r="175" spans="3:9" x14ac:dyDescent="0.25">
      <c r="C175" s="16" t="str">
        <f>IFERROR(IF(VLOOKUP(F175,'Pivot Analysis'!B:B,1,0)=F175,"",""),G175/$C$29)</f>
        <v/>
      </c>
      <c r="D175" s="16">
        <f t="shared" si="6"/>
        <v>1.56</v>
      </c>
      <c r="E175" s="16">
        <f t="shared" si="5"/>
        <v>4.68</v>
      </c>
      <c r="F175" t="s">
        <v>599</v>
      </c>
      <c r="G175">
        <v>78</v>
      </c>
      <c r="H175">
        <v>32</v>
      </c>
      <c r="I175">
        <v>46</v>
      </c>
    </row>
    <row r="176" spans="3:9" x14ac:dyDescent="0.25">
      <c r="C176" s="16" t="str">
        <f>IFERROR(IF(VLOOKUP(F176,'Pivot Analysis'!B:B,1,0)=F176,"",""),G176/$C$29)</f>
        <v/>
      </c>
      <c r="D176" s="16">
        <f t="shared" si="6"/>
        <v>1.94</v>
      </c>
      <c r="E176" s="16">
        <f t="shared" si="5"/>
        <v>5.82</v>
      </c>
      <c r="F176" t="s">
        <v>978</v>
      </c>
      <c r="G176">
        <v>97</v>
      </c>
      <c r="H176">
        <v>39</v>
      </c>
      <c r="I176">
        <v>58</v>
      </c>
    </row>
    <row r="177" spans="3:9" x14ac:dyDescent="0.25">
      <c r="C177" s="16" t="str">
        <f>IFERROR(IF(VLOOKUP(F177,'Pivot Analysis'!B:B,1,0)=F177,"",""),G177/$C$29)</f>
        <v/>
      </c>
      <c r="D177" s="16">
        <f t="shared" si="6"/>
        <v>0.22</v>
      </c>
      <c r="E177" s="16">
        <f t="shared" si="5"/>
        <v>0.66</v>
      </c>
      <c r="F177" t="s">
        <v>602</v>
      </c>
      <c r="G177">
        <v>11</v>
      </c>
      <c r="H177">
        <v>2</v>
      </c>
      <c r="I177">
        <v>9</v>
      </c>
    </row>
    <row r="178" spans="3:9" x14ac:dyDescent="0.25">
      <c r="C178" s="16" t="str">
        <f>IFERROR(IF(VLOOKUP(F178,'Pivot Analysis'!B:B,1,0)=F178,"",""),G178/$C$29)</f>
        <v/>
      </c>
      <c r="D178" s="16">
        <f t="shared" si="6"/>
        <v>45.42</v>
      </c>
      <c r="E178" s="16">
        <f t="shared" si="5"/>
        <v>136.26</v>
      </c>
      <c r="F178" t="s">
        <v>603</v>
      </c>
      <c r="G178">
        <v>2271</v>
      </c>
      <c r="H178">
        <v>474</v>
      </c>
      <c r="I178">
        <v>1797</v>
      </c>
    </row>
    <row r="179" spans="3:9" x14ac:dyDescent="0.25">
      <c r="C179" s="16" t="str">
        <f>IFERROR(IF(VLOOKUP(F179,'Pivot Analysis'!B:B,1,0)=F179,"",""),G179/$C$29)</f>
        <v/>
      </c>
      <c r="D179" s="16">
        <f t="shared" si="6"/>
        <v>24.38</v>
      </c>
      <c r="E179" s="16">
        <f t="shared" si="5"/>
        <v>73.14</v>
      </c>
      <c r="F179" t="s">
        <v>608</v>
      </c>
      <c r="G179">
        <v>1219</v>
      </c>
      <c r="H179">
        <v>278</v>
      </c>
      <c r="I179">
        <v>941</v>
      </c>
    </row>
    <row r="180" spans="3:9" x14ac:dyDescent="0.25">
      <c r="C180" s="16" t="str">
        <f>IFERROR(IF(VLOOKUP(F180,'Pivot Analysis'!B:B,1,0)=F180,"",""),G180/$C$29)</f>
        <v/>
      </c>
      <c r="D180" s="16">
        <f t="shared" si="6"/>
        <v>58.88</v>
      </c>
      <c r="E180" s="16">
        <f t="shared" si="5"/>
        <v>176.64000000000001</v>
      </c>
      <c r="F180" t="s">
        <v>609</v>
      </c>
      <c r="G180">
        <v>2944</v>
      </c>
      <c r="H180">
        <v>712</v>
      </c>
      <c r="I180">
        <v>2232</v>
      </c>
    </row>
    <row r="181" spans="3:9" x14ac:dyDescent="0.25">
      <c r="C181" s="16" t="str">
        <f>IFERROR(IF(VLOOKUP(F181,'Pivot Analysis'!B:B,1,0)=F181,"",""),G181/$C$29)</f>
        <v/>
      </c>
      <c r="D181" s="16">
        <f t="shared" si="6"/>
        <v>30.82</v>
      </c>
      <c r="E181" s="16">
        <f t="shared" si="5"/>
        <v>92.460000000000008</v>
      </c>
      <c r="F181" t="s">
        <v>611</v>
      </c>
      <c r="G181">
        <v>1541</v>
      </c>
      <c r="H181">
        <v>285</v>
      </c>
      <c r="I181">
        <v>1256</v>
      </c>
    </row>
    <row r="182" spans="3:9" x14ac:dyDescent="0.25">
      <c r="C182" s="16" t="str">
        <f>IFERROR(IF(VLOOKUP(F182,'Pivot Analysis'!B:B,1,0)=F182,"",""),G182/$C$29)</f>
        <v/>
      </c>
      <c r="D182" s="16">
        <f t="shared" si="6"/>
        <v>2.94</v>
      </c>
      <c r="E182" s="16">
        <f t="shared" si="5"/>
        <v>8.82</v>
      </c>
      <c r="F182" t="s">
        <v>613</v>
      </c>
      <c r="G182">
        <v>147</v>
      </c>
      <c r="H182">
        <v>43</v>
      </c>
      <c r="I182">
        <v>104</v>
      </c>
    </row>
    <row r="183" spans="3:9" x14ac:dyDescent="0.25">
      <c r="C183" s="16" t="str">
        <f>IFERROR(IF(VLOOKUP(F183,'Pivot Analysis'!B:B,1,0)=F183,"",""),G183/$C$29)</f>
        <v/>
      </c>
      <c r="D183" s="16">
        <f t="shared" si="6"/>
        <v>0.9</v>
      </c>
      <c r="E183" s="16">
        <f t="shared" si="5"/>
        <v>2.7</v>
      </c>
      <c r="F183" t="s">
        <v>615</v>
      </c>
      <c r="G183">
        <v>45</v>
      </c>
      <c r="H183">
        <v>12</v>
      </c>
      <c r="I183">
        <v>33</v>
      </c>
    </row>
    <row r="184" spans="3:9" x14ac:dyDescent="0.25">
      <c r="C184" s="16" t="str">
        <f>IFERROR(IF(VLOOKUP(F184,'Pivot Analysis'!B:B,1,0)=F184,"",""),G184/$C$29)</f>
        <v/>
      </c>
      <c r="D184" s="16">
        <f t="shared" si="6"/>
        <v>1801.04</v>
      </c>
      <c r="E184" s="16">
        <f t="shared" si="5"/>
        <v>5403.12</v>
      </c>
      <c r="F184" t="s">
        <v>616</v>
      </c>
      <c r="G184">
        <v>90052</v>
      </c>
      <c r="H184">
        <v>10282</v>
      </c>
      <c r="I184">
        <v>79770</v>
      </c>
    </row>
    <row r="185" spans="3:9" x14ac:dyDescent="0.25">
      <c r="C185" s="16" t="str">
        <f>IFERROR(IF(VLOOKUP(F185,'Pivot Analysis'!B:B,1,0)=F185,"",""),G185/$C$29)</f>
        <v/>
      </c>
      <c r="D185" s="16">
        <f t="shared" si="6"/>
        <v>20.72</v>
      </c>
      <c r="E185" s="16">
        <f t="shared" si="5"/>
        <v>62.16</v>
      </c>
      <c r="F185" t="s">
        <v>618</v>
      </c>
      <c r="G185">
        <v>1036</v>
      </c>
      <c r="H185">
        <v>291</v>
      </c>
      <c r="I185">
        <v>745</v>
      </c>
    </row>
    <row r="186" spans="3:9" x14ac:dyDescent="0.25">
      <c r="C186" s="16" t="str">
        <f>IFERROR(IF(VLOOKUP(F186,'Pivot Analysis'!B:B,1,0)=F186,"",""),G186/$C$29)</f>
        <v/>
      </c>
      <c r="D186" s="16">
        <f t="shared" si="6"/>
        <v>23.42</v>
      </c>
      <c r="E186" s="16">
        <f t="shared" si="5"/>
        <v>70.260000000000005</v>
      </c>
      <c r="F186" t="s">
        <v>619</v>
      </c>
      <c r="G186">
        <v>1171</v>
      </c>
      <c r="H186">
        <v>254</v>
      </c>
      <c r="I186">
        <v>917</v>
      </c>
    </row>
    <row r="187" spans="3:9" x14ac:dyDescent="0.25">
      <c r="C187" s="16" t="str">
        <f>IFERROR(IF(VLOOKUP(F187,'Pivot Analysis'!B:B,1,0)=F187,"",""),G187/$C$29)</f>
        <v/>
      </c>
      <c r="D187" s="16">
        <f t="shared" si="6"/>
        <v>0.32</v>
      </c>
      <c r="E187" s="16">
        <f t="shared" si="5"/>
        <v>0.96</v>
      </c>
      <c r="F187" t="s">
        <v>621</v>
      </c>
      <c r="G187">
        <v>16</v>
      </c>
      <c r="H187">
        <v>3</v>
      </c>
      <c r="I187">
        <v>13</v>
      </c>
    </row>
    <row r="188" spans="3:9" x14ac:dyDescent="0.25">
      <c r="C188" s="16" t="str">
        <f>IFERROR(IF(VLOOKUP(F188,'Pivot Analysis'!B:B,1,0)=F188,"",""),G188/$C$29)</f>
        <v/>
      </c>
      <c r="D188" s="16">
        <f t="shared" si="6"/>
        <v>0.32</v>
      </c>
      <c r="E188" s="16">
        <f t="shared" si="5"/>
        <v>0.96</v>
      </c>
      <c r="F188" t="s">
        <v>622</v>
      </c>
      <c r="G188">
        <v>16</v>
      </c>
      <c r="H188">
        <v>3</v>
      </c>
      <c r="I188">
        <v>13</v>
      </c>
    </row>
    <row r="189" spans="3:9" x14ac:dyDescent="0.25">
      <c r="C189" s="16" t="str">
        <f>IFERROR(IF(VLOOKUP(F189,'Pivot Analysis'!B:B,1,0)=F189,"",""),G189/$C$29)</f>
        <v/>
      </c>
      <c r="D189" s="16">
        <f t="shared" si="6"/>
        <v>0.32</v>
      </c>
      <c r="E189" s="16">
        <f t="shared" si="5"/>
        <v>0.96</v>
      </c>
      <c r="F189" t="s">
        <v>623</v>
      </c>
      <c r="G189">
        <v>16</v>
      </c>
      <c r="H189">
        <v>3</v>
      </c>
      <c r="I189">
        <v>13</v>
      </c>
    </row>
    <row r="190" spans="3:9" x14ac:dyDescent="0.25">
      <c r="C190" s="16" t="str">
        <f>IFERROR(IF(VLOOKUP(F190,'Pivot Analysis'!B:B,1,0)=F190,"",""),G190/$C$29)</f>
        <v/>
      </c>
      <c r="D190" s="16">
        <f t="shared" si="6"/>
        <v>0.32</v>
      </c>
      <c r="E190" s="16">
        <f t="shared" si="5"/>
        <v>0.96</v>
      </c>
      <c r="F190" t="s">
        <v>625</v>
      </c>
      <c r="G190">
        <v>16</v>
      </c>
      <c r="H190">
        <v>3</v>
      </c>
      <c r="I190">
        <v>13</v>
      </c>
    </row>
    <row r="191" spans="3:9" x14ac:dyDescent="0.25">
      <c r="C191" s="16" t="str">
        <f>IFERROR(IF(VLOOKUP(F191,'Pivot Analysis'!B:B,1,0)=F191,"",""),G191/$C$29)</f>
        <v/>
      </c>
      <c r="D191" s="16">
        <f t="shared" si="6"/>
        <v>0.32</v>
      </c>
      <c r="E191" s="16">
        <f t="shared" si="5"/>
        <v>0.96</v>
      </c>
      <c r="F191" t="s">
        <v>626</v>
      </c>
      <c r="G191">
        <v>16</v>
      </c>
      <c r="H191">
        <v>3</v>
      </c>
      <c r="I191">
        <v>13</v>
      </c>
    </row>
    <row r="192" spans="3:9" x14ac:dyDescent="0.25">
      <c r="C192" s="16">
        <f>IFERROR(IF(VLOOKUP(F192,'Pivot Analysis'!B:B,1,0)=F192,"",""),G192/$C$29)</f>
        <v>0.32</v>
      </c>
      <c r="D192" s="16">
        <f t="shared" si="6"/>
        <v>0.32</v>
      </c>
      <c r="E192" s="16">
        <f t="shared" si="5"/>
        <v>0.96</v>
      </c>
      <c r="F192" t="s">
        <v>1066</v>
      </c>
      <c r="G192">
        <v>16</v>
      </c>
      <c r="H192">
        <v>3</v>
      </c>
      <c r="I192">
        <v>13</v>
      </c>
    </row>
    <row r="193" spans="3:9" x14ac:dyDescent="0.25">
      <c r="C193" s="16" t="str">
        <f>IFERROR(IF(VLOOKUP(F193,'Pivot Analysis'!B:B,1,0)=F193,"",""),G193/$C$29)</f>
        <v/>
      </c>
      <c r="D193" s="16">
        <f t="shared" si="6"/>
        <v>0.54</v>
      </c>
      <c r="E193" s="16">
        <f t="shared" si="5"/>
        <v>1.62</v>
      </c>
      <c r="F193" t="s">
        <v>629</v>
      </c>
      <c r="G193">
        <v>27</v>
      </c>
      <c r="H193">
        <v>4</v>
      </c>
      <c r="I193">
        <v>23</v>
      </c>
    </row>
    <row r="194" spans="3:9" x14ac:dyDescent="0.25">
      <c r="C194" s="16" t="str">
        <f>IFERROR(IF(VLOOKUP(F194,'Pivot Analysis'!B:B,1,0)=F194,"",""),G194/$C$29)</f>
        <v/>
      </c>
      <c r="D194" s="16">
        <f t="shared" si="6"/>
        <v>0.32</v>
      </c>
      <c r="E194" s="16">
        <f t="shared" si="5"/>
        <v>0.96</v>
      </c>
      <c r="F194" t="s">
        <v>633</v>
      </c>
      <c r="G194">
        <v>16</v>
      </c>
      <c r="H194">
        <v>3</v>
      </c>
      <c r="I194">
        <v>13</v>
      </c>
    </row>
    <row r="195" spans="3:9" x14ac:dyDescent="0.25">
      <c r="C195" s="16" t="str">
        <f>IFERROR(IF(VLOOKUP(F195,'Pivot Analysis'!B:B,1,0)=F195,"",""),G195/$C$29)</f>
        <v/>
      </c>
      <c r="D195" s="16">
        <f t="shared" si="6"/>
        <v>0.32</v>
      </c>
      <c r="E195" s="16">
        <f t="shared" si="5"/>
        <v>0.96</v>
      </c>
      <c r="F195" t="s">
        <v>981</v>
      </c>
      <c r="G195">
        <v>16</v>
      </c>
      <c r="H195">
        <v>3</v>
      </c>
      <c r="I195">
        <v>13</v>
      </c>
    </row>
    <row r="196" spans="3:9" x14ac:dyDescent="0.25">
      <c r="C196" s="16" t="str">
        <f>IFERROR(IF(VLOOKUP(F196,'Pivot Analysis'!B:B,1,0)=F196,"",""),G196/$C$29)</f>
        <v/>
      </c>
      <c r="D196" s="16">
        <f t="shared" si="6"/>
        <v>546.26</v>
      </c>
      <c r="E196" s="16">
        <f t="shared" si="5"/>
        <v>1638.78</v>
      </c>
      <c r="F196" t="s">
        <v>635</v>
      </c>
      <c r="G196">
        <v>27313</v>
      </c>
      <c r="H196">
        <v>4817</v>
      </c>
      <c r="I196">
        <v>22496</v>
      </c>
    </row>
    <row r="197" spans="3:9" x14ac:dyDescent="0.25">
      <c r="C197" s="16" t="str">
        <f>IFERROR(IF(VLOOKUP(F197,'Pivot Analysis'!B:B,1,0)=F197,"",""),G197/$C$29)</f>
        <v/>
      </c>
      <c r="D197" s="16">
        <f t="shared" si="6"/>
        <v>84.72</v>
      </c>
      <c r="E197" s="16">
        <f t="shared" si="5"/>
        <v>254.16</v>
      </c>
      <c r="F197" t="s">
        <v>637</v>
      </c>
      <c r="G197">
        <v>4236</v>
      </c>
      <c r="H197">
        <v>1046</v>
      </c>
      <c r="I197">
        <v>3190</v>
      </c>
    </row>
    <row r="198" spans="3:9" x14ac:dyDescent="0.25">
      <c r="C198" s="16" t="str">
        <f>IFERROR(IF(VLOOKUP(F198,'Pivot Analysis'!B:B,1,0)=F198,"",""),G198/$C$29)</f>
        <v/>
      </c>
      <c r="D198" s="16">
        <f t="shared" si="6"/>
        <v>27.96</v>
      </c>
      <c r="E198" s="16">
        <f t="shared" si="5"/>
        <v>83.88</v>
      </c>
      <c r="F198" t="s">
        <v>986</v>
      </c>
      <c r="G198">
        <v>1398</v>
      </c>
      <c r="H198">
        <v>313</v>
      </c>
      <c r="I198">
        <v>1085</v>
      </c>
    </row>
    <row r="199" spans="3:9" x14ac:dyDescent="0.25">
      <c r="C199" s="16" t="str">
        <f>IFERROR(IF(VLOOKUP(F199,'Pivot Analysis'!B:B,1,0)=F199,"",""),G199/$C$29)</f>
        <v/>
      </c>
      <c r="D199" s="16">
        <f t="shared" si="6"/>
        <v>4.4000000000000004</v>
      </c>
      <c r="E199" s="16">
        <f t="shared" si="5"/>
        <v>13.200000000000001</v>
      </c>
      <c r="F199" t="s">
        <v>644</v>
      </c>
      <c r="G199">
        <v>220</v>
      </c>
      <c r="H199">
        <v>52</v>
      </c>
      <c r="I199">
        <v>168</v>
      </c>
    </row>
    <row r="200" spans="3:9" x14ac:dyDescent="0.25">
      <c r="C200" s="16" t="str">
        <f>IFERROR(IF(VLOOKUP(F200,'Pivot Analysis'!B:B,1,0)=F200,"",""),G200/$C$29)</f>
        <v/>
      </c>
      <c r="D200" s="16">
        <f t="shared" si="6"/>
        <v>314.76</v>
      </c>
      <c r="E200" s="16">
        <f t="shared" si="5"/>
        <v>944.28</v>
      </c>
      <c r="F200" t="s">
        <v>645</v>
      </c>
      <c r="G200">
        <v>15738</v>
      </c>
      <c r="H200">
        <v>3906</v>
      </c>
      <c r="I200">
        <v>11832</v>
      </c>
    </row>
    <row r="201" spans="3:9" x14ac:dyDescent="0.25">
      <c r="C201" s="16" t="str">
        <f>IFERROR(IF(VLOOKUP(F201,'Pivot Analysis'!B:B,1,0)=F201,"",""),G201/$C$29)</f>
        <v/>
      </c>
      <c r="D201" s="16">
        <f t="shared" si="6"/>
        <v>12.84</v>
      </c>
      <c r="E201" s="16">
        <f t="shared" si="5"/>
        <v>38.519999999999996</v>
      </c>
      <c r="F201" t="s">
        <v>663</v>
      </c>
      <c r="G201">
        <v>642</v>
      </c>
      <c r="H201">
        <v>108</v>
      </c>
      <c r="I201">
        <v>534</v>
      </c>
    </row>
    <row r="202" spans="3:9" x14ac:dyDescent="0.25">
      <c r="C202" s="16" t="str">
        <f>IFERROR(IF(VLOOKUP(F202,'Pivot Analysis'!B:B,1,0)=F202,"",""),G202/$C$29)</f>
        <v/>
      </c>
      <c r="D202" s="16">
        <f t="shared" si="6"/>
        <v>18.86</v>
      </c>
      <c r="E202" s="16">
        <f t="shared" si="5"/>
        <v>56.58</v>
      </c>
      <c r="F202" t="s">
        <v>664</v>
      </c>
      <c r="G202">
        <v>943</v>
      </c>
      <c r="H202">
        <v>199</v>
      </c>
      <c r="I202">
        <v>744</v>
      </c>
    </row>
    <row r="203" spans="3:9" x14ac:dyDescent="0.25">
      <c r="C203" s="16" t="str">
        <f>IFERROR(IF(VLOOKUP(F203,'Pivot Analysis'!B:B,1,0)=F203,"",""),G203/$C$29)</f>
        <v/>
      </c>
      <c r="D203" s="16">
        <f t="shared" si="6"/>
        <v>2752.9</v>
      </c>
      <c r="E203" s="16">
        <f t="shared" si="5"/>
        <v>8258.7000000000007</v>
      </c>
      <c r="F203" t="s">
        <v>665</v>
      </c>
      <c r="G203">
        <v>137645</v>
      </c>
      <c r="H203">
        <v>25631</v>
      </c>
      <c r="I203">
        <v>112014</v>
      </c>
    </row>
    <row r="204" spans="3:9" x14ac:dyDescent="0.25">
      <c r="C204" s="16" t="str">
        <f>IFERROR(IF(VLOOKUP(F204,'Pivot Analysis'!B:B,1,0)=F204,"",""),G204/$C$29)</f>
        <v/>
      </c>
      <c r="D204" s="16">
        <f t="shared" si="6"/>
        <v>2590.66</v>
      </c>
      <c r="E204" s="16">
        <f t="shared" si="5"/>
        <v>7771.98</v>
      </c>
      <c r="F204" t="s">
        <v>666</v>
      </c>
      <c r="G204">
        <v>129533</v>
      </c>
      <c r="H204">
        <v>31177</v>
      </c>
      <c r="I204">
        <v>98356</v>
      </c>
    </row>
    <row r="205" spans="3:9" x14ac:dyDescent="0.25">
      <c r="C205" s="16" t="str">
        <f>IFERROR(IF(VLOOKUP(F205,'Pivot Analysis'!B:B,1,0)=F205,"",""),G205/$C$29)</f>
        <v/>
      </c>
      <c r="D205" s="16">
        <f t="shared" si="6"/>
        <v>42.34</v>
      </c>
      <c r="E205" s="16">
        <f t="shared" si="5"/>
        <v>127.02000000000001</v>
      </c>
      <c r="F205" t="s">
        <v>1024</v>
      </c>
      <c r="G205">
        <v>2117</v>
      </c>
      <c r="H205">
        <v>558</v>
      </c>
      <c r="I205">
        <v>1559</v>
      </c>
    </row>
    <row r="206" spans="3:9" x14ac:dyDescent="0.25">
      <c r="C206" s="16" t="str">
        <f>IFERROR(IF(VLOOKUP(F206,'Pivot Analysis'!B:B,1,0)=F206,"",""),G206/$C$29)</f>
        <v/>
      </c>
      <c r="D206" s="16">
        <f t="shared" si="6"/>
        <v>65.14</v>
      </c>
      <c r="E206" s="16">
        <f t="shared" si="5"/>
        <v>195.42000000000002</v>
      </c>
      <c r="F206" t="s">
        <v>670</v>
      </c>
      <c r="G206">
        <v>3257</v>
      </c>
      <c r="H206">
        <v>663</v>
      </c>
      <c r="I206">
        <v>2594</v>
      </c>
    </row>
    <row r="207" spans="3:9" x14ac:dyDescent="0.25">
      <c r="C207" s="16" t="str">
        <f>IFERROR(IF(VLOOKUP(F207,'Pivot Analysis'!B:B,1,0)=F207,"",""),G207/$C$29)</f>
        <v/>
      </c>
      <c r="D207" s="16">
        <f t="shared" si="6"/>
        <v>21.34</v>
      </c>
      <c r="E207" s="16">
        <f t="shared" si="5"/>
        <v>64.02</v>
      </c>
      <c r="F207" t="s">
        <v>671</v>
      </c>
      <c r="G207">
        <v>1067</v>
      </c>
      <c r="H207">
        <v>197</v>
      </c>
      <c r="I207">
        <v>870</v>
      </c>
    </row>
    <row r="208" spans="3:9" x14ac:dyDescent="0.25">
      <c r="C208" s="16" t="str">
        <f>IFERROR(IF(VLOOKUP(F208,'Pivot Analysis'!B:B,1,0)=F208,"",""),G208/$C$29)</f>
        <v/>
      </c>
      <c r="D208" s="16">
        <f t="shared" si="6"/>
        <v>1473.66</v>
      </c>
      <c r="E208" s="16">
        <f t="shared" si="5"/>
        <v>4420.9800000000005</v>
      </c>
      <c r="F208" t="s">
        <v>672</v>
      </c>
      <c r="G208">
        <v>73683</v>
      </c>
      <c r="H208">
        <v>16381</v>
      </c>
      <c r="I208">
        <v>57302</v>
      </c>
    </row>
    <row r="209" spans="3:9" x14ac:dyDescent="0.25">
      <c r="C209" s="16" t="str">
        <f>IFERROR(IF(VLOOKUP(F209,'Pivot Analysis'!B:B,1,0)=F209,"",""),G209/$C$29)</f>
        <v/>
      </c>
      <c r="D209" s="16">
        <f t="shared" si="6"/>
        <v>9.6</v>
      </c>
      <c r="E209" s="16">
        <f t="shared" si="5"/>
        <v>28.799999999999997</v>
      </c>
      <c r="F209" t="s">
        <v>676</v>
      </c>
      <c r="G209">
        <v>480</v>
      </c>
      <c r="H209">
        <v>87</v>
      </c>
      <c r="I209">
        <v>393</v>
      </c>
    </row>
    <row r="210" spans="3:9" x14ac:dyDescent="0.25">
      <c r="C210" s="16" t="str">
        <f>IFERROR(IF(VLOOKUP(F210,'Pivot Analysis'!B:B,1,0)=F210,"",""),G210/$C$29)</f>
        <v/>
      </c>
      <c r="D210" s="16">
        <f t="shared" si="6"/>
        <v>1.62</v>
      </c>
      <c r="E210" s="16">
        <f t="shared" si="5"/>
        <v>4.8600000000000003</v>
      </c>
      <c r="F210" t="s">
        <v>678</v>
      </c>
      <c r="G210">
        <v>81</v>
      </c>
      <c r="H210">
        <v>28</v>
      </c>
      <c r="I210">
        <v>53</v>
      </c>
    </row>
    <row r="211" spans="3:9" x14ac:dyDescent="0.25">
      <c r="C211" s="16" t="str">
        <f>IFERROR(IF(VLOOKUP(F211,'Pivot Analysis'!B:B,1,0)=F211,"",""),G211/$C$29)</f>
        <v/>
      </c>
      <c r="D211" s="16">
        <f t="shared" si="6"/>
        <v>0.72</v>
      </c>
      <c r="E211" s="16">
        <f t="shared" si="5"/>
        <v>2.16</v>
      </c>
      <c r="F211" t="s">
        <v>680</v>
      </c>
      <c r="G211">
        <v>36</v>
      </c>
      <c r="H211">
        <v>14</v>
      </c>
      <c r="I211">
        <v>22</v>
      </c>
    </row>
    <row r="212" spans="3:9" x14ac:dyDescent="0.25">
      <c r="C212" s="16" t="str">
        <f>IFERROR(IF(VLOOKUP(F212,'Pivot Analysis'!B:B,1,0)=F212,"",""),G212/$C$29)</f>
        <v/>
      </c>
      <c r="D212" s="16">
        <f t="shared" si="6"/>
        <v>92.42</v>
      </c>
      <c r="E212" s="16">
        <f t="shared" si="5"/>
        <v>277.26</v>
      </c>
      <c r="F212" t="s">
        <v>682</v>
      </c>
      <c r="G212">
        <v>4621</v>
      </c>
      <c r="H212">
        <v>907</v>
      </c>
      <c r="I212">
        <v>3714</v>
      </c>
    </row>
    <row r="213" spans="3:9" x14ac:dyDescent="0.25">
      <c r="C213" s="16" t="str">
        <f>IFERROR(IF(VLOOKUP(F213,'Pivot Analysis'!B:B,1,0)=F213,"",""),G213/$C$29)</f>
        <v/>
      </c>
      <c r="D213" s="16">
        <f t="shared" si="6"/>
        <v>1.32</v>
      </c>
      <c r="E213" s="16">
        <f t="shared" si="5"/>
        <v>3.96</v>
      </c>
      <c r="F213" t="s">
        <v>688</v>
      </c>
      <c r="G213">
        <v>66</v>
      </c>
      <c r="H213">
        <v>14</v>
      </c>
      <c r="I213">
        <v>52</v>
      </c>
    </row>
    <row r="214" spans="3:9" x14ac:dyDescent="0.25">
      <c r="C214" s="16" t="str">
        <f>IFERROR(IF(VLOOKUP(F214,'Pivot Analysis'!B:B,1,0)=F214,"",""),G214/$C$29)</f>
        <v/>
      </c>
      <c r="D214" s="16">
        <f t="shared" si="6"/>
        <v>12.4</v>
      </c>
      <c r="E214" s="16">
        <f t="shared" si="5"/>
        <v>37.200000000000003</v>
      </c>
      <c r="F214" t="s">
        <v>697</v>
      </c>
      <c r="G214">
        <v>620</v>
      </c>
      <c r="H214">
        <v>136</v>
      </c>
      <c r="I214">
        <v>484</v>
      </c>
    </row>
    <row r="215" spans="3:9" x14ac:dyDescent="0.25">
      <c r="C215" s="16" t="str">
        <f>IFERROR(IF(VLOOKUP(F215,'Pivot Analysis'!B:B,1,0)=F215,"",""),G215/$C$29)</f>
        <v/>
      </c>
      <c r="D215" s="16">
        <f t="shared" si="6"/>
        <v>46.14</v>
      </c>
      <c r="E215" s="16">
        <f t="shared" si="5"/>
        <v>138.42000000000002</v>
      </c>
      <c r="F215" t="s">
        <v>707</v>
      </c>
      <c r="G215">
        <v>2307</v>
      </c>
      <c r="H215">
        <v>278</v>
      </c>
      <c r="I215">
        <v>2029</v>
      </c>
    </row>
    <row r="216" spans="3:9" x14ac:dyDescent="0.25">
      <c r="C216" s="16" t="str">
        <f>IFERROR(IF(VLOOKUP(F216,'Pivot Analysis'!B:B,1,0)=F216,"",""),G216/$C$29)</f>
        <v/>
      </c>
      <c r="D216" s="16">
        <f t="shared" si="6"/>
        <v>25.8</v>
      </c>
      <c r="E216" s="16">
        <f t="shared" si="5"/>
        <v>77.400000000000006</v>
      </c>
      <c r="F216" t="s">
        <v>710</v>
      </c>
      <c r="G216">
        <v>1290</v>
      </c>
      <c r="H216">
        <v>310</v>
      </c>
      <c r="I216">
        <v>980</v>
      </c>
    </row>
    <row r="217" spans="3:9" x14ac:dyDescent="0.25">
      <c r="C217" s="16" t="str">
        <f>IFERROR(IF(VLOOKUP(F217,'Pivot Analysis'!B:B,1,0)=F217,"",""),G217/$C$29)</f>
        <v/>
      </c>
      <c r="D217" s="16">
        <f t="shared" si="6"/>
        <v>22.32</v>
      </c>
      <c r="E217" s="16">
        <f t="shared" si="5"/>
        <v>66.960000000000008</v>
      </c>
      <c r="F217" t="s">
        <v>711</v>
      </c>
      <c r="G217">
        <v>1116</v>
      </c>
      <c r="H217">
        <v>233</v>
      </c>
      <c r="I217">
        <v>883</v>
      </c>
    </row>
    <row r="218" spans="3:9" x14ac:dyDescent="0.25">
      <c r="C218" s="16" t="str">
        <f>IFERROR(IF(VLOOKUP(F218,'Pivot Analysis'!B:B,1,0)=F218,"",""),G218/$C$29)</f>
        <v/>
      </c>
      <c r="D218" s="16">
        <f t="shared" si="6"/>
        <v>6.94</v>
      </c>
      <c r="E218" s="16">
        <f t="shared" si="5"/>
        <v>20.82</v>
      </c>
      <c r="F218" t="s">
        <v>712</v>
      </c>
      <c r="G218">
        <v>347</v>
      </c>
      <c r="H218">
        <v>108</v>
      </c>
      <c r="I218">
        <v>239</v>
      </c>
    </row>
    <row r="219" spans="3:9" x14ac:dyDescent="0.25">
      <c r="C219" s="16" t="str">
        <f>IFERROR(IF(VLOOKUP(F219,'Pivot Analysis'!B:B,1,0)=F219,"",""),G219/$C$29)</f>
        <v/>
      </c>
      <c r="D219" s="16">
        <f t="shared" si="6"/>
        <v>17.100000000000001</v>
      </c>
      <c r="E219" s="16">
        <f t="shared" si="5"/>
        <v>51.300000000000004</v>
      </c>
      <c r="F219" t="s">
        <v>714</v>
      </c>
      <c r="G219">
        <v>855</v>
      </c>
      <c r="H219">
        <v>199</v>
      </c>
      <c r="I219">
        <v>656</v>
      </c>
    </row>
    <row r="220" spans="3:9" x14ac:dyDescent="0.25">
      <c r="C220" s="16" t="str">
        <f>IFERROR(IF(VLOOKUP(F220,'Pivot Analysis'!B:B,1,0)=F220,"",""),G220/$C$29)</f>
        <v/>
      </c>
      <c r="D220" s="16">
        <f t="shared" si="6"/>
        <v>1.5</v>
      </c>
      <c r="E220" s="16">
        <f t="shared" si="5"/>
        <v>4.5</v>
      </c>
      <c r="F220" t="s">
        <v>715</v>
      </c>
      <c r="G220">
        <v>75</v>
      </c>
      <c r="H220">
        <v>17</v>
      </c>
      <c r="I220">
        <v>58</v>
      </c>
    </row>
    <row r="221" spans="3:9" x14ac:dyDescent="0.25">
      <c r="C221" s="16" t="str">
        <f>IFERROR(IF(VLOOKUP(F221,'Pivot Analysis'!B:B,1,0)=F221,"",""),G221/$C$29)</f>
        <v/>
      </c>
      <c r="D221" s="16">
        <f t="shared" si="6"/>
        <v>2.42</v>
      </c>
      <c r="E221" s="16">
        <f t="shared" si="5"/>
        <v>7.26</v>
      </c>
      <c r="F221" t="s">
        <v>717</v>
      </c>
      <c r="G221">
        <v>121</v>
      </c>
      <c r="H221">
        <v>21</v>
      </c>
      <c r="I221">
        <v>100</v>
      </c>
    </row>
    <row r="222" spans="3:9" x14ac:dyDescent="0.25">
      <c r="C222" s="16" t="str">
        <f>IFERROR(IF(VLOOKUP(F222,'Pivot Analysis'!B:B,1,0)=F222,"",""),G222/$C$29)</f>
        <v/>
      </c>
      <c r="D222" s="16">
        <f t="shared" si="6"/>
        <v>31.38</v>
      </c>
      <c r="E222" s="16">
        <f t="shared" si="5"/>
        <v>94.14</v>
      </c>
      <c r="F222" t="s">
        <v>718</v>
      </c>
      <c r="G222">
        <v>1569</v>
      </c>
      <c r="H222">
        <v>350</v>
      </c>
      <c r="I222">
        <v>1219</v>
      </c>
    </row>
    <row r="223" spans="3:9" x14ac:dyDescent="0.25">
      <c r="C223" s="16" t="str">
        <f>IFERROR(IF(VLOOKUP(F223,'Pivot Analysis'!B:B,1,0)=F223,"",""),G223/$C$29)</f>
        <v/>
      </c>
      <c r="D223" s="16">
        <f t="shared" si="6"/>
        <v>34.4</v>
      </c>
      <c r="E223" s="16">
        <f t="shared" si="5"/>
        <v>103.19999999999999</v>
      </c>
      <c r="F223" t="s">
        <v>721</v>
      </c>
      <c r="G223">
        <v>1720</v>
      </c>
      <c r="H223">
        <v>310</v>
      </c>
      <c r="I223">
        <v>1410</v>
      </c>
    </row>
    <row r="224" spans="3:9" x14ac:dyDescent="0.25">
      <c r="C224" s="16" t="str">
        <f>IFERROR(IF(VLOOKUP(F224,'Pivot Analysis'!B:B,1,0)=F224,"",""),G224/$C$29)</f>
        <v/>
      </c>
      <c r="D224" s="16">
        <f t="shared" si="6"/>
        <v>4.74</v>
      </c>
      <c r="E224" s="16">
        <f t="shared" si="5"/>
        <v>14.22</v>
      </c>
      <c r="F224" t="s">
        <v>1032</v>
      </c>
      <c r="G224">
        <v>237</v>
      </c>
      <c r="H224">
        <v>32</v>
      </c>
      <c r="I224">
        <v>205</v>
      </c>
    </row>
    <row r="225" spans="3:9" x14ac:dyDescent="0.25">
      <c r="C225" s="16" t="str">
        <f>IFERROR(IF(VLOOKUP(F225,'Pivot Analysis'!B:B,1,0)=F225,"",""),G225/$C$29)</f>
        <v/>
      </c>
      <c r="D225" s="16">
        <f t="shared" si="6"/>
        <v>461.2</v>
      </c>
      <c r="E225" s="16">
        <f t="shared" ref="E225:E230" si="7">D225*$E$29</f>
        <v>1383.6</v>
      </c>
      <c r="F225" t="s">
        <v>722</v>
      </c>
      <c r="G225">
        <v>23060</v>
      </c>
      <c r="H225">
        <v>5499</v>
      </c>
      <c r="I225">
        <v>17561</v>
      </c>
    </row>
    <row r="226" spans="3:9" x14ac:dyDescent="0.25">
      <c r="C226" s="16">
        <f>IFERROR(IF(VLOOKUP(F226,'Pivot Analysis'!B:B,1,0)=F226,"",""),G226/$C$29)</f>
        <v>2.34</v>
      </c>
      <c r="D226" s="16">
        <f t="shared" si="6"/>
        <v>2.34</v>
      </c>
      <c r="E226" s="16">
        <f t="shared" si="7"/>
        <v>7.02</v>
      </c>
      <c r="F226" t="s">
        <v>1067</v>
      </c>
      <c r="G226">
        <v>117</v>
      </c>
      <c r="H226">
        <v>31</v>
      </c>
      <c r="I226">
        <v>86</v>
      </c>
    </row>
    <row r="227" spans="3:9" x14ac:dyDescent="0.25">
      <c r="C227" s="16" t="str">
        <f>IFERROR(IF(VLOOKUP(F227,'Pivot Analysis'!B:B,1,0)=F227,"",""),G227/$C$29)</f>
        <v/>
      </c>
      <c r="D227" s="16">
        <f t="shared" si="6"/>
        <v>27.82</v>
      </c>
      <c r="E227" s="16">
        <f t="shared" si="7"/>
        <v>83.460000000000008</v>
      </c>
      <c r="F227" t="s">
        <v>742</v>
      </c>
      <c r="G227">
        <v>1391</v>
      </c>
      <c r="H227">
        <v>337</v>
      </c>
      <c r="I227">
        <v>1054</v>
      </c>
    </row>
    <row r="228" spans="3:9" x14ac:dyDescent="0.25">
      <c r="C228" s="16" t="str">
        <f>IFERROR(IF(VLOOKUP(F228,'Pivot Analysis'!B:B,1,0)=F228,"",""),G228/$C$29)</f>
        <v/>
      </c>
      <c r="D228" s="16">
        <f t="shared" si="6"/>
        <v>338.52</v>
      </c>
      <c r="E228" s="16">
        <f t="shared" si="7"/>
        <v>1015.56</v>
      </c>
      <c r="F228" t="s">
        <v>747</v>
      </c>
      <c r="G228">
        <v>16926</v>
      </c>
      <c r="H228">
        <v>3418</v>
      </c>
      <c r="I228">
        <v>13508</v>
      </c>
    </row>
    <row r="229" spans="3:9" x14ac:dyDescent="0.25">
      <c r="C229" s="16" t="str">
        <f>IFERROR(IF(VLOOKUP(F229,'Pivot Analysis'!B:B,1,0)=F229,"",""),G229/$C$29)</f>
        <v/>
      </c>
      <c r="D229" s="16">
        <f t="shared" si="6"/>
        <v>31.02</v>
      </c>
      <c r="E229" s="16">
        <f t="shared" si="7"/>
        <v>93.06</v>
      </c>
      <c r="F229" t="s">
        <v>750</v>
      </c>
      <c r="G229">
        <v>1551</v>
      </c>
      <c r="H229">
        <v>295</v>
      </c>
      <c r="I229">
        <v>1256</v>
      </c>
    </row>
    <row r="230" spans="3:9" x14ac:dyDescent="0.25">
      <c r="C230" s="16" t="str">
        <f>IFERROR(IF(VLOOKUP(F230,'Pivot Analysis'!B:B,1,0)=F230,"",""),G230/$C$29)</f>
        <v/>
      </c>
      <c r="D230" s="16">
        <f t="shared" si="6"/>
        <v>1.96</v>
      </c>
      <c r="E230" s="16">
        <f t="shared" si="7"/>
        <v>5.88</v>
      </c>
      <c r="F230" t="s">
        <v>751</v>
      </c>
      <c r="G230">
        <v>98</v>
      </c>
      <c r="H230">
        <v>21</v>
      </c>
      <c r="I230">
        <v>77</v>
      </c>
    </row>
  </sheetData>
  <autoFilter ref="C31:I230" xr:uid="{63708D08-C1E9-4955-B248-9369C1F8F1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Apps</vt:lpstr>
      <vt:lpstr>Apps-from-odoo</vt:lpstr>
      <vt:lpstr>Pivot Analysis</vt:lpstr>
      <vt:lpstr>Analysis</vt:lpstr>
      <vt:lpstr>Cloc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Norlin</dc:creator>
  <cp:lastModifiedBy>Henrik Norlin</cp:lastModifiedBy>
  <dcterms:created xsi:type="dcterms:W3CDTF">2015-06-05T18:19:34Z</dcterms:created>
  <dcterms:modified xsi:type="dcterms:W3CDTF">2025-04-30T20:01:09Z</dcterms:modified>
</cp:coreProperties>
</file>